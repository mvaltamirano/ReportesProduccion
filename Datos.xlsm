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Persistentes\"/>
    </mc:Choice>
  </mc:AlternateContent>
  <xr:revisionPtr revIDLastSave="0" documentId="13_ncr:1_{5E758104-1672-49AB-9BB1-79A159DA6248}" xr6:coauthVersionLast="47" xr6:coauthVersionMax="47" xr10:uidLastSave="{00000000-0000-0000-0000-000000000000}"/>
  <bookViews>
    <workbookView xWindow="3705" yWindow="6735" windowWidth="24690" windowHeight="15480" firstSheet="2" activeTab="2" xr2:uid="{C86386EF-7F8E-4C63-AC23-AB9FF52639A6}"/>
  </bookViews>
  <sheets>
    <sheet name="CODIGO_PYTHO" sheetId="7" r:id="rId1"/>
    <sheet name="RESUMEN SEMANAL" sheetId="5" r:id="rId2"/>
    <sheet name="PRODUCCION" sheetId="4" r:id="rId3"/>
    <sheet name="RENDIMIENTO" sheetId="8" r:id="rId4"/>
    <sheet name="RESUMEN DIARIO" sheetId="6" r:id="rId5"/>
    <sheet name="PERSONAL" sheetId="2" r:id="rId6"/>
    <sheet name="PAGADO" sheetId="3" r:id="rId7"/>
    <sheet name="CATALOGOS" sheetId="1" r:id="rId8"/>
  </sheets>
  <functionGroups builtInGroupCount="19"/>
  <definedNames>
    <definedName name="_xleta.DATE" hidden="1" xlm="1">#NAME?</definedName>
    <definedName name="_xleta.HOUR" hidden="1" xlm="1">#NAME?</definedName>
    <definedName name="_xleta.IF" hidden="1" xlm="1">#NAME?</definedName>
    <definedName name="_xleta.INDEX" hidden="1" xlm="1">#NAME?</definedName>
    <definedName name="_xleta.INDIRECT" hidden="1" xlm="1">#NAME?</definedName>
    <definedName name="_xleta.MONTH" hidden="1" xlm="1">#NAME?</definedName>
    <definedName name="_xleta.NOT" hidden="1" xlm="1">#NAME?</definedName>
    <definedName name="_xleta.O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837" i="4" l="1"/>
  <c r="AB837" i="4"/>
  <c r="AA837" i="4"/>
  <c r="Z837" i="4"/>
  <c r="Y837" i="4"/>
  <c r="V837" i="4"/>
  <c r="U837" i="4"/>
  <c r="T837" i="4"/>
  <c r="S837" i="4"/>
  <c r="W837" i="4" s="1"/>
  <c r="N837" i="4"/>
  <c r="AC837" i="4" s="1"/>
  <c r="A837" i="4"/>
  <c r="AF836" i="4"/>
  <c r="AB836" i="4"/>
  <c r="AA836" i="4"/>
  <c r="Z836" i="4"/>
  <c r="Y836" i="4"/>
  <c r="V836" i="4"/>
  <c r="U836" i="4"/>
  <c r="T836" i="4"/>
  <c r="S836" i="4"/>
  <c r="W836" i="4" s="1"/>
  <c r="N836" i="4"/>
  <c r="AC836" i="4" s="1"/>
  <c r="A836" i="4"/>
  <c r="AF835" i="4"/>
  <c r="AB835" i="4"/>
  <c r="AA835" i="4"/>
  <c r="Z835" i="4"/>
  <c r="Y835" i="4"/>
  <c r="V835" i="4"/>
  <c r="U835" i="4"/>
  <c r="T835" i="4"/>
  <c r="S835" i="4"/>
  <c r="W835" i="4" s="1"/>
  <c r="N835" i="4"/>
  <c r="AC835" i="4" s="1"/>
  <c r="A835" i="4"/>
  <c r="AF834" i="4"/>
  <c r="AB834" i="4"/>
  <c r="AA834" i="4"/>
  <c r="Z834" i="4"/>
  <c r="Y834" i="4"/>
  <c r="V834" i="4"/>
  <c r="U834" i="4"/>
  <c r="T834" i="4"/>
  <c r="S834" i="4"/>
  <c r="W834" i="4" s="1"/>
  <c r="N834" i="4"/>
  <c r="AC834" i="4" s="1"/>
  <c r="A834" i="4"/>
  <c r="AF833" i="4"/>
  <c r="AB833" i="4"/>
  <c r="AA833" i="4"/>
  <c r="Z833" i="4"/>
  <c r="Y833" i="4"/>
  <c r="V833" i="4"/>
  <c r="U833" i="4"/>
  <c r="T833" i="4"/>
  <c r="S833" i="4"/>
  <c r="W833" i="4" s="1"/>
  <c r="N833" i="4"/>
  <c r="AC833" i="4" s="1"/>
  <c r="A833" i="4"/>
  <c r="AF832" i="4"/>
  <c r="AB832" i="4"/>
  <c r="AA832" i="4"/>
  <c r="Z832" i="4"/>
  <c r="Y832" i="4"/>
  <c r="V832" i="4"/>
  <c r="U832" i="4"/>
  <c r="T832" i="4"/>
  <c r="S832" i="4"/>
  <c r="W832" i="4" s="1"/>
  <c r="N832" i="4"/>
  <c r="AC832" i="4" s="1"/>
  <c r="A832" i="4"/>
  <c r="AF831" i="4"/>
  <c r="AB831" i="4"/>
  <c r="AA831" i="4"/>
  <c r="Z831" i="4"/>
  <c r="Y831" i="4"/>
  <c r="V831" i="4"/>
  <c r="U831" i="4"/>
  <c r="T831" i="4"/>
  <c r="S831" i="4"/>
  <c r="W831" i="4" s="1"/>
  <c r="N831" i="4"/>
  <c r="AC831" i="4" s="1"/>
  <c r="A831" i="4"/>
  <c r="A818" i="4"/>
  <c r="N818" i="4"/>
  <c r="S818" i="4"/>
  <c r="T818" i="4"/>
  <c r="U818" i="4"/>
  <c r="V818" i="4"/>
  <c r="W818" i="4" s="1"/>
  <c r="Y818" i="4"/>
  <c r="Z818" i="4"/>
  <c r="AA818" i="4"/>
  <c r="AB818" i="4"/>
  <c r="AC818" i="4"/>
  <c r="AF818" i="4"/>
  <c r="A830" i="4"/>
  <c r="N830" i="4"/>
  <c r="S830" i="4"/>
  <c r="T830" i="4"/>
  <c r="U830" i="4"/>
  <c r="V830" i="4"/>
  <c r="W830" i="4" s="1"/>
  <c r="Y830" i="4"/>
  <c r="Z830" i="4"/>
  <c r="AA830" i="4"/>
  <c r="AB830" i="4"/>
  <c r="AF830" i="4"/>
  <c r="A829" i="4"/>
  <c r="N829" i="4"/>
  <c r="S829" i="4"/>
  <c r="T829" i="4"/>
  <c r="U829" i="4"/>
  <c r="V829" i="4"/>
  <c r="Y829" i="4"/>
  <c r="Z829" i="4"/>
  <c r="AA829" i="4"/>
  <c r="AB829" i="4"/>
  <c r="AF829" i="4"/>
  <c r="A824" i="4"/>
  <c r="N824" i="4"/>
  <c r="S824" i="4"/>
  <c r="T824" i="4"/>
  <c r="U824" i="4"/>
  <c r="V824" i="4"/>
  <c r="Y824" i="4"/>
  <c r="Z824" i="4"/>
  <c r="AA824" i="4"/>
  <c r="AB824" i="4"/>
  <c r="AF824" i="4"/>
  <c r="A822" i="4"/>
  <c r="A823" i="4"/>
  <c r="N822" i="4"/>
  <c r="N823" i="4"/>
  <c r="S822" i="4"/>
  <c r="S823" i="4"/>
  <c r="T822" i="4"/>
  <c r="T823" i="4"/>
  <c r="U822" i="4"/>
  <c r="U823" i="4"/>
  <c r="V822" i="4"/>
  <c r="V823" i="4"/>
  <c r="W822" i="4"/>
  <c r="W823" i="4"/>
  <c r="Y822" i="4"/>
  <c r="Y823" i="4"/>
  <c r="Z822" i="4"/>
  <c r="Z823" i="4"/>
  <c r="AA822" i="4"/>
  <c r="AA823" i="4"/>
  <c r="AB822" i="4"/>
  <c r="AB823" i="4"/>
  <c r="AC822" i="4"/>
  <c r="AC823" i="4"/>
  <c r="AF822" i="4"/>
  <c r="AF823" i="4"/>
  <c r="A828" i="4"/>
  <c r="N828" i="4"/>
  <c r="S828" i="4"/>
  <c r="T828" i="4"/>
  <c r="U828" i="4"/>
  <c r="V828" i="4"/>
  <c r="Y828" i="4"/>
  <c r="Z828" i="4"/>
  <c r="AA828" i="4"/>
  <c r="AB828" i="4"/>
  <c r="AF828" i="4"/>
  <c r="A805" i="4"/>
  <c r="N805" i="4"/>
  <c r="S805" i="4"/>
  <c r="T805" i="4"/>
  <c r="U805" i="4"/>
  <c r="V805" i="4"/>
  <c r="Y805" i="4"/>
  <c r="Z805" i="4"/>
  <c r="AA805" i="4"/>
  <c r="AB805" i="4"/>
  <c r="AF805" i="4"/>
  <c r="A800" i="4"/>
  <c r="N800" i="4"/>
  <c r="S800" i="4"/>
  <c r="T800" i="4"/>
  <c r="U800" i="4"/>
  <c r="V800" i="4"/>
  <c r="Y800" i="4"/>
  <c r="Z800" i="4"/>
  <c r="AA800" i="4"/>
  <c r="AB800" i="4"/>
  <c r="AF800" i="4"/>
  <c r="A799" i="4"/>
  <c r="N799" i="4"/>
  <c r="S799" i="4"/>
  <c r="T799" i="4"/>
  <c r="U799" i="4"/>
  <c r="V799" i="4"/>
  <c r="Y799" i="4"/>
  <c r="Z799" i="4"/>
  <c r="AA799" i="4"/>
  <c r="AB799" i="4"/>
  <c r="AF799" i="4"/>
  <c r="AF819" i="4"/>
  <c r="AA819" i="4"/>
  <c r="Z819" i="4"/>
  <c r="Y819" i="4"/>
  <c r="V819" i="4"/>
  <c r="U819" i="4"/>
  <c r="T819" i="4"/>
  <c r="AB819" i="4" s="1"/>
  <c r="S819" i="4"/>
  <c r="N819" i="4"/>
  <c r="A819" i="4"/>
  <c r="AF821" i="4"/>
  <c r="AA821" i="4"/>
  <c r="Z821" i="4"/>
  <c r="Y821" i="4"/>
  <c r="V821" i="4"/>
  <c r="U821" i="4"/>
  <c r="T821" i="4"/>
  <c r="AB821" i="4" s="1"/>
  <c r="S821" i="4"/>
  <c r="N821" i="4"/>
  <c r="A821" i="4"/>
  <c r="AF820" i="4"/>
  <c r="AF825" i="4"/>
  <c r="AF826" i="4"/>
  <c r="AF827" i="4"/>
  <c r="AB825" i="4"/>
  <c r="AB826" i="4"/>
  <c r="AB827" i="4"/>
  <c r="AA820" i="4"/>
  <c r="AA825" i="4"/>
  <c r="AA826" i="4"/>
  <c r="AA827" i="4"/>
  <c r="Z820" i="4"/>
  <c r="Z825" i="4"/>
  <c r="Z826" i="4"/>
  <c r="Z827" i="4"/>
  <c r="Y820" i="4"/>
  <c r="Y825" i="4"/>
  <c r="Y826" i="4"/>
  <c r="Y827" i="4"/>
  <c r="V820" i="4"/>
  <c r="V825" i="4"/>
  <c r="V826" i="4"/>
  <c r="V827" i="4"/>
  <c r="U820" i="4"/>
  <c r="U825" i="4"/>
  <c r="U826" i="4"/>
  <c r="U827" i="4"/>
  <c r="T820" i="4"/>
  <c r="AB820" i="4" s="1"/>
  <c r="T825" i="4"/>
  <c r="T826" i="4"/>
  <c r="T827" i="4"/>
  <c r="S820" i="4"/>
  <c r="W820" i="4" s="1"/>
  <c r="S825" i="4"/>
  <c r="W825" i="4" s="1"/>
  <c r="S826" i="4"/>
  <c r="W826" i="4" s="1"/>
  <c r="S827" i="4"/>
  <c r="W827" i="4" s="1"/>
  <c r="N820" i="4"/>
  <c r="AC820" i="4" s="1"/>
  <c r="N825" i="4"/>
  <c r="AC825" i="4" s="1"/>
  <c r="N826" i="4"/>
  <c r="AC826" i="4" s="1"/>
  <c r="N827" i="4"/>
  <c r="AC827" i="4" s="1"/>
  <c r="A820" i="4"/>
  <c r="A825" i="4"/>
  <c r="A826" i="4"/>
  <c r="A827" i="4"/>
  <c r="A797" i="4"/>
  <c r="N797" i="4"/>
  <c r="S797" i="4"/>
  <c r="T797" i="4"/>
  <c r="AB797" i="4" s="1"/>
  <c r="U797" i="4"/>
  <c r="V797" i="4"/>
  <c r="Y797" i="4"/>
  <c r="Z797" i="4"/>
  <c r="AA797" i="4"/>
  <c r="AF797" i="4"/>
  <c r="U2" i="4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8" i="4"/>
  <c r="U801" i="4"/>
  <c r="U802" i="4"/>
  <c r="U803" i="4"/>
  <c r="U804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A796" i="4"/>
  <c r="N796" i="4"/>
  <c r="S796" i="4"/>
  <c r="T796" i="4"/>
  <c r="AB796" i="4" s="1"/>
  <c r="V796" i="4"/>
  <c r="Y796" i="4"/>
  <c r="Z796" i="4"/>
  <c r="AA796" i="4"/>
  <c r="AF796" i="4"/>
  <c r="A817" i="4"/>
  <c r="N817" i="4"/>
  <c r="S817" i="4"/>
  <c r="T817" i="4"/>
  <c r="V817" i="4"/>
  <c r="Y817" i="4"/>
  <c r="Z817" i="4"/>
  <c r="AA817" i="4"/>
  <c r="AB817" i="4"/>
  <c r="AF817" i="4"/>
  <c r="A816" i="4"/>
  <c r="N816" i="4"/>
  <c r="S816" i="4"/>
  <c r="T816" i="4"/>
  <c r="V816" i="4"/>
  <c r="Y816" i="4"/>
  <c r="Z816" i="4"/>
  <c r="AA816" i="4"/>
  <c r="AB816" i="4"/>
  <c r="AF816" i="4"/>
  <c r="A815" i="4"/>
  <c r="N815" i="4"/>
  <c r="S815" i="4"/>
  <c r="T815" i="4"/>
  <c r="V815" i="4"/>
  <c r="Y815" i="4"/>
  <c r="Z815" i="4"/>
  <c r="AA815" i="4"/>
  <c r="AB815" i="4"/>
  <c r="AF815" i="4"/>
  <c r="A814" i="4"/>
  <c r="N814" i="4"/>
  <c r="S814" i="4"/>
  <c r="T814" i="4"/>
  <c r="V814" i="4"/>
  <c r="Y814" i="4"/>
  <c r="Z814" i="4"/>
  <c r="AA814" i="4"/>
  <c r="AB814" i="4"/>
  <c r="AF814" i="4"/>
  <c r="A813" i="4"/>
  <c r="N813" i="4"/>
  <c r="S813" i="4"/>
  <c r="T813" i="4"/>
  <c r="V813" i="4"/>
  <c r="Y813" i="4"/>
  <c r="Z813" i="4"/>
  <c r="AA813" i="4"/>
  <c r="AB813" i="4"/>
  <c r="AF813" i="4"/>
  <c r="A812" i="4"/>
  <c r="N812" i="4"/>
  <c r="S812" i="4"/>
  <c r="T812" i="4"/>
  <c r="V812" i="4"/>
  <c r="Y812" i="4"/>
  <c r="Z812" i="4"/>
  <c r="AA812" i="4"/>
  <c r="AB812" i="4"/>
  <c r="AF812" i="4"/>
  <c r="A811" i="4"/>
  <c r="N811" i="4"/>
  <c r="S811" i="4"/>
  <c r="T811" i="4"/>
  <c r="V811" i="4"/>
  <c r="Y811" i="4"/>
  <c r="Z811" i="4"/>
  <c r="AA811" i="4"/>
  <c r="AB811" i="4"/>
  <c r="AF811" i="4"/>
  <c r="A810" i="4"/>
  <c r="N810" i="4"/>
  <c r="S810" i="4"/>
  <c r="T810" i="4"/>
  <c r="V810" i="4"/>
  <c r="Y810" i="4"/>
  <c r="Z810" i="4"/>
  <c r="AA810" i="4"/>
  <c r="AB810" i="4"/>
  <c r="AF810" i="4"/>
  <c r="A809" i="4"/>
  <c r="N809" i="4"/>
  <c r="S809" i="4"/>
  <c r="T809" i="4"/>
  <c r="V809" i="4"/>
  <c r="Y809" i="4"/>
  <c r="Z809" i="4"/>
  <c r="AA809" i="4"/>
  <c r="AB809" i="4"/>
  <c r="AF809" i="4"/>
  <c r="A808" i="4"/>
  <c r="N808" i="4"/>
  <c r="S808" i="4"/>
  <c r="T808" i="4"/>
  <c r="V808" i="4"/>
  <c r="Y808" i="4"/>
  <c r="Z808" i="4"/>
  <c r="AA808" i="4"/>
  <c r="AB808" i="4"/>
  <c r="AF808" i="4"/>
  <c r="A807" i="4"/>
  <c r="N807" i="4"/>
  <c r="S807" i="4"/>
  <c r="T807" i="4"/>
  <c r="V807" i="4"/>
  <c r="Y807" i="4"/>
  <c r="Z807" i="4"/>
  <c r="AA807" i="4"/>
  <c r="AB807" i="4"/>
  <c r="AF807" i="4"/>
  <c r="A806" i="4"/>
  <c r="N806" i="4"/>
  <c r="S806" i="4"/>
  <c r="T806" i="4"/>
  <c r="AB806" i="4" s="1"/>
  <c r="V806" i="4"/>
  <c r="Y806" i="4"/>
  <c r="Z806" i="4"/>
  <c r="AA806" i="4"/>
  <c r="AF806" i="4"/>
  <c r="A804" i="4"/>
  <c r="N804" i="4"/>
  <c r="S804" i="4"/>
  <c r="T804" i="4"/>
  <c r="AB804" i="4" s="1"/>
  <c r="V804" i="4"/>
  <c r="Y804" i="4"/>
  <c r="Z804" i="4"/>
  <c r="AA804" i="4"/>
  <c r="AF804" i="4"/>
  <c r="A803" i="4"/>
  <c r="N803" i="4"/>
  <c r="S803" i="4"/>
  <c r="T803" i="4"/>
  <c r="AB803" i="4" s="1"/>
  <c r="V803" i="4"/>
  <c r="Y803" i="4"/>
  <c r="Z803" i="4"/>
  <c r="AA803" i="4"/>
  <c r="AF803" i="4"/>
  <c r="A802" i="4"/>
  <c r="N802" i="4"/>
  <c r="S802" i="4"/>
  <c r="T802" i="4"/>
  <c r="AB802" i="4" s="1"/>
  <c r="V802" i="4"/>
  <c r="Y802" i="4"/>
  <c r="Z802" i="4"/>
  <c r="AA802" i="4"/>
  <c r="AF802" i="4"/>
  <c r="A801" i="4"/>
  <c r="N801" i="4"/>
  <c r="S801" i="4"/>
  <c r="T801" i="4"/>
  <c r="AB801" i="4" s="1"/>
  <c r="V801" i="4"/>
  <c r="Y801" i="4"/>
  <c r="Z801" i="4"/>
  <c r="AA801" i="4"/>
  <c r="AF801" i="4"/>
  <c r="A798" i="4"/>
  <c r="N798" i="4"/>
  <c r="S798" i="4"/>
  <c r="T798" i="4"/>
  <c r="AB798" i="4" s="1"/>
  <c r="V798" i="4"/>
  <c r="Y798" i="4"/>
  <c r="Z798" i="4"/>
  <c r="AA798" i="4"/>
  <c r="AF798" i="4"/>
  <c r="A795" i="4"/>
  <c r="N795" i="4"/>
  <c r="S795" i="4"/>
  <c r="T795" i="4"/>
  <c r="V795" i="4"/>
  <c r="Y795" i="4"/>
  <c r="Z795" i="4"/>
  <c r="AA795" i="4"/>
  <c r="AB795" i="4"/>
  <c r="AF795" i="4"/>
  <c r="A794" i="4"/>
  <c r="N794" i="4"/>
  <c r="S794" i="4"/>
  <c r="T794" i="4"/>
  <c r="AB794" i="4" s="1"/>
  <c r="V794" i="4"/>
  <c r="Y794" i="4"/>
  <c r="Z794" i="4"/>
  <c r="AA794" i="4"/>
  <c r="AF794" i="4"/>
  <c r="A793" i="4"/>
  <c r="N793" i="4"/>
  <c r="S793" i="4"/>
  <c r="T793" i="4"/>
  <c r="AB793" i="4" s="1"/>
  <c r="V793" i="4"/>
  <c r="Y793" i="4"/>
  <c r="Z793" i="4"/>
  <c r="AA793" i="4"/>
  <c r="AF793" i="4"/>
  <c r="A792" i="4"/>
  <c r="N792" i="4"/>
  <c r="S792" i="4"/>
  <c r="T792" i="4"/>
  <c r="AB792" i="4" s="1"/>
  <c r="V792" i="4"/>
  <c r="Y792" i="4"/>
  <c r="Z792" i="4"/>
  <c r="AA792" i="4"/>
  <c r="AF792" i="4"/>
  <c r="A791" i="4"/>
  <c r="N791" i="4"/>
  <c r="S791" i="4"/>
  <c r="T791" i="4"/>
  <c r="AB791" i="4" s="1"/>
  <c r="V791" i="4"/>
  <c r="Y791" i="4"/>
  <c r="Z791" i="4"/>
  <c r="AA791" i="4"/>
  <c r="AF791" i="4"/>
  <c r="A790" i="4"/>
  <c r="N790" i="4"/>
  <c r="S790" i="4"/>
  <c r="T790" i="4"/>
  <c r="AB790" i="4" s="1"/>
  <c r="V790" i="4"/>
  <c r="Y790" i="4"/>
  <c r="Z790" i="4"/>
  <c r="AA790" i="4"/>
  <c r="AF790" i="4"/>
  <c r="A789" i="4"/>
  <c r="N789" i="4"/>
  <c r="S789" i="4"/>
  <c r="T789" i="4"/>
  <c r="AB789" i="4" s="1"/>
  <c r="V789" i="4"/>
  <c r="Y789" i="4"/>
  <c r="Z789" i="4"/>
  <c r="AA789" i="4"/>
  <c r="AF789" i="4"/>
  <c r="A786" i="4"/>
  <c r="N786" i="4"/>
  <c r="S786" i="4"/>
  <c r="T786" i="4"/>
  <c r="AB786" i="4" s="1"/>
  <c r="V786" i="4"/>
  <c r="Y786" i="4"/>
  <c r="Z786" i="4"/>
  <c r="AA786" i="4"/>
  <c r="AF786" i="4"/>
  <c r="A788" i="4"/>
  <c r="N788" i="4"/>
  <c r="S788" i="4"/>
  <c r="T788" i="4"/>
  <c r="AB788" i="4" s="1"/>
  <c r="V788" i="4"/>
  <c r="Y788" i="4"/>
  <c r="Z788" i="4"/>
  <c r="AA788" i="4"/>
  <c r="AF788" i="4"/>
  <c r="A787" i="4"/>
  <c r="N787" i="4"/>
  <c r="S787" i="4"/>
  <c r="T787" i="4"/>
  <c r="AB787" i="4" s="1"/>
  <c r="V787" i="4"/>
  <c r="Y787" i="4"/>
  <c r="Z787" i="4"/>
  <c r="AA787" i="4"/>
  <c r="AF787" i="4"/>
  <c r="A785" i="4"/>
  <c r="N785" i="4"/>
  <c r="S785" i="4"/>
  <c r="T785" i="4"/>
  <c r="AB785" i="4" s="1"/>
  <c r="V785" i="4"/>
  <c r="Y785" i="4"/>
  <c r="Z785" i="4"/>
  <c r="AA785" i="4"/>
  <c r="AF785" i="4"/>
  <c r="A784" i="4"/>
  <c r="N784" i="4"/>
  <c r="S784" i="4"/>
  <c r="T784" i="4"/>
  <c r="AB784" i="4" s="1"/>
  <c r="V784" i="4"/>
  <c r="Y784" i="4"/>
  <c r="Z784" i="4"/>
  <c r="AA784" i="4"/>
  <c r="AF784" i="4"/>
  <c r="A783" i="4"/>
  <c r="N783" i="4"/>
  <c r="S783" i="4"/>
  <c r="T783" i="4"/>
  <c r="V783" i="4"/>
  <c r="Y783" i="4"/>
  <c r="Z783" i="4"/>
  <c r="AA783" i="4"/>
  <c r="AB783" i="4"/>
  <c r="AF783" i="4"/>
  <c r="A782" i="4"/>
  <c r="N782" i="4"/>
  <c r="S782" i="4"/>
  <c r="T782" i="4"/>
  <c r="AB782" i="4" s="1"/>
  <c r="V782" i="4"/>
  <c r="Y782" i="4"/>
  <c r="Z782" i="4"/>
  <c r="AA782" i="4"/>
  <c r="AF782" i="4"/>
  <c r="N775" i="4"/>
  <c r="N776" i="4"/>
  <c r="N777" i="4"/>
  <c r="N778" i="4"/>
  <c r="N779" i="4"/>
  <c r="A779" i="4"/>
  <c r="S779" i="4"/>
  <c r="T779" i="4"/>
  <c r="AB779" i="4" s="1"/>
  <c r="V779" i="4"/>
  <c r="Y779" i="4"/>
  <c r="Z779" i="4"/>
  <c r="AA779" i="4"/>
  <c r="AF779" i="4"/>
  <c r="A777" i="4"/>
  <c r="S777" i="4"/>
  <c r="T777" i="4"/>
  <c r="AB777" i="4" s="1"/>
  <c r="V777" i="4"/>
  <c r="Y777" i="4"/>
  <c r="Z777" i="4"/>
  <c r="AA777" i="4"/>
  <c r="AF777" i="4"/>
  <c r="A775" i="4"/>
  <c r="S775" i="4"/>
  <c r="T775" i="4"/>
  <c r="AB775" i="4" s="1"/>
  <c r="V775" i="4"/>
  <c r="Y775" i="4"/>
  <c r="Z775" i="4"/>
  <c r="AA775" i="4"/>
  <c r="AF775" i="4"/>
  <c r="A781" i="4"/>
  <c r="N781" i="4"/>
  <c r="S781" i="4"/>
  <c r="T781" i="4"/>
  <c r="AB781" i="4" s="1"/>
  <c r="V781" i="4"/>
  <c r="Y781" i="4"/>
  <c r="Z781" i="4"/>
  <c r="AA781" i="4"/>
  <c r="AF781" i="4"/>
  <c r="A778" i="4"/>
  <c r="S778" i="4"/>
  <c r="T778" i="4"/>
  <c r="AB778" i="4" s="1"/>
  <c r="V778" i="4"/>
  <c r="Y778" i="4"/>
  <c r="Z778" i="4"/>
  <c r="AA778" i="4"/>
  <c r="AF778" i="4"/>
  <c r="A773" i="4"/>
  <c r="N773" i="4"/>
  <c r="S773" i="4"/>
  <c r="T773" i="4"/>
  <c r="AB773" i="4" s="1"/>
  <c r="V773" i="4"/>
  <c r="Y773" i="4"/>
  <c r="Z773" i="4"/>
  <c r="AA773" i="4"/>
  <c r="AF773" i="4"/>
  <c r="A768" i="4"/>
  <c r="N768" i="4"/>
  <c r="S768" i="4"/>
  <c r="T768" i="4"/>
  <c r="AB768" i="4" s="1"/>
  <c r="V768" i="4"/>
  <c r="Y768" i="4"/>
  <c r="Z768" i="4"/>
  <c r="AA768" i="4"/>
  <c r="AF768" i="4"/>
  <c r="A776" i="4"/>
  <c r="A780" i="4"/>
  <c r="N780" i="4"/>
  <c r="S776" i="4"/>
  <c r="S780" i="4"/>
  <c r="T776" i="4"/>
  <c r="AB776" i="4" s="1"/>
  <c r="T780" i="4"/>
  <c r="AB780" i="4" s="1"/>
  <c r="V776" i="4"/>
  <c r="V780" i="4"/>
  <c r="Y776" i="4"/>
  <c r="Y780" i="4"/>
  <c r="Z776" i="4"/>
  <c r="Z780" i="4"/>
  <c r="AA776" i="4"/>
  <c r="AA780" i="4"/>
  <c r="AF776" i="4"/>
  <c r="AF780" i="4"/>
  <c r="A774" i="4"/>
  <c r="N774" i="4"/>
  <c r="S774" i="4"/>
  <c r="T774" i="4"/>
  <c r="AB774" i="4" s="1"/>
  <c r="V774" i="4"/>
  <c r="Y774" i="4"/>
  <c r="Z774" i="4"/>
  <c r="AA774" i="4"/>
  <c r="AF774" i="4"/>
  <c r="AF760" i="4"/>
  <c r="AB760" i="4"/>
  <c r="AA760" i="4"/>
  <c r="Z760" i="4"/>
  <c r="Y760" i="4"/>
  <c r="V760" i="4"/>
  <c r="T760" i="4"/>
  <c r="S760" i="4"/>
  <c r="N760" i="4"/>
  <c r="A760" i="4"/>
  <c r="AF758" i="4"/>
  <c r="AB758" i="4"/>
  <c r="AA758" i="4"/>
  <c r="Z758" i="4"/>
  <c r="Y758" i="4"/>
  <c r="V758" i="4"/>
  <c r="T758" i="4"/>
  <c r="S758" i="4"/>
  <c r="N758" i="4"/>
  <c r="A758" i="4"/>
  <c r="A772" i="4"/>
  <c r="N772" i="4"/>
  <c r="S772" i="4"/>
  <c r="T772" i="4"/>
  <c r="AB772" i="4" s="1"/>
  <c r="V772" i="4"/>
  <c r="Y772" i="4"/>
  <c r="Z772" i="4"/>
  <c r="AA772" i="4"/>
  <c r="AF772" i="4"/>
  <c r="V11" i="4"/>
  <c r="S11" i="4"/>
  <c r="AA708" i="4"/>
  <c r="A771" i="4"/>
  <c r="N771" i="4"/>
  <c r="S771" i="4"/>
  <c r="T771" i="4"/>
  <c r="AB771" i="4" s="1"/>
  <c r="V771" i="4"/>
  <c r="Y771" i="4"/>
  <c r="Z771" i="4"/>
  <c r="AA771" i="4"/>
  <c r="AF771" i="4"/>
  <c r="A770" i="4"/>
  <c r="N770" i="4"/>
  <c r="S770" i="4"/>
  <c r="T770" i="4"/>
  <c r="AB770" i="4" s="1"/>
  <c r="V770" i="4"/>
  <c r="Y770" i="4"/>
  <c r="Z770" i="4"/>
  <c r="AA770" i="4"/>
  <c r="AF770" i="4"/>
  <c r="A769" i="4"/>
  <c r="N769" i="4"/>
  <c r="S769" i="4"/>
  <c r="T769" i="4"/>
  <c r="AB769" i="4" s="1"/>
  <c r="V769" i="4"/>
  <c r="Y769" i="4"/>
  <c r="Z769" i="4"/>
  <c r="AA769" i="4"/>
  <c r="AF769" i="4"/>
  <c r="A767" i="4"/>
  <c r="N767" i="4"/>
  <c r="S767" i="4"/>
  <c r="T767" i="4"/>
  <c r="AB767" i="4" s="1"/>
  <c r="V767" i="4"/>
  <c r="Y767" i="4"/>
  <c r="Z767" i="4"/>
  <c r="AA767" i="4"/>
  <c r="AF767" i="4"/>
  <c r="A766" i="4"/>
  <c r="N766" i="4"/>
  <c r="S766" i="4"/>
  <c r="T766" i="4"/>
  <c r="AB766" i="4" s="1"/>
  <c r="V766" i="4"/>
  <c r="Y766" i="4"/>
  <c r="Z766" i="4"/>
  <c r="AA766" i="4"/>
  <c r="AF766" i="4"/>
  <c r="A765" i="4"/>
  <c r="N765" i="4"/>
  <c r="S765" i="4"/>
  <c r="T765" i="4"/>
  <c r="AB765" i="4" s="1"/>
  <c r="V765" i="4"/>
  <c r="Y765" i="4"/>
  <c r="Z765" i="4"/>
  <c r="AA765" i="4"/>
  <c r="AF765" i="4"/>
  <c r="A764" i="4"/>
  <c r="N764" i="4"/>
  <c r="S764" i="4"/>
  <c r="T764" i="4"/>
  <c r="V764" i="4"/>
  <c r="Y764" i="4"/>
  <c r="Z764" i="4"/>
  <c r="AA764" i="4"/>
  <c r="AB764" i="4"/>
  <c r="AF764" i="4"/>
  <c r="A761" i="4"/>
  <c r="N761" i="4"/>
  <c r="S761" i="4"/>
  <c r="T761" i="4"/>
  <c r="AB761" i="4" s="1"/>
  <c r="V761" i="4"/>
  <c r="Y761" i="4"/>
  <c r="Z761" i="4"/>
  <c r="AA761" i="4"/>
  <c r="AF761" i="4"/>
  <c r="A763" i="4"/>
  <c r="N763" i="4"/>
  <c r="S763" i="4"/>
  <c r="T763" i="4"/>
  <c r="AB763" i="4" s="1"/>
  <c r="V763" i="4"/>
  <c r="Y763" i="4"/>
  <c r="Z763" i="4"/>
  <c r="AA763" i="4"/>
  <c r="AF763" i="4"/>
  <c r="A762" i="4"/>
  <c r="N762" i="4"/>
  <c r="S762" i="4"/>
  <c r="T762" i="4"/>
  <c r="AB762" i="4" s="1"/>
  <c r="V762" i="4"/>
  <c r="Y762" i="4"/>
  <c r="Z762" i="4"/>
  <c r="AA762" i="4"/>
  <c r="AF762" i="4"/>
  <c r="A759" i="4"/>
  <c r="N759" i="4"/>
  <c r="S759" i="4"/>
  <c r="T759" i="4"/>
  <c r="AB759" i="4" s="1"/>
  <c r="V759" i="4"/>
  <c r="Y759" i="4"/>
  <c r="Z759" i="4"/>
  <c r="AA759" i="4"/>
  <c r="AF759" i="4"/>
  <c r="A757" i="4"/>
  <c r="N757" i="4"/>
  <c r="S757" i="4"/>
  <c r="T757" i="4"/>
  <c r="AB757" i="4" s="1"/>
  <c r="V757" i="4"/>
  <c r="Y757" i="4"/>
  <c r="Z757" i="4"/>
  <c r="AA757" i="4"/>
  <c r="AF757" i="4"/>
  <c r="A752" i="4"/>
  <c r="N752" i="4"/>
  <c r="S752" i="4"/>
  <c r="T752" i="4"/>
  <c r="AB752" i="4" s="1"/>
  <c r="V752" i="4"/>
  <c r="Y752" i="4"/>
  <c r="Z752" i="4"/>
  <c r="AA752" i="4"/>
  <c r="AF752" i="4"/>
  <c r="A756" i="4"/>
  <c r="N756" i="4"/>
  <c r="S756" i="4"/>
  <c r="T756" i="4"/>
  <c r="AB756" i="4" s="1"/>
  <c r="V756" i="4"/>
  <c r="Y756" i="4"/>
  <c r="Z756" i="4"/>
  <c r="AA756" i="4"/>
  <c r="AF756" i="4"/>
  <c r="A755" i="4"/>
  <c r="N755" i="4"/>
  <c r="S755" i="4"/>
  <c r="T755" i="4"/>
  <c r="AB755" i="4" s="1"/>
  <c r="V755" i="4"/>
  <c r="Y755" i="4"/>
  <c r="Z755" i="4"/>
  <c r="AA755" i="4"/>
  <c r="AF755" i="4"/>
  <c r="A754" i="4"/>
  <c r="N754" i="4"/>
  <c r="S754" i="4"/>
  <c r="T754" i="4"/>
  <c r="AB754" i="4" s="1"/>
  <c r="V754" i="4"/>
  <c r="Y754" i="4"/>
  <c r="Z754" i="4"/>
  <c r="AA754" i="4"/>
  <c r="AF754" i="4"/>
  <c r="AF753" i="4"/>
  <c r="AA753" i="4"/>
  <c r="Z753" i="4"/>
  <c r="Y753" i="4"/>
  <c r="V753" i="4"/>
  <c r="T753" i="4"/>
  <c r="AB753" i="4" s="1"/>
  <c r="S753" i="4"/>
  <c r="N753" i="4"/>
  <c r="A753" i="4"/>
  <c r="A730" i="4"/>
  <c r="N730" i="4"/>
  <c r="S730" i="4"/>
  <c r="T730" i="4"/>
  <c r="AB730" i="4" s="1"/>
  <c r="V730" i="4"/>
  <c r="Y730" i="4"/>
  <c r="Z730" i="4"/>
  <c r="AA730" i="4"/>
  <c r="AF730" i="4"/>
  <c r="A751" i="4"/>
  <c r="N751" i="4"/>
  <c r="S751" i="4"/>
  <c r="T751" i="4"/>
  <c r="AB751" i="4" s="1"/>
  <c r="V751" i="4"/>
  <c r="Y751" i="4"/>
  <c r="Z751" i="4"/>
  <c r="AA751" i="4"/>
  <c r="AF751" i="4"/>
  <c r="A743" i="4"/>
  <c r="N743" i="4"/>
  <c r="S743" i="4"/>
  <c r="T743" i="4"/>
  <c r="AB743" i="4" s="1"/>
  <c r="V743" i="4"/>
  <c r="Y743" i="4"/>
  <c r="Z743" i="4"/>
  <c r="AA743" i="4"/>
  <c r="AF743" i="4"/>
  <c r="A749" i="4"/>
  <c r="N749" i="4"/>
  <c r="S749" i="4"/>
  <c r="T749" i="4"/>
  <c r="AB749" i="4" s="1"/>
  <c r="V749" i="4"/>
  <c r="Y749" i="4"/>
  <c r="Z749" i="4"/>
  <c r="AA749" i="4"/>
  <c r="AF749" i="4"/>
  <c r="A750" i="4"/>
  <c r="N750" i="4"/>
  <c r="S750" i="4"/>
  <c r="T750" i="4"/>
  <c r="AB750" i="4" s="1"/>
  <c r="V750" i="4"/>
  <c r="Y750" i="4"/>
  <c r="Z750" i="4"/>
  <c r="AA750" i="4"/>
  <c r="AF750" i="4"/>
  <c r="V2" i="4"/>
  <c r="V3" i="4"/>
  <c r="V4" i="4"/>
  <c r="V5" i="4"/>
  <c r="V6" i="4"/>
  <c r="V7" i="4"/>
  <c r="V8" i="4"/>
  <c r="V9" i="4"/>
  <c r="V10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4" i="4"/>
  <c r="V745" i="4"/>
  <c r="V746" i="4"/>
  <c r="V747" i="4"/>
  <c r="V748" i="4"/>
  <c r="AI431" i="4"/>
  <c r="S2" i="4"/>
  <c r="A748" i="4"/>
  <c r="N748" i="4"/>
  <c r="S748" i="4"/>
  <c r="T748" i="4"/>
  <c r="AB748" i="4" s="1"/>
  <c r="Y748" i="4"/>
  <c r="Z748" i="4"/>
  <c r="AA748" i="4"/>
  <c r="AF748" i="4"/>
  <c r="A747" i="4"/>
  <c r="N747" i="4"/>
  <c r="S747" i="4"/>
  <c r="T747" i="4"/>
  <c r="Y747" i="4"/>
  <c r="Z747" i="4"/>
  <c r="AA747" i="4"/>
  <c r="AB747" i="4"/>
  <c r="AF747" i="4"/>
  <c r="AF746" i="4"/>
  <c r="AA746" i="4"/>
  <c r="Z746" i="4"/>
  <c r="Y746" i="4"/>
  <c r="T746" i="4"/>
  <c r="AB746" i="4" s="1"/>
  <c r="S746" i="4"/>
  <c r="N746" i="4"/>
  <c r="A746" i="4"/>
  <c r="AF745" i="4"/>
  <c r="AB745" i="4"/>
  <c r="AA745" i="4"/>
  <c r="Z745" i="4"/>
  <c r="Y745" i="4"/>
  <c r="T745" i="4"/>
  <c r="S745" i="4"/>
  <c r="N745" i="4"/>
  <c r="A745" i="4"/>
  <c r="AF744" i="4"/>
  <c r="AA744" i="4"/>
  <c r="Z744" i="4"/>
  <c r="Y744" i="4"/>
  <c r="T744" i="4"/>
  <c r="AB744" i="4" s="1"/>
  <c r="S744" i="4"/>
  <c r="N744" i="4"/>
  <c r="A744" i="4"/>
  <c r="AF742" i="4"/>
  <c r="AA742" i="4"/>
  <c r="Z742" i="4"/>
  <c r="Y742" i="4"/>
  <c r="T742" i="4"/>
  <c r="AB742" i="4" s="1"/>
  <c r="S742" i="4"/>
  <c r="N742" i="4"/>
  <c r="A742" i="4"/>
  <c r="AF741" i="4"/>
  <c r="AA741" i="4"/>
  <c r="Z741" i="4"/>
  <c r="Y741" i="4"/>
  <c r="T741" i="4"/>
  <c r="AB741" i="4" s="1"/>
  <c r="S741" i="4"/>
  <c r="N741" i="4"/>
  <c r="A741" i="4"/>
  <c r="AF740" i="4"/>
  <c r="AA740" i="4"/>
  <c r="Z740" i="4"/>
  <c r="Y740" i="4"/>
  <c r="T740" i="4"/>
  <c r="AB740" i="4" s="1"/>
  <c r="S740" i="4"/>
  <c r="N740" i="4"/>
  <c r="A740" i="4"/>
  <c r="A634" i="4"/>
  <c r="A633" i="4"/>
  <c r="A635" i="4"/>
  <c r="AF720" i="4"/>
  <c r="AF721" i="4"/>
  <c r="AF722" i="4"/>
  <c r="AF723" i="4"/>
  <c r="AF724" i="4"/>
  <c r="AF725" i="4"/>
  <c r="AF726" i="4"/>
  <c r="AF727" i="4"/>
  <c r="AF728" i="4"/>
  <c r="AF729" i="4"/>
  <c r="AF731" i="4"/>
  <c r="AF732" i="4"/>
  <c r="AF733" i="4"/>
  <c r="AF734" i="4"/>
  <c r="AF735" i="4"/>
  <c r="AF736" i="4"/>
  <c r="AF737" i="4"/>
  <c r="AF738" i="4"/>
  <c r="AF739" i="4"/>
  <c r="AB717" i="4"/>
  <c r="AB719" i="4"/>
  <c r="A728" i="4"/>
  <c r="N728" i="4"/>
  <c r="S728" i="4"/>
  <c r="T728" i="4"/>
  <c r="AB728" i="4" s="1"/>
  <c r="Y728" i="4"/>
  <c r="Z728" i="4"/>
  <c r="AA728" i="4"/>
  <c r="A739" i="4"/>
  <c r="Y720" i="4"/>
  <c r="Z720" i="4"/>
  <c r="AA720" i="4"/>
  <c r="Y721" i="4"/>
  <c r="Z721" i="4"/>
  <c r="AA721" i="4"/>
  <c r="Y722" i="4"/>
  <c r="Z722" i="4"/>
  <c r="AA722" i="4"/>
  <c r="Y723" i="4"/>
  <c r="Z723" i="4"/>
  <c r="AA723" i="4"/>
  <c r="Y724" i="4"/>
  <c r="Z724" i="4"/>
  <c r="AA724" i="4"/>
  <c r="Y725" i="4"/>
  <c r="Z725" i="4"/>
  <c r="AA725" i="4"/>
  <c r="Y726" i="4"/>
  <c r="Z726" i="4"/>
  <c r="AA726" i="4"/>
  <c r="Y727" i="4"/>
  <c r="Z727" i="4"/>
  <c r="AA727" i="4"/>
  <c r="Y729" i="4"/>
  <c r="Z729" i="4"/>
  <c r="AA729" i="4"/>
  <c r="AB729" i="4"/>
  <c r="Y731" i="4"/>
  <c r="Z731" i="4"/>
  <c r="AA731" i="4"/>
  <c r="Y732" i="4"/>
  <c r="Z732" i="4"/>
  <c r="AA732" i="4"/>
  <c r="T721" i="4"/>
  <c r="AB721" i="4" s="1"/>
  <c r="T722" i="4"/>
  <c r="AB722" i="4" s="1"/>
  <c r="T723" i="4"/>
  <c r="AB723" i="4" s="1"/>
  <c r="T724" i="4"/>
  <c r="AB724" i="4" s="1"/>
  <c r="T725" i="4"/>
  <c r="AB725" i="4" s="1"/>
  <c r="T726" i="4"/>
  <c r="AB726" i="4" s="1"/>
  <c r="T727" i="4"/>
  <c r="AB727" i="4" s="1"/>
  <c r="T729" i="4"/>
  <c r="T731" i="4"/>
  <c r="AB731" i="4" s="1"/>
  <c r="T732" i="4"/>
  <c r="AB732" i="4" s="1"/>
  <c r="T733" i="4"/>
  <c r="AB733" i="4" s="1"/>
  <c r="T734" i="4"/>
  <c r="AB734" i="4" s="1"/>
  <c r="T735" i="4"/>
  <c r="AB735" i="4" s="1"/>
  <c r="T736" i="4"/>
  <c r="T737" i="4"/>
  <c r="T738" i="4"/>
  <c r="T739" i="4"/>
  <c r="S721" i="4"/>
  <c r="S722" i="4"/>
  <c r="S723" i="4"/>
  <c r="S724" i="4"/>
  <c r="S725" i="4"/>
  <c r="S726" i="4"/>
  <c r="S727" i="4"/>
  <c r="S729" i="4"/>
  <c r="S731" i="4"/>
  <c r="S732" i="4"/>
  <c r="N723" i="4"/>
  <c r="N724" i="4"/>
  <c r="N725" i="4"/>
  <c r="N726" i="4"/>
  <c r="N727" i="4"/>
  <c r="N729" i="4"/>
  <c r="N731" i="4"/>
  <c r="N732" i="4"/>
  <c r="N733" i="4"/>
  <c r="N734" i="4"/>
  <c r="N735" i="4"/>
  <c r="N721" i="4"/>
  <c r="N722" i="4"/>
  <c r="N739" i="4"/>
  <c r="S739" i="4"/>
  <c r="Y739" i="4"/>
  <c r="Z739" i="4"/>
  <c r="AA739" i="4"/>
  <c r="AB739" i="4"/>
  <c r="A737" i="4"/>
  <c r="N737" i="4"/>
  <c r="S737" i="4"/>
  <c r="Y737" i="4"/>
  <c r="Z737" i="4"/>
  <c r="AA737" i="4"/>
  <c r="AB737" i="4"/>
  <c r="A735" i="4"/>
  <c r="S735" i="4"/>
  <c r="Y735" i="4"/>
  <c r="Z735" i="4"/>
  <c r="AA735" i="4"/>
  <c r="A733" i="4"/>
  <c r="S733" i="4"/>
  <c r="Y733" i="4"/>
  <c r="Z733" i="4"/>
  <c r="AA733" i="4"/>
  <c r="A736" i="4"/>
  <c r="A738" i="4"/>
  <c r="N736" i="4"/>
  <c r="N738" i="4"/>
  <c r="S736" i="4"/>
  <c r="S738" i="4"/>
  <c r="Y736" i="4"/>
  <c r="Y738" i="4"/>
  <c r="Z736" i="4"/>
  <c r="Z738" i="4"/>
  <c r="AA736" i="4"/>
  <c r="AA738" i="4"/>
  <c r="AB736" i="4"/>
  <c r="AB738" i="4"/>
  <c r="A734" i="4"/>
  <c r="S734" i="4"/>
  <c r="Y734" i="4"/>
  <c r="Z734" i="4"/>
  <c r="AA734" i="4"/>
  <c r="A73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9" i="4"/>
  <c r="A73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T92" i="4"/>
  <c r="AB92" i="4" s="1"/>
  <c r="T93" i="4"/>
  <c r="AB93" i="4" s="1"/>
  <c r="T94" i="4"/>
  <c r="AB94" i="4" s="1"/>
  <c r="T95" i="4"/>
  <c r="AB95" i="4" s="1"/>
  <c r="T96" i="4"/>
  <c r="AB96" i="4" s="1"/>
  <c r="T97" i="4"/>
  <c r="AB97" i="4" s="1"/>
  <c r="T98" i="4"/>
  <c r="AB98" i="4" s="1"/>
  <c r="T99" i="4"/>
  <c r="AB99" i="4" s="1"/>
  <c r="T100" i="4"/>
  <c r="AB100" i="4" s="1"/>
  <c r="T101" i="4"/>
  <c r="AB101" i="4" s="1"/>
  <c r="T102" i="4"/>
  <c r="AB102" i="4" s="1"/>
  <c r="T103" i="4"/>
  <c r="AB103" i="4" s="1"/>
  <c r="T104" i="4"/>
  <c r="AB104" i="4" s="1"/>
  <c r="T105" i="4"/>
  <c r="AB105" i="4" s="1"/>
  <c r="T106" i="4"/>
  <c r="AB106" i="4" s="1"/>
  <c r="T107" i="4"/>
  <c r="AB107" i="4" s="1"/>
  <c r="T108" i="4"/>
  <c r="AB108" i="4" s="1"/>
  <c r="T109" i="4"/>
  <c r="AB109" i="4" s="1"/>
  <c r="T110" i="4"/>
  <c r="AB110" i="4" s="1"/>
  <c r="T111" i="4"/>
  <c r="AB111" i="4" s="1"/>
  <c r="T112" i="4"/>
  <c r="AB112" i="4" s="1"/>
  <c r="T113" i="4"/>
  <c r="AB113" i="4" s="1"/>
  <c r="T114" i="4"/>
  <c r="AB114" i="4" s="1"/>
  <c r="T115" i="4"/>
  <c r="AB115" i="4" s="1"/>
  <c r="T116" i="4"/>
  <c r="AB116" i="4" s="1"/>
  <c r="T117" i="4"/>
  <c r="T118" i="4"/>
  <c r="AB118" i="4" s="1"/>
  <c r="T119" i="4"/>
  <c r="AB119" i="4" s="1"/>
  <c r="T120" i="4"/>
  <c r="AB120" i="4" s="1"/>
  <c r="T121" i="4"/>
  <c r="AB121" i="4" s="1"/>
  <c r="T122" i="4"/>
  <c r="AB122" i="4" s="1"/>
  <c r="T123" i="4"/>
  <c r="AB123" i="4" s="1"/>
  <c r="T124" i="4"/>
  <c r="AB124" i="4" s="1"/>
  <c r="T125" i="4"/>
  <c r="AB125" i="4" s="1"/>
  <c r="T126" i="4"/>
  <c r="AB126" i="4" s="1"/>
  <c r="T127" i="4"/>
  <c r="AB127" i="4" s="1"/>
  <c r="T128" i="4"/>
  <c r="AB128" i="4" s="1"/>
  <c r="T129" i="4"/>
  <c r="AB129" i="4" s="1"/>
  <c r="T130" i="4"/>
  <c r="AB130" i="4" s="1"/>
  <c r="T131" i="4"/>
  <c r="AB131" i="4" s="1"/>
  <c r="T132" i="4"/>
  <c r="AB132" i="4" s="1"/>
  <c r="T133" i="4"/>
  <c r="AB133" i="4" s="1"/>
  <c r="T134" i="4"/>
  <c r="AB134" i="4" s="1"/>
  <c r="T135" i="4"/>
  <c r="AB135" i="4" s="1"/>
  <c r="T136" i="4"/>
  <c r="AB136" i="4" s="1"/>
  <c r="T137" i="4"/>
  <c r="AB137" i="4" s="1"/>
  <c r="T138" i="4"/>
  <c r="AB138" i="4" s="1"/>
  <c r="T139" i="4"/>
  <c r="AB139" i="4" s="1"/>
  <c r="T140" i="4"/>
  <c r="AB140" i="4" s="1"/>
  <c r="T141" i="4"/>
  <c r="AB141" i="4" s="1"/>
  <c r="T142" i="4"/>
  <c r="AB142" i="4" s="1"/>
  <c r="T143" i="4"/>
  <c r="AB143" i="4" s="1"/>
  <c r="T144" i="4"/>
  <c r="AB144" i="4" s="1"/>
  <c r="T145" i="4"/>
  <c r="AB145" i="4" s="1"/>
  <c r="T146" i="4"/>
  <c r="AB146" i="4" s="1"/>
  <c r="T147" i="4"/>
  <c r="T148" i="4"/>
  <c r="AB148" i="4" s="1"/>
  <c r="T149" i="4"/>
  <c r="AB149" i="4" s="1"/>
  <c r="T150" i="4"/>
  <c r="AB150" i="4" s="1"/>
  <c r="T151" i="4"/>
  <c r="AB151" i="4" s="1"/>
  <c r="T152" i="4"/>
  <c r="AB152" i="4" s="1"/>
  <c r="T153" i="4"/>
  <c r="AB153" i="4" s="1"/>
  <c r="T154" i="4"/>
  <c r="AB154" i="4" s="1"/>
  <c r="T155" i="4"/>
  <c r="AB155" i="4" s="1"/>
  <c r="T156" i="4"/>
  <c r="AB156" i="4" s="1"/>
  <c r="T157" i="4"/>
  <c r="AB157" i="4" s="1"/>
  <c r="T158" i="4"/>
  <c r="AB158" i="4" s="1"/>
  <c r="T159" i="4"/>
  <c r="AB159" i="4" s="1"/>
  <c r="T160" i="4"/>
  <c r="AB160" i="4" s="1"/>
  <c r="T161" i="4"/>
  <c r="AB161" i="4" s="1"/>
  <c r="T162" i="4"/>
  <c r="AB162" i="4" s="1"/>
  <c r="T163" i="4"/>
  <c r="AB163" i="4" s="1"/>
  <c r="T164" i="4"/>
  <c r="AB164" i="4" s="1"/>
  <c r="T165" i="4"/>
  <c r="AB165" i="4" s="1"/>
  <c r="T166" i="4"/>
  <c r="AB166" i="4" s="1"/>
  <c r="T167" i="4"/>
  <c r="AB167" i="4" s="1"/>
  <c r="T168" i="4"/>
  <c r="AB168" i="4" s="1"/>
  <c r="T169" i="4"/>
  <c r="AB169" i="4" s="1"/>
  <c r="T170" i="4"/>
  <c r="AB170" i="4" s="1"/>
  <c r="T171" i="4"/>
  <c r="AB171" i="4" s="1"/>
  <c r="T172" i="4"/>
  <c r="AB172" i="4" s="1"/>
  <c r="T173" i="4"/>
  <c r="AB173" i="4" s="1"/>
  <c r="T174" i="4"/>
  <c r="AB174" i="4" s="1"/>
  <c r="T175" i="4"/>
  <c r="AB175" i="4" s="1"/>
  <c r="T176" i="4"/>
  <c r="AB176" i="4" s="1"/>
  <c r="T177" i="4"/>
  <c r="AB177" i="4" s="1"/>
  <c r="T178" i="4"/>
  <c r="AB178" i="4" s="1"/>
  <c r="T179" i="4"/>
  <c r="AB179" i="4" s="1"/>
  <c r="T180" i="4"/>
  <c r="AB180" i="4" s="1"/>
  <c r="T181" i="4"/>
  <c r="AB181" i="4" s="1"/>
  <c r="T182" i="4"/>
  <c r="AB182" i="4" s="1"/>
  <c r="T183" i="4"/>
  <c r="AB183" i="4" s="1"/>
  <c r="T184" i="4"/>
  <c r="T185" i="4"/>
  <c r="AB185" i="4" s="1"/>
  <c r="T186" i="4"/>
  <c r="AB186" i="4" s="1"/>
  <c r="T187" i="4"/>
  <c r="AB187" i="4" s="1"/>
  <c r="T188" i="4"/>
  <c r="AB188" i="4" s="1"/>
  <c r="T189" i="4"/>
  <c r="AB189" i="4" s="1"/>
  <c r="T190" i="4"/>
  <c r="AB190" i="4" s="1"/>
  <c r="T191" i="4"/>
  <c r="AB191" i="4" s="1"/>
  <c r="T192" i="4"/>
  <c r="AB192" i="4" s="1"/>
  <c r="T193" i="4"/>
  <c r="AB193" i="4" s="1"/>
  <c r="T194" i="4"/>
  <c r="AB194" i="4" s="1"/>
  <c r="T195" i="4"/>
  <c r="AB195" i="4" s="1"/>
  <c r="T196" i="4"/>
  <c r="AB196" i="4" s="1"/>
  <c r="T197" i="4"/>
  <c r="AB197" i="4" s="1"/>
  <c r="T198" i="4"/>
  <c r="T199" i="4"/>
  <c r="AB199" i="4" s="1"/>
  <c r="T200" i="4"/>
  <c r="AB200" i="4" s="1"/>
  <c r="T201" i="4"/>
  <c r="AB201" i="4" s="1"/>
  <c r="T202" i="4"/>
  <c r="AB202" i="4" s="1"/>
  <c r="T203" i="4"/>
  <c r="AB203" i="4" s="1"/>
  <c r="T204" i="4"/>
  <c r="AB204" i="4" s="1"/>
  <c r="T205" i="4"/>
  <c r="AB205" i="4" s="1"/>
  <c r="T206" i="4"/>
  <c r="AB206" i="4" s="1"/>
  <c r="T207" i="4"/>
  <c r="AB207" i="4" s="1"/>
  <c r="T208" i="4"/>
  <c r="AB208" i="4" s="1"/>
  <c r="T209" i="4"/>
  <c r="AB209" i="4" s="1"/>
  <c r="T210" i="4"/>
  <c r="AB210" i="4" s="1"/>
  <c r="T211" i="4"/>
  <c r="AB211" i="4" s="1"/>
  <c r="T212" i="4"/>
  <c r="AB212" i="4" s="1"/>
  <c r="T213" i="4"/>
  <c r="AB213" i="4" s="1"/>
  <c r="T214" i="4"/>
  <c r="AB214" i="4" s="1"/>
  <c r="T215" i="4"/>
  <c r="AB215" i="4" s="1"/>
  <c r="T216" i="4"/>
  <c r="AB216" i="4" s="1"/>
  <c r="T217" i="4"/>
  <c r="AB217" i="4" s="1"/>
  <c r="T218" i="4"/>
  <c r="AB218" i="4" s="1"/>
  <c r="T219" i="4"/>
  <c r="AB219" i="4" s="1"/>
  <c r="T220" i="4"/>
  <c r="AB220" i="4" s="1"/>
  <c r="T221" i="4"/>
  <c r="AB221" i="4" s="1"/>
  <c r="T222" i="4"/>
  <c r="AB222" i="4" s="1"/>
  <c r="T223" i="4"/>
  <c r="AB223" i="4" s="1"/>
  <c r="T224" i="4"/>
  <c r="AB224" i="4" s="1"/>
  <c r="T225" i="4"/>
  <c r="AB225" i="4" s="1"/>
  <c r="T226" i="4"/>
  <c r="AB226" i="4" s="1"/>
  <c r="T227" i="4"/>
  <c r="AB227" i="4" s="1"/>
  <c r="T228" i="4"/>
  <c r="AB228" i="4" s="1"/>
  <c r="T229" i="4"/>
  <c r="AB229" i="4" s="1"/>
  <c r="T230" i="4"/>
  <c r="AB230" i="4" s="1"/>
  <c r="T231" i="4"/>
  <c r="AB231" i="4" s="1"/>
  <c r="T232" i="4"/>
  <c r="AB232" i="4" s="1"/>
  <c r="T233" i="4"/>
  <c r="AB233" i="4" s="1"/>
  <c r="T234" i="4"/>
  <c r="AB234" i="4" s="1"/>
  <c r="T235" i="4"/>
  <c r="AB235" i="4" s="1"/>
  <c r="T236" i="4"/>
  <c r="AB236" i="4" s="1"/>
  <c r="T237" i="4"/>
  <c r="AB237" i="4" s="1"/>
  <c r="T238" i="4"/>
  <c r="AB238" i="4" s="1"/>
  <c r="T239" i="4"/>
  <c r="AB239" i="4" s="1"/>
  <c r="T240" i="4"/>
  <c r="AB240" i="4" s="1"/>
  <c r="T241" i="4"/>
  <c r="AB241" i="4" s="1"/>
  <c r="T242" i="4"/>
  <c r="AB242" i="4" s="1"/>
  <c r="T243" i="4"/>
  <c r="AB243" i="4" s="1"/>
  <c r="T244" i="4"/>
  <c r="AB244" i="4" s="1"/>
  <c r="T245" i="4"/>
  <c r="AB245" i="4" s="1"/>
  <c r="T246" i="4"/>
  <c r="AB246" i="4" s="1"/>
  <c r="T247" i="4"/>
  <c r="AB247" i="4" s="1"/>
  <c r="T248" i="4"/>
  <c r="AB248" i="4" s="1"/>
  <c r="T249" i="4"/>
  <c r="AB249" i="4" s="1"/>
  <c r="T250" i="4"/>
  <c r="AB250" i="4" s="1"/>
  <c r="T251" i="4"/>
  <c r="AB251" i="4" s="1"/>
  <c r="T252" i="4"/>
  <c r="AB252" i="4" s="1"/>
  <c r="T253" i="4"/>
  <c r="AB253" i="4" s="1"/>
  <c r="T254" i="4"/>
  <c r="AB254" i="4" s="1"/>
  <c r="T255" i="4"/>
  <c r="AB255" i="4" s="1"/>
  <c r="T256" i="4"/>
  <c r="AB256" i="4" s="1"/>
  <c r="T257" i="4"/>
  <c r="AB257" i="4" s="1"/>
  <c r="T258" i="4"/>
  <c r="AB258" i="4" s="1"/>
  <c r="T259" i="4"/>
  <c r="AB259" i="4" s="1"/>
  <c r="T260" i="4"/>
  <c r="AB260" i="4" s="1"/>
  <c r="T261" i="4"/>
  <c r="AB261" i="4" s="1"/>
  <c r="T262" i="4"/>
  <c r="AB262" i="4" s="1"/>
  <c r="T263" i="4"/>
  <c r="AB263" i="4" s="1"/>
  <c r="T264" i="4"/>
  <c r="AB264" i="4" s="1"/>
  <c r="T265" i="4"/>
  <c r="AB265" i="4" s="1"/>
  <c r="T266" i="4"/>
  <c r="AB266" i="4" s="1"/>
  <c r="T267" i="4"/>
  <c r="AB267" i="4" s="1"/>
  <c r="T268" i="4"/>
  <c r="AB268" i="4" s="1"/>
  <c r="T269" i="4"/>
  <c r="AB269" i="4" s="1"/>
  <c r="T270" i="4"/>
  <c r="AB270" i="4" s="1"/>
  <c r="T271" i="4"/>
  <c r="AB271" i="4" s="1"/>
  <c r="T272" i="4"/>
  <c r="AB272" i="4" s="1"/>
  <c r="T273" i="4"/>
  <c r="AB273" i="4" s="1"/>
  <c r="T274" i="4"/>
  <c r="AB274" i="4" s="1"/>
  <c r="T275" i="4"/>
  <c r="AB275" i="4" s="1"/>
  <c r="T276" i="4"/>
  <c r="AB276" i="4" s="1"/>
  <c r="T277" i="4"/>
  <c r="AB277" i="4" s="1"/>
  <c r="T278" i="4"/>
  <c r="AB278" i="4" s="1"/>
  <c r="T279" i="4"/>
  <c r="AB279" i="4" s="1"/>
  <c r="T280" i="4"/>
  <c r="AB280" i="4" s="1"/>
  <c r="T281" i="4"/>
  <c r="AB281" i="4" s="1"/>
  <c r="T282" i="4"/>
  <c r="AB282" i="4" s="1"/>
  <c r="T283" i="4"/>
  <c r="AB283" i="4" s="1"/>
  <c r="T284" i="4"/>
  <c r="AB284" i="4" s="1"/>
  <c r="T285" i="4"/>
  <c r="AB285" i="4" s="1"/>
  <c r="T286" i="4"/>
  <c r="AB286" i="4" s="1"/>
  <c r="T287" i="4"/>
  <c r="AB287" i="4" s="1"/>
  <c r="T288" i="4"/>
  <c r="AB288" i="4" s="1"/>
  <c r="T289" i="4"/>
  <c r="AB289" i="4" s="1"/>
  <c r="T290" i="4"/>
  <c r="AB290" i="4" s="1"/>
  <c r="T291" i="4"/>
  <c r="AB291" i="4" s="1"/>
  <c r="T292" i="4"/>
  <c r="AB292" i="4" s="1"/>
  <c r="T293" i="4"/>
  <c r="AB293" i="4" s="1"/>
  <c r="T294" i="4"/>
  <c r="AB294" i="4" s="1"/>
  <c r="T295" i="4"/>
  <c r="AB295" i="4" s="1"/>
  <c r="T296" i="4"/>
  <c r="AB296" i="4" s="1"/>
  <c r="T297" i="4"/>
  <c r="AB297" i="4" s="1"/>
  <c r="T298" i="4"/>
  <c r="AB298" i="4" s="1"/>
  <c r="T299" i="4"/>
  <c r="AB299" i="4" s="1"/>
  <c r="T300" i="4"/>
  <c r="AB300" i="4" s="1"/>
  <c r="T301" i="4"/>
  <c r="AB301" i="4" s="1"/>
  <c r="T302" i="4"/>
  <c r="AB302" i="4" s="1"/>
  <c r="T303" i="4"/>
  <c r="AB303" i="4" s="1"/>
  <c r="T304" i="4"/>
  <c r="AB304" i="4" s="1"/>
  <c r="T305" i="4"/>
  <c r="AB305" i="4" s="1"/>
  <c r="T306" i="4"/>
  <c r="AB306" i="4" s="1"/>
  <c r="T307" i="4"/>
  <c r="AB307" i="4" s="1"/>
  <c r="T308" i="4"/>
  <c r="AB308" i="4" s="1"/>
  <c r="T309" i="4"/>
  <c r="AB309" i="4" s="1"/>
  <c r="T310" i="4"/>
  <c r="AB310" i="4" s="1"/>
  <c r="T311" i="4"/>
  <c r="AB311" i="4" s="1"/>
  <c r="T312" i="4"/>
  <c r="AB312" i="4" s="1"/>
  <c r="T313" i="4"/>
  <c r="AB313" i="4" s="1"/>
  <c r="T314" i="4"/>
  <c r="AB314" i="4" s="1"/>
  <c r="T315" i="4"/>
  <c r="AB315" i="4" s="1"/>
  <c r="T316" i="4"/>
  <c r="AB316" i="4" s="1"/>
  <c r="T317" i="4"/>
  <c r="T318" i="4"/>
  <c r="AB318" i="4" s="1"/>
  <c r="T319" i="4"/>
  <c r="AB319" i="4" s="1"/>
  <c r="T320" i="4"/>
  <c r="AB320" i="4" s="1"/>
  <c r="T321" i="4"/>
  <c r="AB321" i="4" s="1"/>
  <c r="T322" i="4"/>
  <c r="AB322" i="4" s="1"/>
  <c r="T323" i="4"/>
  <c r="AB323" i="4" s="1"/>
  <c r="T324" i="4"/>
  <c r="AB324" i="4" s="1"/>
  <c r="T325" i="4"/>
  <c r="AB325" i="4" s="1"/>
  <c r="T326" i="4"/>
  <c r="AB326" i="4" s="1"/>
  <c r="T327" i="4"/>
  <c r="AB327" i="4" s="1"/>
  <c r="T328" i="4"/>
  <c r="AB328" i="4" s="1"/>
  <c r="T329" i="4"/>
  <c r="AB329" i="4" s="1"/>
  <c r="T330" i="4"/>
  <c r="AB330" i="4" s="1"/>
  <c r="T331" i="4"/>
  <c r="AB331" i="4" s="1"/>
  <c r="T332" i="4"/>
  <c r="AB332" i="4" s="1"/>
  <c r="T333" i="4"/>
  <c r="AB333" i="4" s="1"/>
  <c r="T334" i="4"/>
  <c r="AB334" i="4" s="1"/>
  <c r="T335" i="4"/>
  <c r="AB335" i="4" s="1"/>
  <c r="T336" i="4"/>
  <c r="AB336" i="4" s="1"/>
  <c r="T337" i="4"/>
  <c r="AB337" i="4" s="1"/>
  <c r="T338" i="4"/>
  <c r="AB338" i="4" s="1"/>
  <c r="T339" i="4"/>
  <c r="AB339" i="4" s="1"/>
  <c r="T340" i="4"/>
  <c r="AB340" i="4" s="1"/>
  <c r="T341" i="4"/>
  <c r="AB341" i="4" s="1"/>
  <c r="T342" i="4"/>
  <c r="AB342" i="4" s="1"/>
  <c r="T343" i="4"/>
  <c r="AB343" i="4" s="1"/>
  <c r="T344" i="4"/>
  <c r="AB344" i="4" s="1"/>
  <c r="T345" i="4"/>
  <c r="AB345" i="4" s="1"/>
  <c r="T346" i="4"/>
  <c r="AB346" i="4" s="1"/>
  <c r="T347" i="4"/>
  <c r="AB347" i="4" s="1"/>
  <c r="T348" i="4"/>
  <c r="AB348" i="4" s="1"/>
  <c r="T349" i="4"/>
  <c r="AB349" i="4" s="1"/>
  <c r="T350" i="4"/>
  <c r="AB350" i="4" s="1"/>
  <c r="T351" i="4"/>
  <c r="AB351" i="4" s="1"/>
  <c r="T352" i="4"/>
  <c r="AB352" i="4" s="1"/>
  <c r="T353" i="4"/>
  <c r="AB353" i="4" s="1"/>
  <c r="T354" i="4"/>
  <c r="AB354" i="4" s="1"/>
  <c r="T355" i="4"/>
  <c r="AB355" i="4" s="1"/>
  <c r="T356" i="4"/>
  <c r="AB356" i="4" s="1"/>
  <c r="T357" i="4"/>
  <c r="AB357" i="4" s="1"/>
  <c r="T358" i="4"/>
  <c r="AB358" i="4" s="1"/>
  <c r="T359" i="4"/>
  <c r="AB359" i="4" s="1"/>
  <c r="T360" i="4"/>
  <c r="AB360" i="4" s="1"/>
  <c r="T361" i="4"/>
  <c r="AB361" i="4" s="1"/>
  <c r="T362" i="4"/>
  <c r="AB362" i="4" s="1"/>
  <c r="T363" i="4"/>
  <c r="AB363" i="4" s="1"/>
  <c r="T364" i="4"/>
  <c r="AB364" i="4" s="1"/>
  <c r="T365" i="4"/>
  <c r="AB365" i="4" s="1"/>
  <c r="T366" i="4"/>
  <c r="AB366" i="4" s="1"/>
  <c r="T367" i="4"/>
  <c r="AB367" i="4" s="1"/>
  <c r="T368" i="4"/>
  <c r="AB368" i="4" s="1"/>
  <c r="T369" i="4"/>
  <c r="AB369" i="4" s="1"/>
  <c r="T370" i="4"/>
  <c r="AB370" i="4" s="1"/>
  <c r="T371" i="4"/>
  <c r="AB371" i="4" s="1"/>
  <c r="T372" i="4"/>
  <c r="AB372" i="4" s="1"/>
  <c r="T373" i="4"/>
  <c r="AB373" i="4" s="1"/>
  <c r="T374" i="4"/>
  <c r="AB374" i="4" s="1"/>
  <c r="T375" i="4"/>
  <c r="AB375" i="4" s="1"/>
  <c r="T376" i="4"/>
  <c r="AB376" i="4" s="1"/>
  <c r="T377" i="4"/>
  <c r="AB377" i="4" s="1"/>
  <c r="T378" i="4"/>
  <c r="AB378" i="4" s="1"/>
  <c r="T379" i="4"/>
  <c r="AB379" i="4" s="1"/>
  <c r="T380" i="4"/>
  <c r="AB380" i="4" s="1"/>
  <c r="T381" i="4"/>
  <c r="AB381" i="4" s="1"/>
  <c r="T382" i="4"/>
  <c r="AB382" i="4" s="1"/>
  <c r="T383" i="4"/>
  <c r="AB383" i="4" s="1"/>
  <c r="T384" i="4"/>
  <c r="AB384" i="4" s="1"/>
  <c r="T385" i="4"/>
  <c r="AB385" i="4" s="1"/>
  <c r="T386" i="4"/>
  <c r="AB386" i="4" s="1"/>
  <c r="T387" i="4"/>
  <c r="AB387" i="4" s="1"/>
  <c r="T388" i="4"/>
  <c r="AB388" i="4" s="1"/>
  <c r="T389" i="4"/>
  <c r="AB389" i="4" s="1"/>
  <c r="T390" i="4"/>
  <c r="AB390" i="4" s="1"/>
  <c r="T391" i="4"/>
  <c r="AB391" i="4" s="1"/>
  <c r="T392" i="4"/>
  <c r="AB392" i="4" s="1"/>
  <c r="T393" i="4"/>
  <c r="AB393" i="4" s="1"/>
  <c r="T394" i="4"/>
  <c r="AB394" i="4" s="1"/>
  <c r="T395" i="4"/>
  <c r="AB395" i="4" s="1"/>
  <c r="T396" i="4"/>
  <c r="AB396" i="4" s="1"/>
  <c r="T397" i="4"/>
  <c r="AB397" i="4" s="1"/>
  <c r="T398" i="4"/>
  <c r="AB398" i="4" s="1"/>
  <c r="T399" i="4"/>
  <c r="AB399" i="4" s="1"/>
  <c r="T400" i="4"/>
  <c r="AB400" i="4" s="1"/>
  <c r="T401" i="4"/>
  <c r="AB401" i="4" s="1"/>
  <c r="T402" i="4"/>
  <c r="AB402" i="4" s="1"/>
  <c r="T403" i="4"/>
  <c r="AB403" i="4" s="1"/>
  <c r="T404" i="4"/>
  <c r="AB404" i="4" s="1"/>
  <c r="T405" i="4"/>
  <c r="AB405" i="4" s="1"/>
  <c r="T406" i="4"/>
  <c r="AB406" i="4" s="1"/>
  <c r="T407" i="4"/>
  <c r="AB407" i="4" s="1"/>
  <c r="T408" i="4"/>
  <c r="AB408" i="4" s="1"/>
  <c r="T409" i="4"/>
  <c r="AB409" i="4" s="1"/>
  <c r="T410" i="4"/>
  <c r="AB410" i="4" s="1"/>
  <c r="T411" i="4"/>
  <c r="AB411" i="4" s="1"/>
  <c r="T412" i="4"/>
  <c r="AB412" i="4" s="1"/>
  <c r="T413" i="4"/>
  <c r="AB413" i="4" s="1"/>
  <c r="T414" i="4"/>
  <c r="AB414" i="4" s="1"/>
  <c r="T415" i="4"/>
  <c r="AB415" i="4" s="1"/>
  <c r="T416" i="4"/>
  <c r="AB416" i="4" s="1"/>
  <c r="T417" i="4"/>
  <c r="AB417" i="4" s="1"/>
  <c r="T418" i="4"/>
  <c r="AB418" i="4" s="1"/>
  <c r="T419" i="4"/>
  <c r="AB419" i="4" s="1"/>
  <c r="T420" i="4"/>
  <c r="AB420" i="4" s="1"/>
  <c r="T421" i="4"/>
  <c r="AB421" i="4" s="1"/>
  <c r="T422" i="4"/>
  <c r="AB422" i="4" s="1"/>
  <c r="T423" i="4"/>
  <c r="AB423" i="4" s="1"/>
  <c r="T424" i="4"/>
  <c r="AB424" i="4" s="1"/>
  <c r="T425" i="4"/>
  <c r="AB425" i="4" s="1"/>
  <c r="T426" i="4"/>
  <c r="AB426" i="4" s="1"/>
  <c r="T427" i="4"/>
  <c r="AB427" i="4" s="1"/>
  <c r="T428" i="4"/>
  <c r="AB428" i="4" s="1"/>
  <c r="T429" i="4"/>
  <c r="AB429" i="4" s="1"/>
  <c r="T430" i="4"/>
  <c r="AB430" i="4" s="1"/>
  <c r="T431" i="4"/>
  <c r="AB431" i="4" s="1"/>
  <c r="T432" i="4"/>
  <c r="AB432" i="4" s="1"/>
  <c r="T433" i="4"/>
  <c r="T434" i="4"/>
  <c r="AB434" i="4" s="1"/>
  <c r="T435" i="4"/>
  <c r="AB435" i="4" s="1"/>
  <c r="T436" i="4"/>
  <c r="AB436" i="4" s="1"/>
  <c r="T437" i="4"/>
  <c r="AB437" i="4" s="1"/>
  <c r="T438" i="4"/>
  <c r="AB438" i="4" s="1"/>
  <c r="T439" i="4"/>
  <c r="AB439" i="4" s="1"/>
  <c r="T440" i="4"/>
  <c r="AB440" i="4" s="1"/>
  <c r="T441" i="4"/>
  <c r="AB441" i="4" s="1"/>
  <c r="T442" i="4"/>
  <c r="AB442" i="4" s="1"/>
  <c r="T443" i="4"/>
  <c r="AB443" i="4" s="1"/>
  <c r="T444" i="4"/>
  <c r="AB444" i="4" s="1"/>
  <c r="T445" i="4"/>
  <c r="AB445" i="4" s="1"/>
  <c r="T446" i="4"/>
  <c r="AB446" i="4" s="1"/>
  <c r="T447" i="4"/>
  <c r="AB447" i="4" s="1"/>
  <c r="T448" i="4"/>
  <c r="AB448" i="4" s="1"/>
  <c r="T449" i="4"/>
  <c r="AB449" i="4" s="1"/>
  <c r="T450" i="4"/>
  <c r="AB450" i="4" s="1"/>
  <c r="T451" i="4"/>
  <c r="AB451" i="4" s="1"/>
  <c r="T452" i="4"/>
  <c r="AB452" i="4" s="1"/>
  <c r="T453" i="4"/>
  <c r="AB453" i="4" s="1"/>
  <c r="T454" i="4"/>
  <c r="AB454" i="4" s="1"/>
  <c r="T455" i="4"/>
  <c r="AB455" i="4" s="1"/>
  <c r="T456" i="4"/>
  <c r="AB456" i="4" s="1"/>
  <c r="T457" i="4"/>
  <c r="AB457" i="4" s="1"/>
  <c r="T458" i="4"/>
  <c r="AB458" i="4" s="1"/>
  <c r="T459" i="4"/>
  <c r="AB459" i="4" s="1"/>
  <c r="T460" i="4"/>
  <c r="AB460" i="4" s="1"/>
  <c r="T461" i="4"/>
  <c r="AB461" i="4" s="1"/>
  <c r="T462" i="4"/>
  <c r="AB462" i="4" s="1"/>
  <c r="T463" i="4"/>
  <c r="AB463" i="4" s="1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210" i="4"/>
  <c r="Y211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5" i="4"/>
  <c r="Y226" i="4"/>
  <c r="Y227" i="4"/>
  <c r="Y228" i="4"/>
  <c r="Y229" i="4"/>
  <c r="Y230" i="4"/>
  <c r="Y231" i="4"/>
  <c r="Y232" i="4"/>
  <c r="Y233" i="4"/>
  <c r="Y234" i="4"/>
  <c r="Y235" i="4"/>
  <c r="Y236" i="4"/>
  <c r="Y237" i="4"/>
  <c r="Y238" i="4"/>
  <c r="Y239" i="4"/>
  <c r="Y240" i="4"/>
  <c r="Y241" i="4"/>
  <c r="Y242" i="4"/>
  <c r="Y243" i="4"/>
  <c r="Y244" i="4"/>
  <c r="Y245" i="4"/>
  <c r="Y246" i="4"/>
  <c r="Y247" i="4"/>
  <c r="Y248" i="4"/>
  <c r="Y249" i="4"/>
  <c r="Y250" i="4"/>
  <c r="Y251" i="4"/>
  <c r="Y252" i="4"/>
  <c r="Y253" i="4"/>
  <c r="Y254" i="4"/>
  <c r="Y255" i="4"/>
  <c r="Y256" i="4"/>
  <c r="Y257" i="4"/>
  <c r="Y258" i="4"/>
  <c r="Y259" i="4"/>
  <c r="Y260" i="4"/>
  <c r="Y261" i="4"/>
  <c r="Y262" i="4"/>
  <c r="Y263" i="4"/>
  <c r="Y264" i="4"/>
  <c r="Y265" i="4"/>
  <c r="Y266" i="4"/>
  <c r="Y267" i="4"/>
  <c r="Y268" i="4"/>
  <c r="Y269" i="4"/>
  <c r="Y270" i="4"/>
  <c r="Y271" i="4"/>
  <c r="Y272" i="4"/>
  <c r="Y273" i="4"/>
  <c r="Y274" i="4"/>
  <c r="Y275" i="4"/>
  <c r="Y276" i="4"/>
  <c r="Y277" i="4"/>
  <c r="Y278" i="4"/>
  <c r="Y279" i="4"/>
  <c r="Y280" i="4"/>
  <c r="Y281" i="4"/>
  <c r="Y282" i="4"/>
  <c r="Y283" i="4"/>
  <c r="Y284" i="4"/>
  <c r="Y285" i="4"/>
  <c r="Y286" i="4"/>
  <c r="Y287" i="4"/>
  <c r="Y288" i="4"/>
  <c r="Y289" i="4"/>
  <c r="Y290" i="4"/>
  <c r="Y291" i="4"/>
  <c r="Y292" i="4"/>
  <c r="Y293" i="4"/>
  <c r="Y294" i="4"/>
  <c r="Y295" i="4"/>
  <c r="Y296" i="4"/>
  <c r="Y297" i="4"/>
  <c r="Y298" i="4"/>
  <c r="Y299" i="4"/>
  <c r="Y300" i="4"/>
  <c r="Y301" i="4"/>
  <c r="Y302" i="4"/>
  <c r="Y303" i="4"/>
  <c r="Y304" i="4"/>
  <c r="Y305" i="4"/>
  <c r="Y306" i="4"/>
  <c r="Y307" i="4"/>
  <c r="Y308" i="4"/>
  <c r="Y309" i="4"/>
  <c r="Y310" i="4"/>
  <c r="Y311" i="4"/>
  <c r="Y312" i="4"/>
  <c r="Y313" i="4"/>
  <c r="Y314" i="4"/>
  <c r="Y315" i="4"/>
  <c r="Y316" i="4"/>
  <c r="Y317" i="4"/>
  <c r="Y318" i="4"/>
  <c r="Y319" i="4"/>
  <c r="Y320" i="4"/>
  <c r="Y321" i="4"/>
  <c r="Y322" i="4"/>
  <c r="Y323" i="4"/>
  <c r="Y324" i="4"/>
  <c r="Y325" i="4"/>
  <c r="Y326" i="4"/>
  <c r="Y327" i="4"/>
  <c r="Y328" i="4"/>
  <c r="Y329" i="4"/>
  <c r="Y330" i="4"/>
  <c r="Y331" i="4"/>
  <c r="Y332" i="4"/>
  <c r="Y333" i="4"/>
  <c r="Y334" i="4"/>
  <c r="Y335" i="4"/>
  <c r="Y336" i="4"/>
  <c r="Y337" i="4"/>
  <c r="Y338" i="4"/>
  <c r="Y339" i="4"/>
  <c r="Y340" i="4"/>
  <c r="Y341" i="4"/>
  <c r="Y342" i="4"/>
  <c r="Y343" i="4"/>
  <c r="Y344" i="4"/>
  <c r="Y345" i="4"/>
  <c r="Y346" i="4"/>
  <c r="Y347" i="4"/>
  <c r="Y348" i="4"/>
  <c r="Y349" i="4"/>
  <c r="Y350" i="4"/>
  <c r="Y351" i="4"/>
  <c r="Y352" i="4"/>
  <c r="Y353" i="4"/>
  <c r="Y354" i="4"/>
  <c r="Y355" i="4"/>
  <c r="Y356" i="4"/>
  <c r="Y357" i="4"/>
  <c r="Y358" i="4"/>
  <c r="Y359" i="4"/>
  <c r="Y360" i="4"/>
  <c r="Y361" i="4"/>
  <c r="Y362" i="4"/>
  <c r="Y363" i="4"/>
  <c r="Y364" i="4"/>
  <c r="Y365" i="4"/>
  <c r="Y366" i="4"/>
  <c r="Y367" i="4"/>
  <c r="Y368" i="4"/>
  <c r="Y369" i="4"/>
  <c r="Y370" i="4"/>
  <c r="Y371" i="4"/>
  <c r="Y372" i="4"/>
  <c r="Y373" i="4"/>
  <c r="Y374" i="4"/>
  <c r="Y375" i="4"/>
  <c r="Y376" i="4"/>
  <c r="Y377" i="4"/>
  <c r="Y378" i="4"/>
  <c r="Y379" i="4"/>
  <c r="Y380" i="4"/>
  <c r="Y381" i="4"/>
  <c r="Y382" i="4"/>
  <c r="Y383" i="4"/>
  <c r="Y384" i="4"/>
  <c r="Y385" i="4"/>
  <c r="Y386" i="4"/>
  <c r="Y387" i="4"/>
  <c r="Y388" i="4"/>
  <c r="Y389" i="4"/>
  <c r="Y390" i="4"/>
  <c r="Y391" i="4"/>
  <c r="Y392" i="4"/>
  <c r="Y393" i="4"/>
  <c r="Y394" i="4"/>
  <c r="Y395" i="4"/>
  <c r="Y396" i="4"/>
  <c r="Y397" i="4"/>
  <c r="Y398" i="4"/>
  <c r="Y399" i="4"/>
  <c r="Y400" i="4"/>
  <c r="Y401" i="4"/>
  <c r="Y402" i="4"/>
  <c r="Y403" i="4"/>
  <c r="Y404" i="4"/>
  <c r="Y405" i="4"/>
  <c r="Y406" i="4"/>
  <c r="Y407" i="4"/>
  <c r="Y408" i="4"/>
  <c r="Y409" i="4"/>
  <c r="Y410" i="4"/>
  <c r="Y411" i="4"/>
  <c r="Y412" i="4"/>
  <c r="Y413" i="4"/>
  <c r="Y414" i="4"/>
  <c r="Y415" i="4"/>
  <c r="Y416" i="4"/>
  <c r="Y417" i="4"/>
  <c r="Y418" i="4"/>
  <c r="Y419" i="4"/>
  <c r="Y420" i="4"/>
  <c r="Y421" i="4"/>
  <c r="Y422" i="4"/>
  <c r="Y423" i="4"/>
  <c r="Y424" i="4"/>
  <c r="Y425" i="4"/>
  <c r="Y426" i="4"/>
  <c r="Y427" i="4"/>
  <c r="Y428" i="4"/>
  <c r="Y429" i="4"/>
  <c r="Y430" i="4"/>
  <c r="Y431" i="4"/>
  <c r="Y432" i="4"/>
  <c r="Y433" i="4"/>
  <c r="Y434" i="4"/>
  <c r="Y435" i="4"/>
  <c r="Y436" i="4"/>
  <c r="Y437" i="4"/>
  <c r="Y438" i="4"/>
  <c r="Y439" i="4"/>
  <c r="Y440" i="4"/>
  <c r="Y441" i="4"/>
  <c r="Y442" i="4"/>
  <c r="Y443" i="4"/>
  <c r="Y444" i="4"/>
  <c r="Y445" i="4"/>
  <c r="Y446" i="4"/>
  <c r="Y447" i="4"/>
  <c r="Y448" i="4"/>
  <c r="Y449" i="4"/>
  <c r="Y450" i="4"/>
  <c r="Y451" i="4"/>
  <c r="Y452" i="4"/>
  <c r="Y453" i="4"/>
  <c r="Y454" i="4"/>
  <c r="Y455" i="4"/>
  <c r="Y456" i="4"/>
  <c r="Y457" i="4"/>
  <c r="Y458" i="4"/>
  <c r="Y459" i="4"/>
  <c r="Y460" i="4"/>
  <c r="Y461" i="4"/>
  <c r="Y462" i="4"/>
  <c r="Y463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205" i="4"/>
  <c r="Z206" i="4"/>
  <c r="Z207" i="4"/>
  <c r="Z208" i="4"/>
  <c r="Z209" i="4"/>
  <c r="Z210" i="4"/>
  <c r="Z211" i="4"/>
  <c r="Z212" i="4"/>
  <c r="Z213" i="4"/>
  <c r="Z214" i="4"/>
  <c r="Z215" i="4"/>
  <c r="Z216" i="4"/>
  <c r="Z217" i="4"/>
  <c r="Z218" i="4"/>
  <c r="Z219" i="4"/>
  <c r="Z220" i="4"/>
  <c r="Z221" i="4"/>
  <c r="Z222" i="4"/>
  <c r="Z223" i="4"/>
  <c r="Z224" i="4"/>
  <c r="Z225" i="4"/>
  <c r="Z226" i="4"/>
  <c r="Z227" i="4"/>
  <c r="Z228" i="4"/>
  <c r="Z229" i="4"/>
  <c r="Z230" i="4"/>
  <c r="Z231" i="4"/>
  <c r="Z232" i="4"/>
  <c r="Z233" i="4"/>
  <c r="Z234" i="4"/>
  <c r="Z235" i="4"/>
  <c r="Z236" i="4"/>
  <c r="Z237" i="4"/>
  <c r="Z238" i="4"/>
  <c r="Z239" i="4"/>
  <c r="Z240" i="4"/>
  <c r="Z241" i="4"/>
  <c r="Z242" i="4"/>
  <c r="Z243" i="4"/>
  <c r="Z244" i="4"/>
  <c r="Z245" i="4"/>
  <c r="Z246" i="4"/>
  <c r="Z247" i="4"/>
  <c r="Z248" i="4"/>
  <c r="Z249" i="4"/>
  <c r="Z250" i="4"/>
  <c r="Z251" i="4"/>
  <c r="Z252" i="4"/>
  <c r="Z253" i="4"/>
  <c r="Z254" i="4"/>
  <c r="Z255" i="4"/>
  <c r="Z256" i="4"/>
  <c r="Z257" i="4"/>
  <c r="Z258" i="4"/>
  <c r="Z259" i="4"/>
  <c r="Z260" i="4"/>
  <c r="Z261" i="4"/>
  <c r="Z262" i="4"/>
  <c r="Z263" i="4"/>
  <c r="Z264" i="4"/>
  <c r="Z265" i="4"/>
  <c r="Z266" i="4"/>
  <c r="Z267" i="4"/>
  <c r="Z268" i="4"/>
  <c r="Z269" i="4"/>
  <c r="Z270" i="4"/>
  <c r="Z271" i="4"/>
  <c r="Z272" i="4"/>
  <c r="Z273" i="4"/>
  <c r="Z274" i="4"/>
  <c r="Z275" i="4"/>
  <c r="Z276" i="4"/>
  <c r="Z277" i="4"/>
  <c r="Z278" i="4"/>
  <c r="Z279" i="4"/>
  <c r="Z280" i="4"/>
  <c r="Z281" i="4"/>
  <c r="Z282" i="4"/>
  <c r="Z283" i="4"/>
  <c r="Z284" i="4"/>
  <c r="Z285" i="4"/>
  <c r="Z286" i="4"/>
  <c r="Z287" i="4"/>
  <c r="Z288" i="4"/>
  <c r="Z289" i="4"/>
  <c r="Z290" i="4"/>
  <c r="Z291" i="4"/>
  <c r="Z292" i="4"/>
  <c r="Z293" i="4"/>
  <c r="Z294" i="4"/>
  <c r="Z295" i="4"/>
  <c r="Z296" i="4"/>
  <c r="Z297" i="4"/>
  <c r="Z298" i="4"/>
  <c r="Z299" i="4"/>
  <c r="Z300" i="4"/>
  <c r="Z301" i="4"/>
  <c r="Z302" i="4"/>
  <c r="Z303" i="4"/>
  <c r="Z304" i="4"/>
  <c r="Z305" i="4"/>
  <c r="Z306" i="4"/>
  <c r="Z307" i="4"/>
  <c r="Z308" i="4"/>
  <c r="Z309" i="4"/>
  <c r="Z310" i="4"/>
  <c r="Z311" i="4"/>
  <c r="Z312" i="4"/>
  <c r="Z313" i="4"/>
  <c r="Z314" i="4"/>
  <c r="Z315" i="4"/>
  <c r="Z316" i="4"/>
  <c r="Z317" i="4"/>
  <c r="Z318" i="4"/>
  <c r="Z319" i="4"/>
  <c r="Z320" i="4"/>
  <c r="Z321" i="4"/>
  <c r="Z322" i="4"/>
  <c r="Z323" i="4"/>
  <c r="Z324" i="4"/>
  <c r="Z325" i="4"/>
  <c r="Z326" i="4"/>
  <c r="Z327" i="4"/>
  <c r="Z328" i="4"/>
  <c r="Z329" i="4"/>
  <c r="Z330" i="4"/>
  <c r="Z331" i="4"/>
  <c r="Z332" i="4"/>
  <c r="Z333" i="4"/>
  <c r="Z334" i="4"/>
  <c r="Z335" i="4"/>
  <c r="Z336" i="4"/>
  <c r="Z337" i="4"/>
  <c r="Z338" i="4"/>
  <c r="Z339" i="4"/>
  <c r="Z340" i="4"/>
  <c r="Z341" i="4"/>
  <c r="Z342" i="4"/>
  <c r="Z343" i="4"/>
  <c r="Z344" i="4"/>
  <c r="Z345" i="4"/>
  <c r="Z346" i="4"/>
  <c r="Z347" i="4"/>
  <c r="Z348" i="4"/>
  <c r="Z349" i="4"/>
  <c r="Z350" i="4"/>
  <c r="Z351" i="4"/>
  <c r="Z352" i="4"/>
  <c r="Z353" i="4"/>
  <c r="Z354" i="4"/>
  <c r="Z355" i="4"/>
  <c r="Z356" i="4"/>
  <c r="Z357" i="4"/>
  <c r="Z358" i="4"/>
  <c r="Z359" i="4"/>
  <c r="Z360" i="4"/>
  <c r="Z361" i="4"/>
  <c r="Z362" i="4"/>
  <c r="Z363" i="4"/>
  <c r="Z364" i="4"/>
  <c r="Z365" i="4"/>
  <c r="Z366" i="4"/>
  <c r="Z367" i="4"/>
  <c r="Z368" i="4"/>
  <c r="Z369" i="4"/>
  <c r="Z370" i="4"/>
  <c r="Z371" i="4"/>
  <c r="Z372" i="4"/>
  <c r="Z373" i="4"/>
  <c r="Z374" i="4"/>
  <c r="Z375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Z388" i="4"/>
  <c r="Z389" i="4"/>
  <c r="Z390" i="4"/>
  <c r="Z391" i="4"/>
  <c r="Z392" i="4"/>
  <c r="Z393" i="4"/>
  <c r="Z394" i="4"/>
  <c r="Z395" i="4"/>
  <c r="Z396" i="4"/>
  <c r="Z397" i="4"/>
  <c r="Z398" i="4"/>
  <c r="Z399" i="4"/>
  <c r="Z400" i="4"/>
  <c r="Z401" i="4"/>
  <c r="Z402" i="4"/>
  <c r="Z403" i="4"/>
  <c r="Z404" i="4"/>
  <c r="Z405" i="4"/>
  <c r="Z406" i="4"/>
  <c r="Z407" i="4"/>
  <c r="Z408" i="4"/>
  <c r="Z409" i="4"/>
  <c r="Z410" i="4"/>
  <c r="Z411" i="4"/>
  <c r="Z412" i="4"/>
  <c r="Z413" i="4"/>
  <c r="Z414" i="4"/>
  <c r="Z415" i="4"/>
  <c r="Z416" i="4"/>
  <c r="Z417" i="4"/>
  <c r="Z418" i="4"/>
  <c r="Z419" i="4"/>
  <c r="Z420" i="4"/>
  <c r="Z421" i="4"/>
  <c r="Z422" i="4"/>
  <c r="Z423" i="4"/>
  <c r="Z424" i="4"/>
  <c r="Z425" i="4"/>
  <c r="Z426" i="4"/>
  <c r="Z427" i="4"/>
  <c r="Z428" i="4"/>
  <c r="Z429" i="4"/>
  <c r="Z430" i="4"/>
  <c r="Z431" i="4"/>
  <c r="Z432" i="4"/>
  <c r="Z433" i="4"/>
  <c r="Z434" i="4"/>
  <c r="Z435" i="4"/>
  <c r="Z436" i="4"/>
  <c r="Z437" i="4"/>
  <c r="Z438" i="4"/>
  <c r="Z439" i="4"/>
  <c r="Z440" i="4"/>
  <c r="Z441" i="4"/>
  <c r="Z442" i="4"/>
  <c r="Z443" i="4"/>
  <c r="Z444" i="4"/>
  <c r="Z445" i="4"/>
  <c r="Z446" i="4"/>
  <c r="Z447" i="4"/>
  <c r="Z448" i="4"/>
  <c r="Z449" i="4"/>
  <c r="Z450" i="4"/>
  <c r="Z451" i="4"/>
  <c r="Z452" i="4"/>
  <c r="Z453" i="4"/>
  <c r="Z454" i="4"/>
  <c r="Z455" i="4"/>
  <c r="Z456" i="4"/>
  <c r="Z457" i="4"/>
  <c r="Z458" i="4"/>
  <c r="Z459" i="4"/>
  <c r="Z460" i="4"/>
  <c r="Z461" i="4"/>
  <c r="Z462" i="4"/>
  <c r="Z463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AA257" i="4"/>
  <c r="AA258" i="4"/>
  <c r="AA259" i="4"/>
  <c r="AA260" i="4"/>
  <c r="AA261" i="4"/>
  <c r="AA262" i="4"/>
  <c r="AA263" i="4"/>
  <c r="AA264" i="4"/>
  <c r="AA265" i="4"/>
  <c r="AA266" i="4"/>
  <c r="AA267" i="4"/>
  <c r="AA268" i="4"/>
  <c r="AA269" i="4"/>
  <c r="AA270" i="4"/>
  <c r="AA271" i="4"/>
  <c r="AA272" i="4"/>
  <c r="AA273" i="4"/>
  <c r="AA274" i="4"/>
  <c r="AA275" i="4"/>
  <c r="AA276" i="4"/>
  <c r="AA277" i="4"/>
  <c r="AA278" i="4"/>
  <c r="AA279" i="4"/>
  <c r="AA280" i="4"/>
  <c r="AA281" i="4"/>
  <c r="AA282" i="4"/>
  <c r="AA283" i="4"/>
  <c r="AA284" i="4"/>
  <c r="AA285" i="4"/>
  <c r="AA286" i="4"/>
  <c r="AA287" i="4"/>
  <c r="AA288" i="4"/>
  <c r="AA289" i="4"/>
  <c r="AA290" i="4"/>
  <c r="AA291" i="4"/>
  <c r="AA292" i="4"/>
  <c r="AA293" i="4"/>
  <c r="AA294" i="4"/>
  <c r="AA295" i="4"/>
  <c r="AA296" i="4"/>
  <c r="AA297" i="4"/>
  <c r="AA298" i="4"/>
  <c r="AA299" i="4"/>
  <c r="AA300" i="4"/>
  <c r="AA301" i="4"/>
  <c r="AA302" i="4"/>
  <c r="AA303" i="4"/>
  <c r="AA304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68" i="4"/>
  <c r="AA369" i="4"/>
  <c r="AA370" i="4"/>
  <c r="AA371" i="4"/>
  <c r="AA372" i="4"/>
  <c r="AA373" i="4"/>
  <c r="AA374" i="4"/>
  <c r="AA375" i="4"/>
  <c r="AA376" i="4"/>
  <c r="AA377" i="4"/>
  <c r="AA378" i="4"/>
  <c r="AA379" i="4"/>
  <c r="AA380" i="4"/>
  <c r="AA381" i="4"/>
  <c r="AA382" i="4"/>
  <c r="AA383" i="4"/>
  <c r="AA384" i="4"/>
  <c r="AA385" i="4"/>
  <c r="AA386" i="4"/>
  <c r="AA387" i="4"/>
  <c r="AA388" i="4"/>
  <c r="AA389" i="4"/>
  <c r="AA390" i="4"/>
  <c r="AA391" i="4"/>
  <c r="AA392" i="4"/>
  <c r="AA393" i="4"/>
  <c r="AA394" i="4"/>
  <c r="AA395" i="4"/>
  <c r="AA396" i="4"/>
  <c r="AA397" i="4"/>
  <c r="AA398" i="4"/>
  <c r="AA399" i="4"/>
  <c r="AA400" i="4"/>
  <c r="AA401" i="4"/>
  <c r="AA402" i="4"/>
  <c r="AA403" i="4"/>
  <c r="AA404" i="4"/>
  <c r="AA405" i="4"/>
  <c r="AA406" i="4"/>
  <c r="AA407" i="4"/>
  <c r="AA408" i="4"/>
  <c r="AA409" i="4"/>
  <c r="AA410" i="4"/>
  <c r="AA411" i="4"/>
  <c r="AA412" i="4"/>
  <c r="AA413" i="4"/>
  <c r="AA414" i="4"/>
  <c r="AA415" i="4"/>
  <c r="AA416" i="4"/>
  <c r="AA417" i="4"/>
  <c r="AA418" i="4"/>
  <c r="AA419" i="4"/>
  <c r="AA420" i="4"/>
  <c r="AA421" i="4"/>
  <c r="AA422" i="4"/>
  <c r="AA423" i="4"/>
  <c r="AA424" i="4"/>
  <c r="AA425" i="4"/>
  <c r="AA426" i="4"/>
  <c r="AA427" i="4"/>
  <c r="AA428" i="4"/>
  <c r="AA429" i="4"/>
  <c r="AA430" i="4"/>
  <c r="AA431" i="4"/>
  <c r="AA432" i="4"/>
  <c r="AA433" i="4"/>
  <c r="AA434" i="4"/>
  <c r="AA435" i="4"/>
  <c r="AA436" i="4"/>
  <c r="AA437" i="4"/>
  <c r="AA438" i="4"/>
  <c r="AA439" i="4"/>
  <c r="AA440" i="4"/>
  <c r="AA441" i="4"/>
  <c r="AA442" i="4"/>
  <c r="AA443" i="4"/>
  <c r="AA444" i="4"/>
  <c r="AA445" i="4"/>
  <c r="AA446" i="4"/>
  <c r="AA447" i="4"/>
  <c r="AA448" i="4"/>
  <c r="AA449" i="4"/>
  <c r="AA450" i="4"/>
  <c r="AA451" i="4"/>
  <c r="AA452" i="4"/>
  <c r="AA453" i="4"/>
  <c r="AA454" i="4"/>
  <c r="AA455" i="4"/>
  <c r="AA456" i="4"/>
  <c r="AA457" i="4"/>
  <c r="AA458" i="4"/>
  <c r="AA459" i="4"/>
  <c r="AA460" i="4"/>
  <c r="AA461" i="4"/>
  <c r="AA462" i="4"/>
  <c r="AA463" i="4"/>
  <c r="AB117" i="4"/>
  <c r="AB147" i="4"/>
  <c r="AB184" i="4"/>
  <c r="AB198" i="4"/>
  <c r="AB317" i="4"/>
  <c r="AB433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297" i="4"/>
  <c r="AF298" i="4"/>
  <c r="AF299" i="4"/>
  <c r="AF300" i="4"/>
  <c r="AF301" i="4"/>
  <c r="AF302" i="4"/>
  <c r="AF303" i="4"/>
  <c r="AF304" i="4"/>
  <c r="AF305" i="4"/>
  <c r="AF306" i="4"/>
  <c r="AF307" i="4"/>
  <c r="AF308" i="4"/>
  <c r="AF309" i="4"/>
  <c r="AF310" i="4"/>
  <c r="AF311" i="4"/>
  <c r="AF312" i="4"/>
  <c r="AF313" i="4"/>
  <c r="AF314" i="4"/>
  <c r="AF315" i="4"/>
  <c r="AF316" i="4"/>
  <c r="AF317" i="4"/>
  <c r="AF318" i="4"/>
  <c r="AF319" i="4"/>
  <c r="AF320" i="4"/>
  <c r="AF321" i="4"/>
  <c r="AF322" i="4"/>
  <c r="AF323" i="4"/>
  <c r="AF324" i="4"/>
  <c r="AF325" i="4"/>
  <c r="AF326" i="4"/>
  <c r="AF327" i="4"/>
  <c r="AF328" i="4"/>
  <c r="AF329" i="4"/>
  <c r="AF330" i="4"/>
  <c r="AF331" i="4"/>
  <c r="AF332" i="4"/>
  <c r="AF333" i="4"/>
  <c r="AF334" i="4"/>
  <c r="AF335" i="4"/>
  <c r="AF336" i="4"/>
  <c r="AF337" i="4"/>
  <c r="AF338" i="4"/>
  <c r="AF339" i="4"/>
  <c r="AF340" i="4"/>
  <c r="AF341" i="4"/>
  <c r="AF342" i="4"/>
  <c r="AF343" i="4"/>
  <c r="AF344" i="4"/>
  <c r="AF345" i="4"/>
  <c r="AF346" i="4"/>
  <c r="AF347" i="4"/>
  <c r="AF348" i="4"/>
  <c r="AF349" i="4"/>
  <c r="AF350" i="4"/>
  <c r="AF351" i="4"/>
  <c r="AF352" i="4"/>
  <c r="AF353" i="4"/>
  <c r="AF354" i="4"/>
  <c r="AF355" i="4"/>
  <c r="AF356" i="4"/>
  <c r="AF357" i="4"/>
  <c r="AF358" i="4"/>
  <c r="AF359" i="4"/>
  <c r="AF360" i="4"/>
  <c r="AF361" i="4"/>
  <c r="AF362" i="4"/>
  <c r="AF363" i="4"/>
  <c r="AF364" i="4"/>
  <c r="AF365" i="4"/>
  <c r="AF366" i="4"/>
  <c r="AF367" i="4"/>
  <c r="AF368" i="4"/>
  <c r="AF369" i="4"/>
  <c r="AF370" i="4"/>
  <c r="AF371" i="4"/>
  <c r="AF372" i="4"/>
  <c r="AF373" i="4"/>
  <c r="AF374" i="4"/>
  <c r="AF375" i="4"/>
  <c r="AF376" i="4"/>
  <c r="AF377" i="4"/>
  <c r="AF378" i="4"/>
  <c r="AF379" i="4"/>
  <c r="AF380" i="4"/>
  <c r="AF381" i="4"/>
  <c r="AF382" i="4"/>
  <c r="AF383" i="4"/>
  <c r="AF384" i="4"/>
  <c r="AF385" i="4"/>
  <c r="AF386" i="4"/>
  <c r="AF387" i="4"/>
  <c r="AF388" i="4"/>
  <c r="AF389" i="4"/>
  <c r="AF390" i="4"/>
  <c r="AF391" i="4"/>
  <c r="AF392" i="4"/>
  <c r="AF393" i="4"/>
  <c r="AF394" i="4"/>
  <c r="AF395" i="4"/>
  <c r="AF396" i="4"/>
  <c r="AF397" i="4"/>
  <c r="AF398" i="4"/>
  <c r="AF399" i="4"/>
  <c r="AF400" i="4"/>
  <c r="AF401" i="4"/>
  <c r="AF402" i="4"/>
  <c r="AF403" i="4"/>
  <c r="AF404" i="4"/>
  <c r="AF405" i="4"/>
  <c r="AF406" i="4"/>
  <c r="AF407" i="4"/>
  <c r="AF408" i="4"/>
  <c r="AF409" i="4"/>
  <c r="AF410" i="4"/>
  <c r="AF411" i="4"/>
  <c r="AF412" i="4"/>
  <c r="AF413" i="4"/>
  <c r="AF414" i="4"/>
  <c r="AF415" i="4"/>
  <c r="AF416" i="4"/>
  <c r="AF417" i="4"/>
  <c r="AF418" i="4"/>
  <c r="AF419" i="4"/>
  <c r="AF420" i="4"/>
  <c r="AF421" i="4"/>
  <c r="AF422" i="4"/>
  <c r="AF423" i="4"/>
  <c r="AF424" i="4"/>
  <c r="AF425" i="4"/>
  <c r="AF426" i="4"/>
  <c r="AF427" i="4"/>
  <c r="AF428" i="4"/>
  <c r="AF429" i="4"/>
  <c r="AF430" i="4"/>
  <c r="AF431" i="4"/>
  <c r="AF432" i="4"/>
  <c r="AF433" i="4"/>
  <c r="AF434" i="4"/>
  <c r="AF435" i="4"/>
  <c r="AF436" i="4"/>
  <c r="AF437" i="4"/>
  <c r="AF438" i="4"/>
  <c r="AF439" i="4"/>
  <c r="AF440" i="4"/>
  <c r="AF441" i="4"/>
  <c r="AF442" i="4"/>
  <c r="AF443" i="4"/>
  <c r="AF444" i="4"/>
  <c r="AF445" i="4"/>
  <c r="AF446" i="4"/>
  <c r="AF447" i="4"/>
  <c r="AF448" i="4"/>
  <c r="AF449" i="4"/>
  <c r="AF450" i="4"/>
  <c r="AF451" i="4"/>
  <c r="AF452" i="4"/>
  <c r="AF453" i="4"/>
  <c r="AF454" i="4"/>
  <c r="AF455" i="4"/>
  <c r="AF456" i="4"/>
  <c r="AF457" i="4"/>
  <c r="AF458" i="4"/>
  <c r="AF459" i="4"/>
  <c r="AF460" i="4"/>
  <c r="AF461" i="4"/>
  <c r="AF462" i="4"/>
  <c r="AF463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S3" i="4"/>
  <c r="S4" i="4"/>
  <c r="S5" i="4"/>
  <c r="S6" i="4"/>
  <c r="S7" i="4"/>
  <c r="S8" i="4"/>
  <c r="S9" i="4"/>
  <c r="S10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T3" i="4"/>
  <c r="AB3" i="4" s="1"/>
  <c r="T4" i="4"/>
  <c r="AB4" i="4" s="1"/>
  <c r="T5" i="4"/>
  <c r="AB5" i="4" s="1"/>
  <c r="T6" i="4"/>
  <c r="AB6" i="4" s="1"/>
  <c r="T7" i="4"/>
  <c r="AB7" i="4" s="1"/>
  <c r="T8" i="4"/>
  <c r="AB8" i="4" s="1"/>
  <c r="T9" i="4"/>
  <c r="AB9" i="4" s="1"/>
  <c r="T10" i="4"/>
  <c r="AB10" i="4" s="1"/>
  <c r="T11" i="4"/>
  <c r="AB11" i="4" s="1"/>
  <c r="T12" i="4"/>
  <c r="AB12" i="4" s="1"/>
  <c r="T13" i="4"/>
  <c r="AB13" i="4" s="1"/>
  <c r="T14" i="4"/>
  <c r="AB14" i="4" s="1"/>
  <c r="T15" i="4"/>
  <c r="AB15" i="4" s="1"/>
  <c r="T16" i="4"/>
  <c r="AB16" i="4" s="1"/>
  <c r="T17" i="4"/>
  <c r="AB17" i="4" s="1"/>
  <c r="T18" i="4"/>
  <c r="AB18" i="4" s="1"/>
  <c r="T19" i="4"/>
  <c r="AB19" i="4" s="1"/>
  <c r="T20" i="4"/>
  <c r="AB20" i="4" s="1"/>
  <c r="T21" i="4"/>
  <c r="AB21" i="4" s="1"/>
  <c r="T22" i="4"/>
  <c r="AB22" i="4" s="1"/>
  <c r="T23" i="4"/>
  <c r="AB23" i="4" s="1"/>
  <c r="T24" i="4"/>
  <c r="AB24" i="4" s="1"/>
  <c r="T25" i="4"/>
  <c r="AB25" i="4" s="1"/>
  <c r="T26" i="4"/>
  <c r="AB26" i="4" s="1"/>
  <c r="T27" i="4"/>
  <c r="AB27" i="4" s="1"/>
  <c r="T28" i="4"/>
  <c r="AB28" i="4" s="1"/>
  <c r="T29" i="4"/>
  <c r="AB29" i="4" s="1"/>
  <c r="T30" i="4"/>
  <c r="AB30" i="4" s="1"/>
  <c r="T31" i="4"/>
  <c r="AB31" i="4" s="1"/>
  <c r="T32" i="4"/>
  <c r="AB32" i="4" s="1"/>
  <c r="T33" i="4"/>
  <c r="AB33" i="4" s="1"/>
  <c r="T34" i="4"/>
  <c r="AB34" i="4" s="1"/>
  <c r="T35" i="4"/>
  <c r="AB35" i="4" s="1"/>
  <c r="T36" i="4"/>
  <c r="AB36" i="4" s="1"/>
  <c r="T37" i="4"/>
  <c r="AB37" i="4" s="1"/>
  <c r="T38" i="4"/>
  <c r="AB38" i="4" s="1"/>
  <c r="T39" i="4"/>
  <c r="AB39" i="4" s="1"/>
  <c r="T40" i="4"/>
  <c r="AB40" i="4" s="1"/>
  <c r="T41" i="4"/>
  <c r="AB41" i="4" s="1"/>
  <c r="T42" i="4"/>
  <c r="AB42" i="4" s="1"/>
  <c r="T43" i="4"/>
  <c r="AB43" i="4" s="1"/>
  <c r="T44" i="4"/>
  <c r="AB44" i="4" s="1"/>
  <c r="T45" i="4"/>
  <c r="AB45" i="4" s="1"/>
  <c r="T46" i="4"/>
  <c r="AB46" i="4" s="1"/>
  <c r="T47" i="4"/>
  <c r="AB47" i="4" s="1"/>
  <c r="T48" i="4"/>
  <c r="AB48" i="4" s="1"/>
  <c r="T49" i="4"/>
  <c r="AB49" i="4" s="1"/>
  <c r="T50" i="4"/>
  <c r="AB50" i="4" s="1"/>
  <c r="T51" i="4"/>
  <c r="AB51" i="4" s="1"/>
  <c r="T52" i="4"/>
  <c r="AB52" i="4" s="1"/>
  <c r="T53" i="4"/>
  <c r="AB53" i="4" s="1"/>
  <c r="T54" i="4"/>
  <c r="AB54" i="4" s="1"/>
  <c r="T55" i="4"/>
  <c r="AB55" i="4" s="1"/>
  <c r="T56" i="4"/>
  <c r="AB56" i="4" s="1"/>
  <c r="T57" i="4"/>
  <c r="AB57" i="4" s="1"/>
  <c r="T58" i="4"/>
  <c r="AB58" i="4" s="1"/>
  <c r="T59" i="4"/>
  <c r="AB59" i="4" s="1"/>
  <c r="T60" i="4"/>
  <c r="AB60" i="4" s="1"/>
  <c r="T61" i="4"/>
  <c r="AB61" i="4" s="1"/>
  <c r="T62" i="4"/>
  <c r="AB62" i="4" s="1"/>
  <c r="T63" i="4"/>
  <c r="AB63" i="4" s="1"/>
  <c r="T64" i="4"/>
  <c r="AB64" i="4" s="1"/>
  <c r="T65" i="4"/>
  <c r="AB65" i="4" s="1"/>
  <c r="T66" i="4"/>
  <c r="AB66" i="4" s="1"/>
  <c r="T67" i="4"/>
  <c r="AB67" i="4" s="1"/>
  <c r="T68" i="4"/>
  <c r="AB68" i="4" s="1"/>
  <c r="T69" i="4"/>
  <c r="AB69" i="4" s="1"/>
  <c r="T70" i="4"/>
  <c r="AB70" i="4" s="1"/>
  <c r="T71" i="4"/>
  <c r="T72" i="4"/>
  <c r="AB72" i="4" s="1"/>
  <c r="T73" i="4"/>
  <c r="AB73" i="4" s="1"/>
  <c r="T74" i="4"/>
  <c r="AB74" i="4" s="1"/>
  <c r="T75" i="4"/>
  <c r="AB75" i="4" s="1"/>
  <c r="T76" i="4"/>
  <c r="AB76" i="4" s="1"/>
  <c r="T77" i="4"/>
  <c r="AB77" i="4" s="1"/>
  <c r="T78" i="4"/>
  <c r="AB78" i="4" s="1"/>
  <c r="T79" i="4"/>
  <c r="AB79" i="4" s="1"/>
  <c r="T80" i="4"/>
  <c r="AB80" i="4" s="1"/>
  <c r="T81" i="4"/>
  <c r="AB81" i="4" s="1"/>
  <c r="T82" i="4"/>
  <c r="AB82" i="4" s="1"/>
  <c r="T83" i="4"/>
  <c r="AB83" i="4" s="1"/>
  <c r="T84" i="4"/>
  <c r="AB84" i="4" s="1"/>
  <c r="T85" i="4"/>
  <c r="AB85" i="4" s="1"/>
  <c r="T86" i="4"/>
  <c r="AB86" i="4" s="1"/>
  <c r="T87" i="4"/>
  <c r="AB87" i="4" s="1"/>
  <c r="T88" i="4"/>
  <c r="AB88" i="4" s="1"/>
  <c r="T89" i="4"/>
  <c r="AB89" i="4" s="1"/>
  <c r="T90" i="4"/>
  <c r="AB90" i="4" s="1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Z3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B71" i="4"/>
  <c r="AF3" i="4"/>
  <c r="AF4" i="4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F86" i="4"/>
  <c r="AF87" i="4"/>
  <c r="AF88" i="4"/>
  <c r="AF89" i="4"/>
  <c r="AF90" i="4"/>
  <c r="N2" i="4"/>
  <c r="T2" i="4"/>
  <c r="AB2" i="4" s="1"/>
  <c r="Y2" i="4"/>
  <c r="Z2" i="4"/>
  <c r="AA2" i="4"/>
  <c r="AF2" i="4"/>
  <c r="N91" i="4"/>
  <c r="S91" i="4"/>
  <c r="T91" i="4"/>
  <c r="AB91" i="4" s="1"/>
  <c r="Y91" i="4"/>
  <c r="Z91" i="4"/>
  <c r="AA91" i="4"/>
  <c r="AF91" i="4"/>
  <c r="N698" i="4"/>
  <c r="S698" i="4"/>
  <c r="T698" i="4"/>
  <c r="AB698" i="4" s="1"/>
  <c r="Y698" i="4"/>
  <c r="Z698" i="4"/>
  <c r="AA698" i="4"/>
  <c r="AF698" i="4"/>
  <c r="N699" i="4"/>
  <c r="S699" i="4"/>
  <c r="T699" i="4"/>
  <c r="AB699" i="4" s="1"/>
  <c r="Y699" i="4"/>
  <c r="Z699" i="4"/>
  <c r="AA699" i="4"/>
  <c r="AF699" i="4"/>
  <c r="N691" i="4"/>
  <c r="S691" i="4"/>
  <c r="T691" i="4"/>
  <c r="AB691" i="4" s="1"/>
  <c r="Y691" i="4"/>
  <c r="Z691" i="4"/>
  <c r="AA691" i="4"/>
  <c r="AF691" i="4"/>
  <c r="N681" i="4"/>
  <c r="N682" i="4"/>
  <c r="N683" i="4"/>
  <c r="N684" i="4"/>
  <c r="S681" i="4"/>
  <c r="S682" i="4"/>
  <c r="S683" i="4"/>
  <c r="S684" i="4"/>
  <c r="T681" i="4"/>
  <c r="AB681" i="4" s="1"/>
  <c r="T682" i="4"/>
  <c r="AB682" i="4" s="1"/>
  <c r="T683" i="4"/>
  <c r="AB683" i="4" s="1"/>
  <c r="T684" i="4"/>
  <c r="AB684" i="4" s="1"/>
  <c r="Y681" i="4"/>
  <c r="Y682" i="4"/>
  <c r="Y683" i="4"/>
  <c r="Y684" i="4"/>
  <c r="Z681" i="4"/>
  <c r="Z682" i="4"/>
  <c r="Z683" i="4"/>
  <c r="Z684" i="4"/>
  <c r="AA681" i="4"/>
  <c r="AA682" i="4"/>
  <c r="AA683" i="4"/>
  <c r="AA684" i="4"/>
  <c r="AF681" i="4"/>
  <c r="AF682" i="4"/>
  <c r="AF683" i="4"/>
  <c r="AF684" i="4"/>
  <c r="N676" i="4"/>
  <c r="S676" i="4"/>
  <c r="T676" i="4"/>
  <c r="AB676" i="4" s="1"/>
  <c r="Y676" i="4"/>
  <c r="Z676" i="4"/>
  <c r="AA676" i="4"/>
  <c r="AF676" i="4"/>
  <c r="N677" i="4"/>
  <c r="N678" i="4"/>
  <c r="S677" i="4"/>
  <c r="S678" i="4"/>
  <c r="T677" i="4"/>
  <c r="AB677" i="4" s="1"/>
  <c r="T678" i="4"/>
  <c r="AB678" i="4" s="1"/>
  <c r="Y677" i="4"/>
  <c r="Y678" i="4"/>
  <c r="Z677" i="4"/>
  <c r="Z678" i="4"/>
  <c r="AA677" i="4"/>
  <c r="AA678" i="4"/>
  <c r="AF677" i="4"/>
  <c r="AF678" i="4"/>
  <c r="N672" i="4"/>
  <c r="S672" i="4"/>
  <c r="T672" i="4"/>
  <c r="AB672" i="4" s="1"/>
  <c r="Y672" i="4"/>
  <c r="Z672" i="4"/>
  <c r="AA672" i="4"/>
  <c r="AF672" i="4"/>
  <c r="N669" i="4"/>
  <c r="S669" i="4"/>
  <c r="T669" i="4"/>
  <c r="AB669" i="4" s="1"/>
  <c r="Y669" i="4"/>
  <c r="Z669" i="4"/>
  <c r="AA669" i="4"/>
  <c r="AF669" i="4"/>
  <c r="N663" i="4"/>
  <c r="S663" i="4"/>
  <c r="T663" i="4"/>
  <c r="AB663" i="4" s="1"/>
  <c r="Y663" i="4"/>
  <c r="Z663" i="4"/>
  <c r="AA663" i="4"/>
  <c r="AF663" i="4"/>
  <c r="N656" i="4"/>
  <c r="S656" i="4"/>
  <c r="T656" i="4"/>
  <c r="AB656" i="4" s="1"/>
  <c r="Y656" i="4"/>
  <c r="Z656" i="4"/>
  <c r="AA656" i="4"/>
  <c r="AF656" i="4"/>
  <c r="N654" i="4"/>
  <c r="S654" i="4"/>
  <c r="T654" i="4"/>
  <c r="AB654" i="4" s="1"/>
  <c r="Y654" i="4"/>
  <c r="Z654" i="4"/>
  <c r="AA654" i="4"/>
  <c r="AF654" i="4"/>
  <c r="N643" i="4"/>
  <c r="S643" i="4"/>
  <c r="T643" i="4"/>
  <c r="AB643" i="4" s="1"/>
  <c r="Y643" i="4"/>
  <c r="Z643" i="4"/>
  <c r="AA643" i="4"/>
  <c r="AF643" i="4"/>
  <c r="N640" i="4"/>
  <c r="S640" i="4"/>
  <c r="T640" i="4"/>
  <c r="AB640" i="4" s="1"/>
  <c r="Y640" i="4"/>
  <c r="Z640" i="4"/>
  <c r="AA640" i="4"/>
  <c r="AF640" i="4"/>
  <c r="N720" i="4"/>
  <c r="S720" i="4"/>
  <c r="T720" i="4"/>
  <c r="AB720" i="4" s="1"/>
  <c r="N719" i="4"/>
  <c r="S719" i="4"/>
  <c r="T719" i="4"/>
  <c r="Y719" i="4"/>
  <c r="Z719" i="4"/>
  <c r="AA719" i="4"/>
  <c r="AF719" i="4"/>
  <c r="N718" i="4"/>
  <c r="S718" i="4"/>
  <c r="T718" i="4"/>
  <c r="AB718" i="4" s="1"/>
  <c r="Y718" i="4"/>
  <c r="Z718" i="4"/>
  <c r="AA718" i="4"/>
  <c r="AF718" i="4"/>
  <c r="N717" i="4"/>
  <c r="S717" i="4"/>
  <c r="T717" i="4"/>
  <c r="Y717" i="4"/>
  <c r="Z717" i="4"/>
  <c r="AA717" i="4"/>
  <c r="AF717" i="4"/>
  <c r="N715" i="4"/>
  <c r="S715" i="4"/>
  <c r="T715" i="4"/>
  <c r="AB715" i="4" s="1"/>
  <c r="Y715" i="4"/>
  <c r="Z715" i="4"/>
  <c r="AA715" i="4"/>
  <c r="AF715" i="4"/>
  <c r="N716" i="4"/>
  <c r="S716" i="4"/>
  <c r="T716" i="4"/>
  <c r="AB716" i="4" s="1"/>
  <c r="Y716" i="4"/>
  <c r="Z716" i="4"/>
  <c r="AA716" i="4"/>
  <c r="AF716" i="4"/>
  <c r="N714" i="4"/>
  <c r="S714" i="4"/>
  <c r="T714" i="4"/>
  <c r="AB714" i="4" s="1"/>
  <c r="Y714" i="4"/>
  <c r="Z714" i="4"/>
  <c r="AA714" i="4"/>
  <c r="AF714" i="4"/>
  <c r="N712" i="4"/>
  <c r="S712" i="4"/>
  <c r="T712" i="4"/>
  <c r="AB712" i="4" s="1"/>
  <c r="Y712" i="4"/>
  <c r="Z712" i="4"/>
  <c r="AA712" i="4"/>
  <c r="AF712" i="4"/>
  <c r="N713" i="4"/>
  <c r="S713" i="4"/>
  <c r="T713" i="4"/>
  <c r="AB713" i="4" s="1"/>
  <c r="Y713" i="4"/>
  <c r="Z713" i="4"/>
  <c r="AA713" i="4"/>
  <c r="AF713" i="4"/>
  <c r="N711" i="4"/>
  <c r="S711" i="4"/>
  <c r="T711" i="4"/>
  <c r="AB711" i="4" s="1"/>
  <c r="Y711" i="4"/>
  <c r="Z711" i="4"/>
  <c r="AA711" i="4"/>
  <c r="AF711" i="4"/>
  <c r="N710" i="4"/>
  <c r="S710" i="4"/>
  <c r="T710" i="4"/>
  <c r="AB710" i="4" s="1"/>
  <c r="Y710" i="4"/>
  <c r="Z710" i="4"/>
  <c r="AA710" i="4"/>
  <c r="AF710" i="4"/>
  <c r="N709" i="4"/>
  <c r="S709" i="4"/>
  <c r="T709" i="4"/>
  <c r="AB709" i="4" s="1"/>
  <c r="Y709" i="4"/>
  <c r="Z709" i="4"/>
  <c r="AA709" i="4"/>
  <c r="AF709" i="4"/>
  <c r="N708" i="4"/>
  <c r="S708" i="4"/>
  <c r="T708" i="4"/>
  <c r="AB708" i="4" s="1"/>
  <c r="Y708" i="4"/>
  <c r="Z708" i="4"/>
  <c r="AF708" i="4"/>
  <c r="N707" i="4"/>
  <c r="S707" i="4"/>
  <c r="T707" i="4"/>
  <c r="AB707" i="4" s="1"/>
  <c r="Y707" i="4"/>
  <c r="Z707" i="4"/>
  <c r="AA707" i="4"/>
  <c r="AF707" i="4"/>
  <c r="N700" i="4"/>
  <c r="S700" i="4"/>
  <c r="T700" i="4"/>
  <c r="AB700" i="4" s="1"/>
  <c r="Y700" i="4"/>
  <c r="Z700" i="4"/>
  <c r="AA700" i="4"/>
  <c r="AF700" i="4"/>
  <c r="N694" i="4"/>
  <c r="N695" i="4"/>
  <c r="N696" i="4"/>
  <c r="N697" i="4"/>
  <c r="S694" i="4"/>
  <c r="S695" i="4"/>
  <c r="S696" i="4"/>
  <c r="S697" i="4"/>
  <c r="T694" i="4"/>
  <c r="T695" i="4"/>
  <c r="T696" i="4"/>
  <c r="T697" i="4"/>
  <c r="Y694" i="4"/>
  <c r="Y695" i="4"/>
  <c r="Y696" i="4"/>
  <c r="Y697" i="4"/>
  <c r="Z694" i="4"/>
  <c r="Z695" i="4"/>
  <c r="Z696" i="4"/>
  <c r="Z697" i="4"/>
  <c r="AA694" i="4"/>
  <c r="AA695" i="4"/>
  <c r="AA696" i="4"/>
  <c r="AA697" i="4"/>
  <c r="AB694" i="4"/>
  <c r="AB695" i="4"/>
  <c r="AB696" i="4"/>
  <c r="AB697" i="4"/>
  <c r="AF694" i="4"/>
  <c r="AF695" i="4"/>
  <c r="AF696" i="4"/>
  <c r="AF697" i="4"/>
  <c r="N693" i="4"/>
  <c r="S693" i="4"/>
  <c r="T693" i="4"/>
  <c r="AB693" i="4" s="1"/>
  <c r="Y693" i="4"/>
  <c r="Z693" i="4"/>
  <c r="AA693" i="4"/>
  <c r="AF693" i="4"/>
  <c r="N686" i="4"/>
  <c r="N687" i="4"/>
  <c r="N688" i="4"/>
  <c r="N689" i="4"/>
  <c r="N690" i="4"/>
  <c r="S686" i="4"/>
  <c r="S687" i="4"/>
  <c r="S688" i="4"/>
  <c r="S689" i="4"/>
  <c r="S690" i="4"/>
  <c r="T686" i="4"/>
  <c r="AB686" i="4" s="1"/>
  <c r="T687" i="4"/>
  <c r="T688" i="4"/>
  <c r="AB688" i="4" s="1"/>
  <c r="T689" i="4"/>
  <c r="AB689" i="4" s="1"/>
  <c r="T690" i="4"/>
  <c r="AB690" i="4" s="1"/>
  <c r="Y686" i="4"/>
  <c r="Y687" i="4"/>
  <c r="Y688" i="4"/>
  <c r="Y689" i="4"/>
  <c r="Y690" i="4"/>
  <c r="Z686" i="4"/>
  <c r="Z687" i="4"/>
  <c r="Z688" i="4"/>
  <c r="Z689" i="4"/>
  <c r="Z690" i="4"/>
  <c r="AA686" i="4"/>
  <c r="AA687" i="4"/>
  <c r="AA688" i="4"/>
  <c r="AA689" i="4"/>
  <c r="AA690" i="4"/>
  <c r="AB687" i="4"/>
  <c r="AF686" i="4"/>
  <c r="AF687" i="4"/>
  <c r="AF688" i="4"/>
  <c r="AF689" i="4"/>
  <c r="AF690" i="4"/>
  <c r="N671" i="4"/>
  <c r="N673" i="4"/>
  <c r="N674" i="4"/>
  <c r="N675" i="4"/>
  <c r="N679" i="4"/>
  <c r="N680" i="4"/>
  <c r="N685" i="4"/>
  <c r="N692" i="4"/>
  <c r="S671" i="4"/>
  <c r="S673" i="4"/>
  <c r="S674" i="4"/>
  <c r="S675" i="4"/>
  <c r="S679" i="4"/>
  <c r="S680" i="4"/>
  <c r="S685" i="4"/>
  <c r="S692" i="4"/>
  <c r="T671" i="4"/>
  <c r="T673" i="4"/>
  <c r="T674" i="4"/>
  <c r="T675" i="4"/>
  <c r="T679" i="4"/>
  <c r="T680" i="4"/>
  <c r="T685" i="4"/>
  <c r="AB685" i="4" s="1"/>
  <c r="T692" i="4"/>
  <c r="AB692" i="4" s="1"/>
  <c r="Y671" i="4"/>
  <c r="Y673" i="4"/>
  <c r="Y674" i="4"/>
  <c r="Y675" i="4"/>
  <c r="Y679" i="4"/>
  <c r="Y680" i="4"/>
  <c r="Y685" i="4"/>
  <c r="Y692" i="4"/>
  <c r="Z671" i="4"/>
  <c r="Z673" i="4"/>
  <c r="Z674" i="4"/>
  <c r="Z675" i="4"/>
  <c r="Z679" i="4"/>
  <c r="Z680" i="4"/>
  <c r="Z685" i="4"/>
  <c r="Z692" i="4"/>
  <c r="AA671" i="4"/>
  <c r="AA673" i="4"/>
  <c r="AA674" i="4"/>
  <c r="AA675" i="4"/>
  <c r="AA679" i="4"/>
  <c r="AA680" i="4"/>
  <c r="AA685" i="4"/>
  <c r="AA692" i="4"/>
  <c r="AB671" i="4"/>
  <c r="AB673" i="4"/>
  <c r="AB674" i="4"/>
  <c r="AB675" i="4"/>
  <c r="AB679" i="4"/>
  <c r="AB680" i="4"/>
  <c r="AF671" i="4"/>
  <c r="AF673" i="4"/>
  <c r="AF674" i="4"/>
  <c r="AF675" i="4"/>
  <c r="AF679" i="4"/>
  <c r="AF680" i="4"/>
  <c r="AF685" i="4"/>
  <c r="AF692" i="4"/>
  <c r="N664" i="4"/>
  <c r="N665" i="4"/>
  <c r="N666" i="4"/>
  <c r="N667" i="4"/>
  <c r="N668" i="4"/>
  <c r="N670" i="4"/>
  <c r="S664" i="4"/>
  <c r="S665" i="4"/>
  <c r="S666" i="4"/>
  <c r="S667" i="4"/>
  <c r="S668" i="4"/>
  <c r="S670" i="4"/>
  <c r="T664" i="4"/>
  <c r="T665" i="4"/>
  <c r="T666" i="4"/>
  <c r="AB666" i="4" s="1"/>
  <c r="T667" i="4"/>
  <c r="AB667" i="4" s="1"/>
  <c r="T668" i="4"/>
  <c r="T670" i="4"/>
  <c r="AB670" i="4" s="1"/>
  <c r="Y664" i="4"/>
  <c r="Y665" i="4"/>
  <c r="Y666" i="4"/>
  <c r="Y667" i="4"/>
  <c r="Y668" i="4"/>
  <c r="Y670" i="4"/>
  <c r="Z664" i="4"/>
  <c r="Z665" i="4"/>
  <c r="Z666" i="4"/>
  <c r="Z667" i="4"/>
  <c r="Z668" i="4"/>
  <c r="Z670" i="4"/>
  <c r="AA664" i="4"/>
  <c r="AA665" i="4"/>
  <c r="AA666" i="4"/>
  <c r="AA667" i="4"/>
  <c r="AA668" i="4"/>
  <c r="AA670" i="4"/>
  <c r="AB664" i="4"/>
  <c r="AB665" i="4"/>
  <c r="AB668" i="4"/>
  <c r="AF664" i="4"/>
  <c r="AF665" i="4"/>
  <c r="AF666" i="4"/>
  <c r="AF667" i="4"/>
  <c r="AF668" i="4"/>
  <c r="AF670" i="4"/>
  <c r="N657" i="4"/>
  <c r="N658" i="4"/>
  <c r="N659" i="4"/>
  <c r="N660" i="4"/>
  <c r="N661" i="4"/>
  <c r="N662" i="4"/>
  <c r="S657" i="4"/>
  <c r="S658" i="4"/>
  <c r="S659" i="4"/>
  <c r="S660" i="4"/>
  <c r="S661" i="4"/>
  <c r="S662" i="4"/>
  <c r="T657" i="4"/>
  <c r="AB657" i="4" s="1"/>
  <c r="T658" i="4"/>
  <c r="T659" i="4"/>
  <c r="AB659" i="4" s="1"/>
  <c r="T660" i="4"/>
  <c r="T661" i="4"/>
  <c r="AB661" i="4" s="1"/>
  <c r="T662" i="4"/>
  <c r="AB662" i="4" s="1"/>
  <c r="Y657" i="4"/>
  <c r="Y658" i="4"/>
  <c r="Y659" i="4"/>
  <c r="Y660" i="4"/>
  <c r="Y661" i="4"/>
  <c r="Y662" i="4"/>
  <c r="Z657" i="4"/>
  <c r="Z658" i="4"/>
  <c r="Z659" i="4"/>
  <c r="Z660" i="4"/>
  <c r="Z661" i="4"/>
  <c r="Z662" i="4"/>
  <c r="AA657" i="4"/>
  <c r="AA658" i="4"/>
  <c r="AA659" i="4"/>
  <c r="AA660" i="4"/>
  <c r="AA661" i="4"/>
  <c r="AA662" i="4"/>
  <c r="AB658" i="4"/>
  <c r="AB660" i="4"/>
  <c r="AF657" i="4"/>
  <c r="AF658" i="4"/>
  <c r="AF659" i="4"/>
  <c r="AF660" i="4"/>
  <c r="AF661" i="4"/>
  <c r="AF662" i="4"/>
  <c r="N706" i="4"/>
  <c r="S706" i="4"/>
  <c r="T706" i="4"/>
  <c r="AB706" i="4" s="1"/>
  <c r="Y706" i="4"/>
  <c r="Z706" i="4"/>
  <c r="AA706" i="4"/>
  <c r="AF706" i="4"/>
  <c r="N705" i="4"/>
  <c r="S705" i="4"/>
  <c r="T705" i="4"/>
  <c r="AB705" i="4" s="1"/>
  <c r="Y705" i="4"/>
  <c r="Z705" i="4"/>
  <c r="AA705" i="4"/>
  <c r="AF705" i="4"/>
  <c r="N704" i="4"/>
  <c r="S704" i="4"/>
  <c r="T704" i="4"/>
  <c r="AB704" i="4" s="1"/>
  <c r="Y704" i="4"/>
  <c r="Z704" i="4"/>
  <c r="AA704" i="4"/>
  <c r="AF704" i="4"/>
  <c r="N703" i="4"/>
  <c r="S703" i="4"/>
  <c r="T703" i="4"/>
  <c r="AB703" i="4" s="1"/>
  <c r="Y703" i="4"/>
  <c r="Z703" i="4"/>
  <c r="AA703" i="4"/>
  <c r="AF703" i="4"/>
  <c r="N702" i="4"/>
  <c r="S702" i="4"/>
  <c r="T702" i="4"/>
  <c r="AB702" i="4" s="1"/>
  <c r="Y702" i="4"/>
  <c r="Z702" i="4"/>
  <c r="AA702" i="4"/>
  <c r="AF702" i="4"/>
  <c r="N701" i="4"/>
  <c r="S701" i="4"/>
  <c r="T701" i="4"/>
  <c r="AB701" i="4" s="1"/>
  <c r="Y701" i="4"/>
  <c r="Z701" i="4"/>
  <c r="AA701" i="4"/>
  <c r="AF701" i="4"/>
  <c r="N655" i="4"/>
  <c r="S655" i="4"/>
  <c r="T655" i="4"/>
  <c r="AB655" i="4" s="1"/>
  <c r="Y655" i="4"/>
  <c r="Z655" i="4"/>
  <c r="AA655" i="4"/>
  <c r="AF655" i="4"/>
  <c r="N653" i="4"/>
  <c r="S653" i="4"/>
  <c r="T653" i="4"/>
  <c r="AB653" i="4" s="1"/>
  <c r="Y653" i="4"/>
  <c r="Z653" i="4"/>
  <c r="AA653" i="4"/>
  <c r="AF653" i="4"/>
  <c r="N652" i="4"/>
  <c r="S652" i="4"/>
  <c r="T652" i="4"/>
  <c r="AB652" i="4" s="1"/>
  <c r="Y652" i="4"/>
  <c r="Z652" i="4"/>
  <c r="AA652" i="4"/>
  <c r="AF652" i="4"/>
  <c r="N651" i="4"/>
  <c r="S651" i="4"/>
  <c r="T651" i="4"/>
  <c r="AB651" i="4" s="1"/>
  <c r="Y651" i="4"/>
  <c r="Z651" i="4"/>
  <c r="AA651" i="4"/>
  <c r="AF651" i="4"/>
  <c r="N650" i="4"/>
  <c r="S650" i="4"/>
  <c r="T650" i="4"/>
  <c r="AB650" i="4" s="1"/>
  <c r="Y650" i="4"/>
  <c r="Z650" i="4"/>
  <c r="AA650" i="4"/>
  <c r="AF650" i="4"/>
  <c r="N649" i="4"/>
  <c r="S649" i="4"/>
  <c r="T649" i="4"/>
  <c r="Y649" i="4"/>
  <c r="Z649" i="4"/>
  <c r="AA649" i="4"/>
  <c r="AB649" i="4"/>
  <c r="AF649" i="4"/>
  <c r="N648" i="4"/>
  <c r="S648" i="4"/>
  <c r="T648" i="4"/>
  <c r="AB648" i="4" s="1"/>
  <c r="Y648" i="4"/>
  <c r="Z648" i="4"/>
  <c r="AA648" i="4"/>
  <c r="AF648" i="4"/>
  <c r="N647" i="4"/>
  <c r="S647" i="4"/>
  <c r="T647" i="4"/>
  <c r="AB647" i="4" s="1"/>
  <c r="Y647" i="4"/>
  <c r="Z647" i="4"/>
  <c r="AA647" i="4"/>
  <c r="AF647" i="4"/>
  <c r="G17" i="8"/>
  <c r="H17" i="8"/>
  <c r="I17" i="8" a="1"/>
  <c r="I17" i="8" s="1"/>
  <c r="J17" i="8" a="1"/>
  <c r="J17" i="8" s="1"/>
  <c r="AF464" i="4"/>
  <c r="AF465" i="4"/>
  <c r="AF466" i="4"/>
  <c r="AF467" i="4"/>
  <c r="AF468" i="4"/>
  <c r="AF469" i="4"/>
  <c r="AF470" i="4"/>
  <c r="AF471" i="4"/>
  <c r="AF472" i="4"/>
  <c r="AF473" i="4"/>
  <c r="AF474" i="4"/>
  <c r="AF475" i="4"/>
  <c r="AF476" i="4"/>
  <c r="AF477" i="4"/>
  <c r="AF478" i="4"/>
  <c r="AF479" i="4"/>
  <c r="AF480" i="4"/>
  <c r="AF481" i="4"/>
  <c r="AF482" i="4"/>
  <c r="AF483" i="4"/>
  <c r="AF484" i="4"/>
  <c r="AF485" i="4"/>
  <c r="AF486" i="4"/>
  <c r="AF487" i="4"/>
  <c r="AF488" i="4"/>
  <c r="AF489" i="4"/>
  <c r="AF490" i="4"/>
  <c r="AF491" i="4"/>
  <c r="AF492" i="4"/>
  <c r="AF493" i="4"/>
  <c r="AF494" i="4"/>
  <c r="AF495" i="4"/>
  <c r="AF496" i="4"/>
  <c r="AF497" i="4"/>
  <c r="AF498" i="4"/>
  <c r="AF499" i="4"/>
  <c r="AF500" i="4"/>
  <c r="AF501" i="4"/>
  <c r="AF502" i="4"/>
  <c r="AF503" i="4"/>
  <c r="AF504" i="4"/>
  <c r="AF505" i="4"/>
  <c r="AF506" i="4"/>
  <c r="AF507" i="4"/>
  <c r="AF508" i="4"/>
  <c r="AF509" i="4"/>
  <c r="AF510" i="4"/>
  <c r="AF511" i="4"/>
  <c r="AF512" i="4"/>
  <c r="AF513" i="4"/>
  <c r="AF514" i="4"/>
  <c r="AF515" i="4"/>
  <c r="AF516" i="4"/>
  <c r="AF517" i="4"/>
  <c r="AF518" i="4"/>
  <c r="AF519" i="4"/>
  <c r="AF520" i="4"/>
  <c r="AF521" i="4"/>
  <c r="AF522" i="4"/>
  <c r="AF523" i="4"/>
  <c r="AF524" i="4"/>
  <c r="AF525" i="4"/>
  <c r="AF526" i="4"/>
  <c r="AF527" i="4"/>
  <c r="AF528" i="4"/>
  <c r="AF529" i="4"/>
  <c r="AF530" i="4"/>
  <c r="AF531" i="4"/>
  <c r="AF532" i="4"/>
  <c r="AF533" i="4"/>
  <c r="AF534" i="4"/>
  <c r="AF535" i="4"/>
  <c r="AF536" i="4"/>
  <c r="AF537" i="4"/>
  <c r="AF538" i="4"/>
  <c r="AF539" i="4"/>
  <c r="AF540" i="4"/>
  <c r="AF541" i="4"/>
  <c r="AF542" i="4"/>
  <c r="AF543" i="4"/>
  <c r="AF544" i="4"/>
  <c r="AF545" i="4"/>
  <c r="AF546" i="4"/>
  <c r="AF547" i="4"/>
  <c r="AF548" i="4"/>
  <c r="AF549" i="4"/>
  <c r="AF550" i="4"/>
  <c r="AF551" i="4"/>
  <c r="AF552" i="4"/>
  <c r="AF553" i="4"/>
  <c r="AF554" i="4"/>
  <c r="AF555" i="4"/>
  <c r="AF556" i="4"/>
  <c r="AF557" i="4"/>
  <c r="AF558" i="4"/>
  <c r="AF559" i="4"/>
  <c r="AF560" i="4"/>
  <c r="AF561" i="4"/>
  <c r="AF562" i="4"/>
  <c r="AF563" i="4"/>
  <c r="AF564" i="4"/>
  <c r="AF565" i="4"/>
  <c r="AF566" i="4"/>
  <c r="AF567" i="4"/>
  <c r="AF568" i="4"/>
  <c r="AF569" i="4"/>
  <c r="AF570" i="4"/>
  <c r="AF571" i="4"/>
  <c r="AF572" i="4"/>
  <c r="AF573" i="4"/>
  <c r="AF574" i="4"/>
  <c r="AF575" i="4"/>
  <c r="AF576" i="4"/>
  <c r="AF577" i="4"/>
  <c r="AF578" i="4"/>
  <c r="AF579" i="4"/>
  <c r="AF580" i="4"/>
  <c r="AF581" i="4"/>
  <c r="AF582" i="4"/>
  <c r="AF583" i="4"/>
  <c r="AF584" i="4"/>
  <c r="AF585" i="4"/>
  <c r="AF586" i="4"/>
  <c r="AF587" i="4"/>
  <c r="AF588" i="4"/>
  <c r="AF589" i="4"/>
  <c r="AF590" i="4"/>
  <c r="AF591" i="4"/>
  <c r="AF592" i="4"/>
  <c r="AF593" i="4"/>
  <c r="AF594" i="4"/>
  <c r="AF595" i="4"/>
  <c r="AF596" i="4"/>
  <c r="AF597" i="4"/>
  <c r="AF598" i="4"/>
  <c r="AF599" i="4"/>
  <c r="AF600" i="4"/>
  <c r="AF601" i="4"/>
  <c r="AF602" i="4"/>
  <c r="AF603" i="4"/>
  <c r="AF604" i="4"/>
  <c r="AF605" i="4"/>
  <c r="AF606" i="4"/>
  <c r="AF607" i="4"/>
  <c r="AF608" i="4"/>
  <c r="AF609" i="4"/>
  <c r="AF610" i="4"/>
  <c r="AF611" i="4"/>
  <c r="AF612" i="4"/>
  <c r="AF613" i="4"/>
  <c r="AF614" i="4"/>
  <c r="AF615" i="4"/>
  <c r="AF616" i="4"/>
  <c r="AF617" i="4"/>
  <c r="AF618" i="4"/>
  <c r="AF619" i="4"/>
  <c r="AF620" i="4"/>
  <c r="AF621" i="4"/>
  <c r="AF622" i="4"/>
  <c r="AF623" i="4"/>
  <c r="AF624" i="4"/>
  <c r="AF625" i="4"/>
  <c r="AF626" i="4"/>
  <c r="AF627" i="4"/>
  <c r="AF628" i="4"/>
  <c r="AF629" i="4"/>
  <c r="AF630" i="4"/>
  <c r="AF631" i="4"/>
  <c r="AF632" i="4"/>
  <c r="AF633" i="4"/>
  <c r="AF634" i="4"/>
  <c r="AF635" i="4"/>
  <c r="AF636" i="4"/>
  <c r="AF637" i="4"/>
  <c r="AF638" i="4"/>
  <c r="AF639" i="4"/>
  <c r="AF641" i="4"/>
  <c r="AF642" i="4"/>
  <c r="AF644" i="4"/>
  <c r="AF645" i="4"/>
  <c r="AF646" i="4"/>
  <c r="N644" i="4"/>
  <c r="N645" i="4"/>
  <c r="N646" i="4"/>
  <c r="S644" i="4"/>
  <c r="S645" i="4"/>
  <c r="S646" i="4"/>
  <c r="T644" i="4"/>
  <c r="AB644" i="4" s="1"/>
  <c r="T645" i="4"/>
  <c r="AB645" i="4" s="1"/>
  <c r="T646" i="4"/>
  <c r="AB646" i="4" s="1"/>
  <c r="Y644" i="4"/>
  <c r="Y645" i="4"/>
  <c r="Y646" i="4"/>
  <c r="Z644" i="4"/>
  <c r="Z645" i="4"/>
  <c r="Z646" i="4"/>
  <c r="AA644" i="4"/>
  <c r="AA645" i="4"/>
  <c r="AA646" i="4"/>
  <c r="N636" i="4"/>
  <c r="N637" i="4"/>
  <c r="N638" i="4"/>
  <c r="N639" i="4"/>
  <c r="N641" i="4"/>
  <c r="N642" i="4"/>
  <c r="S636" i="4"/>
  <c r="S637" i="4"/>
  <c r="S638" i="4"/>
  <c r="S639" i="4"/>
  <c r="S641" i="4"/>
  <c r="S642" i="4"/>
  <c r="T636" i="4"/>
  <c r="T637" i="4"/>
  <c r="T638" i="4"/>
  <c r="T639" i="4"/>
  <c r="T641" i="4"/>
  <c r="T642" i="4"/>
  <c r="Y636" i="4"/>
  <c r="Y637" i="4"/>
  <c r="Y638" i="4"/>
  <c r="Y639" i="4"/>
  <c r="Y641" i="4"/>
  <c r="Y642" i="4"/>
  <c r="Z636" i="4"/>
  <c r="Z637" i="4"/>
  <c r="Z638" i="4"/>
  <c r="Z639" i="4"/>
  <c r="Z641" i="4"/>
  <c r="Z642" i="4"/>
  <c r="AA636" i="4"/>
  <c r="AA637" i="4"/>
  <c r="AA638" i="4"/>
  <c r="AA639" i="4"/>
  <c r="AA641" i="4"/>
  <c r="AA642" i="4"/>
  <c r="AB636" i="4"/>
  <c r="AB637" i="4"/>
  <c r="AB638" i="4"/>
  <c r="AB639" i="4"/>
  <c r="AB641" i="4"/>
  <c r="AB642" i="4"/>
  <c r="N635" i="4"/>
  <c r="S635" i="4"/>
  <c r="T635" i="4"/>
  <c r="Y635" i="4"/>
  <c r="Z635" i="4"/>
  <c r="AA635" i="4"/>
  <c r="AB635" i="4"/>
  <c r="N631" i="4"/>
  <c r="S631" i="4"/>
  <c r="T631" i="4"/>
  <c r="AB631" i="4" s="1"/>
  <c r="Y631" i="4"/>
  <c r="Z631" i="4"/>
  <c r="AA631" i="4"/>
  <c r="N628" i="4"/>
  <c r="S628" i="4"/>
  <c r="T628" i="4"/>
  <c r="AB628" i="4" s="1"/>
  <c r="Y628" i="4"/>
  <c r="Z628" i="4"/>
  <c r="AA628" i="4"/>
  <c r="N625" i="4"/>
  <c r="S625" i="4"/>
  <c r="T625" i="4"/>
  <c r="AB625" i="4" s="1"/>
  <c r="Y625" i="4"/>
  <c r="Z625" i="4"/>
  <c r="AA625" i="4"/>
  <c r="N626" i="4"/>
  <c r="S626" i="4"/>
  <c r="T626" i="4"/>
  <c r="AB626" i="4" s="1"/>
  <c r="Y626" i="4"/>
  <c r="Z626" i="4"/>
  <c r="AA626" i="4"/>
  <c r="N623" i="4"/>
  <c r="S623" i="4"/>
  <c r="T623" i="4"/>
  <c r="AB623" i="4" s="1"/>
  <c r="Y623" i="4"/>
  <c r="Z623" i="4"/>
  <c r="AA623" i="4"/>
  <c r="AA618" i="4"/>
  <c r="Z618" i="4"/>
  <c r="Y618" i="4"/>
  <c r="T618" i="4"/>
  <c r="AB618" i="4" s="1"/>
  <c r="S618" i="4"/>
  <c r="N618" i="4"/>
  <c r="N617" i="4"/>
  <c r="N619" i="4"/>
  <c r="N620" i="4"/>
  <c r="N621" i="4"/>
  <c r="N622" i="4"/>
  <c r="N624" i="4"/>
  <c r="N627" i="4"/>
  <c r="N629" i="4"/>
  <c r="N630" i="4"/>
  <c r="N632" i="4"/>
  <c r="N633" i="4"/>
  <c r="N634" i="4"/>
  <c r="S617" i="4"/>
  <c r="S619" i="4"/>
  <c r="S620" i="4"/>
  <c r="S621" i="4"/>
  <c r="S622" i="4"/>
  <c r="S624" i="4"/>
  <c r="S627" i="4"/>
  <c r="S629" i="4"/>
  <c r="S630" i="4"/>
  <c r="S632" i="4"/>
  <c r="S633" i="4"/>
  <c r="S634" i="4"/>
  <c r="T617" i="4"/>
  <c r="T619" i="4"/>
  <c r="T620" i="4"/>
  <c r="T621" i="4"/>
  <c r="T622" i="4"/>
  <c r="T624" i="4"/>
  <c r="T627" i="4"/>
  <c r="T629" i="4"/>
  <c r="T630" i="4"/>
  <c r="T632" i="4"/>
  <c r="T633" i="4"/>
  <c r="T634" i="4"/>
  <c r="Y617" i="4"/>
  <c r="Y619" i="4"/>
  <c r="Y620" i="4"/>
  <c r="Y621" i="4"/>
  <c r="Y622" i="4"/>
  <c r="Y624" i="4"/>
  <c r="Y627" i="4"/>
  <c r="Y629" i="4"/>
  <c r="Y630" i="4"/>
  <c r="Y632" i="4"/>
  <c r="Y633" i="4"/>
  <c r="Y634" i="4"/>
  <c r="Z617" i="4"/>
  <c r="Z619" i="4"/>
  <c r="Z620" i="4"/>
  <c r="Z621" i="4"/>
  <c r="Z622" i="4"/>
  <c r="Z624" i="4"/>
  <c r="Z627" i="4"/>
  <c r="Z629" i="4"/>
  <c r="Z630" i="4"/>
  <c r="Z632" i="4"/>
  <c r="Z633" i="4"/>
  <c r="Z634" i="4"/>
  <c r="AA617" i="4"/>
  <c r="AA619" i="4"/>
  <c r="AA620" i="4"/>
  <c r="AA621" i="4"/>
  <c r="AA622" i="4"/>
  <c r="AA624" i="4"/>
  <c r="AA627" i="4"/>
  <c r="AA629" i="4"/>
  <c r="AA630" i="4"/>
  <c r="AA632" i="4"/>
  <c r="AA633" i="4"/>
  <c r="AA634" i="4"/>
  <c r="AB617" i="4"/>
  <c r="AB619" i="4"/>
  <c r="AB620" i="4"/>
  <c r="AB621" i="4"/>
  <c r="AB622" i="4"/>
  <c r="AB624" i="4"/>
  <c r="AB627" i="4"/>
  <c r="AB629" i="4"/>
  <c r="AB630" i="4"/>
  <c r="AB632" i="4"/>
  <c r="AB633" i="4"/>
  <c r="AB634" i="4"/>
  <c r="N616" i="4"/>
  <c r="S616" i="4"/>
  <c r="T616" i="4"/>
  <c r="Y616" i="4"/>
  <c r="Z616" i="4"/>
  <c r="AA616" i="4"/>
  <c r="AB616" i="4"/>
  <c r="N606" i="4"/>
  <c r="S606" i="4"/>
  <c r="T606" i="4"/>
  <c r="AB606" i="4" s="1"/>
  <c r="Y606" i="4"/>
  <c r="Z606" i="4"/>
  <c r="AA606" i="4"/>
  <c r="N604" i="4"/>
  <c r="N605" i="4"/>
  <c r="N607" i="4"/>
  <c r="N608" i="4"/>
  <c r="N609" i="4"/>
  <c r="N610" i="4"/>
  <c r="N611" i="4"/>
  <c r="N612" i="4"/>
  <c r="N613" i="4"/>
  <c r="N614" i="4"/>
  <c r="N615" i="4"/>
  <c r="S604" i="4"/>
  <c r="S605" i="4"/>
  <c r="S607" i="4"/>
  <c r="S608" i="4"/>
  <c r="S609" i="4"/>
  <c r="S610" i="4"/>
  <c r="S611" i="4"/>
  <c r="S612" i="4"/>
  <c r="S613" i="4"/>
  <c r="S614" i="4"/>
  <c r="S615" i="4"/>
  <c r="T604" i="4"/>
  <c r="AB604" i="4" s="1"/>
  <c r="T605" i="4"/>
  <c r="AB605" i="4" s="1"/>
  <c r="T607" i="4"/>
  <c r="AB607" i="4" s="1"/>
  <c r="T608" i="4"/>
  <c r="AB608" i="4" s="1"/>
  <c r="T609" i="4"/>
  <c r="AB609" i="4" s="1"/>
  <c r="T610" i="4"/>
  <c r="AB610" i="4" s="1"/>
  <c r="T611" i="4"/>
  <c r="T612" i="4"/>
  <c r="AB612" i="4" s="1"/>
  <c r="T613" i="4"/>
  <c r="T614" i="4"/>
  <c r="AB614" i="4" s="1"/>
  <c r="T615" i="4"/>
  <c r="AB615" i="4" s="1"/>
  <c r="Y604" i="4"/>
  <c r="Y605" i="4"/>
  <c r="Y607" i="4"/>
  <c r="Y608" i="4"/>
  <c r="Y609" i="4"/>
  <c r="Y610" i="4"/>
  <c r="Y611" i="4"/>
  <c r="Y612" i="4"/>
  <c r="Y613" i="4"/>
  <c r="Y614" i="4"/>
  <c r="Y615" i="4"/>
  <c r="Z604" i="4"/>
  <c r="Z605" i="4"/>
  <c r="Z607" i="4"/>
  <c r="Z608" i="4"/>
  <c r="Z609" i="4"/>
  <c r="Z610" i="4"/>
  <c r="Z611" i="4"/>
  <c r="Z612" i="4"/>
  <c r="Z613" i="4"/>
  <c r="Z614" i="4"/>
  <c r="Z615" i="4"/>
  <c r="AA604" i="4"/>
  <c r="AA605" i="4"/>
  <c r="AA607" i="4"/>
  <c r="AA608" i="4"/>
  <c r="AA609" i="4"/>
  <c r="AA610" i="4"/>
  <c r="AA611" i="4"/>
  <c r="AA612" i="4"/>
  <c r="AA613" i="4"/>
  <c r="AA614" i="4"/>
  <c r="AA615" i="4"/>
  <c r="AB611" i="4"/>
  <c r="AB613" i="4"/>
  <c r="N603" i="4"/>
  <c r="S603" i="4"/>
  <c r="T603" i="4"/>
  <c r="Y603" i="4"/>
  <c r="Z603" i="4"/>
  <c r="AA603" i="4"/>
  <c r="AB603" i="4"/>
  <c r="N600" i="4"/>
  <c r="N601" i="4"/>
  <c r="N602" i="4"/>
  <c r="S600" i="4"/>
  <c r="S601" i="4"/>
  <c r="S602" i="4"/>
  <c r="T600" i="4"/>
  <c r="T601" i="4"/>
  <c r="AB601" i="4" s="1"/>
  <c r="T602" i="4"/>
  <c r="AB602" i="4" s="1"/>
  <c r="Y600" i="4"/>
  <c r="Y601" i="4"/>
  <c r="Y602" i="4"/>
  <c r="Z600" i="4"/>
  <c r="Z601" i="4"/>
  <c r="Z602" i="4"/>
  <c r="AA600" i="4"/>
  <c r="AA601" i="4"/>
  <c r="AA602" i="4"/>
  <c r="AB600" i="4"/>
  <c r="N599" i="4"/>
  <c r="S599" i="4"/>
  <c r="T599" i="4"/>
  <c r="AB599" i="4" s="1"/>
  <c r="Y599" i="4"/>
  <c r="Z599" i="4"/>
  <c r="AA599" i="4"/>
  <c r="N598" i="4"/>
  <c r="S598" i="4"/>
  <c r="T598" i="4"/>
  <c r="AB598" i="4" s="1"/>
  <c r="Y598" i="4"/>
  <c r="Z598" i="4"/>
  <c r="AA598" i="4"/>
  <c r="N597" i="4"/>
  <c r="S597" i="4"/>
  <c r="T597" i="4"/>
  <c r="AB597" i="4" s="1"/>
  <c r="Y597" i="4"/>
  <c r="Z597" i="4"/>
  <c r="AA597" i="4"/>
  <c r="N596" i="4"/>
  <c r="S596" i="4"/>
  <c r="T596" i="4"/>
  <c r="AB596" i="4" s="1"/>
  <c r="Y596" i="4"/>
  <c r="Z596" i="4"/>
  <c r="AA596" i="4"/>
  <c r="N595" i="4"/>
  <c r="S595" i="4"/>
  <c r="T595" i="4"/>
  <c r="AB595" i="4" s="1"/>
  <c r="Y595" i="4"/>
  <c r="Z595" i="4"/>
  <c r="AA595" i="4"/>
  <c r="N594" i="4"/>
  <c r="S594" i="4"/>
  <c r="T594" i="4"/>
  <c r="Y594" i="4"/>
  <c r="Z594" i="4"/>
  <c r="AA594" i="4"/>
  <c r="AB594" i="4"/>
  <c r="N593" i="4"/>
  <c r="S593" i="4"/>
  <c r="T593" i="4"/>
  <c r="Y593" i="4"/>
  <c r="Z593" i="4"/>
  <c r="AA593" i="4"/>
  <c r="AB593" i="4"/>
  <c r="N592" i="4"/>
  <c r="S592" i="4"/>
  <c r="T592" i="4"/>
  <c r="Y592" i="4"/>
  <c r="Z592" i="4"/>
  <c r="AA592" i="4"/>
  <c r="AB592" i="4"/>
  <c r="N591" i="4"/>
  <c r="S591" i="4"/>
  <c r="T591" i="4"/>
  <c r="AB591" i="4" s="1"/>
  <c r="Y591" i="4"/>
  <c r="Z591" i="4"/>
  <c r="AA591" i="4"/>
  <c r="AB484" i="4"/>
  <c r="AB486" i="4"/>
  <c r="AB487" i="4"/>
  <c r="AB489" i="4"/>
  <c r="AB496" i="4"/>
  <c r="AB497" i="4"/>
  <c r="AB498" i="4"/>
  <c r="AB499" i="4"/>
  <c r="AB506" i="4"/>
  <c r="AB518" i="4"/>
  <c r="AB528" i="4"/>
  <c r="AB539" i="4"/>
  <c r="AB542" i="4"/>
  <c r="AB544" i="4"/>
  <c r="AB559" i="4"/>
  <c r="AB561" i="4"/>
  <c r="AB577" i="4"/>
  <c r="AB580" i="4"/>
  <c r="AB582" i="4"/>
  <c r="AB584" i="4"/>
  <c r="AB589" i="4"/>
  <c r="T583" i="4"/>
  <c r="AB583" i="4" s="1"/>
  <c r="N575" i="4"/>
  <c r="S575" i="4"/>
  <c r="T575" i="4"/>
  <c r="AB575" i="4" s="1"/>
  <c r="Y575" i="4"/>
  <c r="Z575" i="4"/>
  <c r="AA575" i="4"/>
  <c r="N573" i="4"/>
  <c r="S573" i="4"/>
  <c r="T573" i="4"/>
  <c r="AB573" i="4" s="1"/>
  <c r="Y573" i="4"/>
  <c r="Z573" i="4"/>
  <c r="AA573" i="4"/>
  <c r="AA571" i="4"/>
  <c r="Z571" i="4"/>
  <c r="Y571" i="4"/>
  <c r="T571" i="4"/>
  <c r="AB571" i="4" s="1"/>
  <c r="S571" i="4"/>
  <c r="N571" i="4"/>
  <c r="N590" i="4"/>
  <c r="S590" i="4"/>
  <c r="T590" i="4"/>
  <c r="AB590" i="4" s="1"/>
  <c r="Y590" i="4"/>
  <c r="Z590" i="4"/>
  <c r="AA590" i="4"/>
  <c r="N589" i="4"/>
  <c r="S589" i="4"/>
  <c r="T589" i="4"/>
  <c r="Y589" i="4"/>
  <c r="Z589" i="4"/>
  <c r="AA589" i="4"/>
  <c r="N588" i="4"/>
  <c r="S588" i="4"/>
  <c r="T588" i="4"/>
  <c r="AB588" i="4" s="1"/>
  <c r="Y588" i="4"/>
  <c r="Z588" i="4"/>
  <c r="AA588" i="4"/>
  <c r="N587" i="4"/>
  <c r="S587" i="4"/>
  <c r="T587" i="4"/>
  <c r="AB587" i="4" s="1"/>
  <c r="Y587" i="4"/>
  <c r="Z587" i="4"/>
  <c r="AA587" i="4"/>
  <c r="I32" i="8" a="1"/>
  <c r="I32" i="8" s="1"/>
  <c r="J32" i="8" a="1"/>
  <c r="J32" i="8" s="1"/>
  <c r="I29" i="8" a="1"/>
  <c r="I29" i="8" s="1"/>
  <c r="J29" i="8" a="1"/>
  <c r="J29" i="8" s="1"/>
  <c r="I16" i="8" a="1"/>
  <c r="I16" i="8" s="1"/>
  <c r="J16" i="8" a="1"/>
  <c r="J16" i="8" s="1"/>
  <c r="I21" i="8" a="1"/>
  <c r="I21" i="8" s="1"/>
  <c r="J21" i="8" a="1"/>
  <c r="J21" i="8" s="1"/>
  <c r="I14" i="8" a="1"/>
  <c r="I14" i="8" s="1"/>
  <c r="J14" i="8" a="1"/>
  <c r="J14" i="8" s="1"/>
  <c r="I38" i="8" a="1"/>
  <c r="I38" i="8" s="1"/>
  <c r="J38" i="8" a="1"/>
  <c r="J38" i="8" s="1"/>
  <c r="I40" i="8" a="1"/>
  <c r="I40" i="8" s="1"/>
  <c r="J40" i="8" a="1"/>
  <c r="J40" i="8" s="1"/>
  <c r="I22" i="8" a="1"/>
  <c r="I22" i="8" s="1"/>
  <c r="J22" i="8" a="1"/>
  <c r="J22" i="8" s="1"/>
  <c r="I23" i="8" a="1"/>
  <c r="I23" i="8" s="1"/>
  <c r="J23" i="8" a="1"/>
  <c r="J23" i="8" s="1"/>
  <c r="I36" i="8" a="1"/>
  <c r="I36" i="8" s="1"/>
  <c r="J36" i="8" a="1"/>
  <c r="J36" i="8" s="1"/>
  <c r="I44" i="8" a="1"/>
  <c r="I44" i="8" s="1"/>
  <c r="J44" i="8" a="1"/>
  <c r="J44" i="8" s="1"/>
  <c r="I25" i="8" a="1"/>
  <c r="I25" i="8" s="1"/>
  <c r="J25" i="8" a="1"/>
  <c r="J25" i="8" s="1"/>
  <c r="I47" i="8" a="1"/>
  <c r="I47" i="8" s="1"/>
  <c r="J47" i="8" a="1"/>
  <c r="J47" i="8" s="1"/>
  <c r="I41" i="8" a="1"/>
  <c r="I41" i="8" s="1"/>
  <c r="J41" i="8" a="1"/>
  <c r="J41" i="8" s="1"/>
  <c r="I49" i="8" a="1"/>
  <c r="I49" i="8" s="1"/>
  <c r="J49" i="8" a="1"/>
  <c r="J49" i="8" s="1"/>
  <c r="I4" i="8" a="1"/>
  <c r="I4" i="8" s="1"/>
  <c r="J4" i="8" a="1"/>
  <c r="J4" i="8" s="1"/>
  <c r="I35" i="8" a="1"/>
  <c r="I35" i="8" s="1"/>
  <c r="J35" i="8" a="1"/>
  <c r="J35" i="8" s="1"/>
  <c r="I27" i="8" a="1"/>
  <c r="I27" i="8" s="1"/>
  <c r="J27" i="8" a="1"/>
  <c r="J27" i="8" s="1"/>
  <c r="I19" i="8" a="1"/>
  <c r="I19" i="8" s="1"/>
  <c r="J19" i="8" a="1"/>
  <c r="J19" i="8" s="1"/>
  <c r="I11" i="8" a="1"/>
  <c r="I11" i="8" s="1"/>
  <c r="J11" i="8" a="1"/>
  <c r="J11" i="8" s="1"/>
  <c r="I30" i="8" a="1"/>
  <c r="I30" i="8" s="1"/>
  <c r="J30" i="8" a="1"/>
  <c r="J30" i="8" s="1"/>
  <c r="I20" i="8" a="1"/>
  <c r="I20" i="8" s="1"/>
  <c r="J20" i="8" a="1"/>
  <c r="J20" i="8" s="1"/>
  <c r="I24" i="8" a="1"/>
  <c r="I24" i="8" s="1"/>
  <c r="J24" i="8" a="1"/>
  <c r="J24" i="8" s="1"/>
  <c r="I31" i="8" a="1"/>
  <c r="I31" i="8" s="1"/>
  <c r="J31" i="8" a="1"/>
  <c r="J31" i="8" s="1"/>
  <c r="I37" i="8" a="1"/>
  <c r="I37" i="8" s="1"/>
  <c r="J37" i="8" a="1"/>
  <c r="J37" i="8" s="1"/>
  <c r="I6" i="8" a="1"/>
  <c r="I6" i="8" s="1"/>
  <c r="J6" i="8" a="1"/>
  <c r="J6" i="8" s="1"/>
  <c r="I46" i="8" a="1"/>
  <c r="I46" i="8" s="1"/>
  <c r="J46" i="8" a="1"/>
  <c r="J46" i="8" s="1"/>
  <c r="I42" i="8" a="1"/>
  <c r="I42" i="8" s="1"/>
  <c r="J42" i="8" a="1"/>
  <c r="J42" i="8" s="1"/>
  <c r="I48" i="8" a="1"/>
  <c r="I48" i="8" s="1"/>
  <c r="J48" i="8" a="1"/>
  <c r="J48" i="8" s="1"/>
  <c r="I15" i="8" a="1"/>
  <c r="I15" i="8" s="1"/>
  <c r="J15" i="8" a="1"/>
  <c r="J15" i="8" s="1"/>
  <c r="I12" i="8" a="1"/>
  <c r="I12" i="8" s="1"/>
  <c r="J12" i="8" a="1"/>
  <c r="J12" i="8" s="1"/>
  <c r="I34" i="8" a="1"/>
  <c r="I34" i="8" s="1"/>
  <c r="J34" i="8" a="1"/>
  <c r="J34" i="8" s="1"/>
  <c r="I5" i="8" a="1"/>
  <c r="I5" i="8" s="1"/>
  <c r="J5" i="8" a="1"/>
  <c r="J5" i="8" s="1"/>
  <c r="I9" i="8" a="1"/>
  <c r="I9" i="8" s="1"/>
  <c r="J9" i="8" a="1"/>
  <c r="J9" i="8" s="1"/>
  <c r="I2" i="8" a="1"/>
  <c r="I2" i="8" s="1"/>
  <c r="J2" i="8" a="1"/>
  <c r="J2" i="8" s="1"/>
  <c r="I39" i="8" a="1"/>
  <c r="I39" i="8" s="1"/>
  <c r="J39" i="8" a="1"/>
  <c r="J39" i="8" s="1"/>
  <c r="I45" i="8" a="1"/>
  <c r="I45" i="8" s="1"/>
  <c r="J45" i="8" a="1"/>
  <c r="J45" i="8" s="1"/>
  <c r="I33" i="8" a="1"/>
  <c r="I33" i="8" s="1"/>
  <c r="J33" i="8" a="1"/>
  <c r="J33" i="8" s="1"/>
  <c r="I43" i="8" a="1"/>
  <c r="I43" i="8" s="1"/>
  <c r="J43" i="8" a="1"/>
  <c r="J43" i="8" s="1"/>
  <c r="I8" i="8" a="1"/>
  <c r="I8" i="8" s="1"/>
  <c r="J8" i="8" a="1"/>
  <c r="J8" i="8" s="1"/>
  <c r="I10" i="8" a="1"/>
  <c r="I10" i="8" s="1"/>
  <c r="J10" i="8" a="1"/>
  <c r="J10" i="8" s="1"/>
  <c r="I28" i="8" a="1"/>
  <c r="I28" i="8" s="1"/>
  <c r="J28" i="8" a="1"/>
  <c r="J28" i="8" s="1"/>
  <c r="I7" i="8" a="1"/>
  <c r="I7" i="8" s="1"/>
  <c r="J7" i="8" a="1"/>
  <c r="J7" i="8" s="1"/>
  <c r="I3" i="8" a="1"/>
  <c r="I3" i="8" s="1"/>
  <c r="J3" i="8" a="1"/>
  <c r="J3" i="8" s="1"/>
  <c r="I13" i="8" a="1"/>
  <c r="I13" i="8" s="1"/>
  <c r="J13" i="8" a="1"/>
  <c r="J13" i="8" s="1"/>
  <c r="I18" i="8" a="1"/>
  <c r="I18" i="8" s="1"/>
  <c r="J18" i="8" a="1"/>
  <c r="J18" i="8" s="1"/>
  <c r="I26" i="8" a="1"/>
  <c r="I26" i="8" s="1"/>
  <c r="J26" i="8" a="1"/>
  <c r="J26" i="8" s="1"/>
  <c r="H32" i="8"/>
  <c r="H29" i="8"/>
  <c r="H16" i="8"/>
  <c r="H21" i="8"/>
  <c r="H14" i="8"/>
  <c r="H38" i="8"/>
  <c r="H40" i="8"/>
  <c r="H22" i="8"/>
  <c r="H23" i="8"/>
  <c r="H36" i="8"/>
  <c r="H44" i="8"/>
  <c r="H25" i="8"/>
  <c r="H47" i="8"/>
  <c r="H41" i="8"/>
  <c r="H49" i="8"/>
  <c r="H4" i="8"/>
  <c r="H35" i="8"/>
  <c r="H27" i="8"/>
  <c r="H19" i="8"/>
  <c r="H11" i="8"/>
  <c r="H30" i="8"/>
  <c r="H20" i="8"/>
  <c r="H24" i="8"/>
  <c r="H31" i="8"/>
  <c r="H37" i="8"/>
  <c r="H6" i="8"/>
  <c r="H46" i="8"/>
  <c r="H42" i="8"/>
  <c r="H48" i="8"/>
  <c r="H15" i="8"/>
  <c r="H12" i="8"/>
  <c r="H34" i="8"/>
  <c r="H5" i="8"/>
  <c r="H9" i="8"/>
  <c r="H2" i="8"/>
  <c r="H39" i="8"/>
  <c r="H45" i="8"/>
  <c r="H33" i="8"/>
  <c r="H43" i="8"/>
  <c r="H8" i="8"/>
  <c r="H10" i="8"/>
  <c r="H28" i="8"/>
  <c r="H7" i="8"/>
  <c r="H3" i="8"/>
  <c r="H13" i="8"/>
  <c r="H18" i="8"/>
  <c r="H26" i="8"/>
  <c r="G4" i="8"/>
  <c r="G35" i="8"/>
  <c r="G2" i="8"/>
  <c r="G24" i="8"/>
  <c r="G19" i="8"/>
  <c r="G25" i="8"/>
  <c r="G33" i="8"/>
  <c r="G46" i="8"/>
  <c r="G38" i="8"/>
  <c r="G49" i="8"/>
  <c r="G40" i="8"/>
  <c r="G20" i="8"/>
  <c r="G29" i="8"/>
  <c r="G22" i="8"/>
  <c r="G26" i="8"/>
  <c r="G7" i="8"/>
  <c r="G12" i="8"/>
  <c r="G21" i="8"/>
  <c r="G42" i="8"/>
  <c r="G3" i="8"/>
  <c r="G30" i="8"/>
  <c r="G5" i="8"/>
  <c r="G6" i="8"/>
  <c r="G11" i="8"/>
  <c r="G48" i="8"/>
  <c r="G10" i="8"/>
  <c r="G16" i="8"/>
  <c r="G47" i="8"/>
  <c r="G32" i="8"/>
  <c r="G15" i="8"/>
  <c r="G43" i="8"/>
  <c r="G23" i="8"/>
  <c r="G28" i="8"/>
  <c r="G31" i="8"/>
  <c r="G18" i="8"/>
  <c r="G41" i="8"/>
  <c r="G14" i="8"/>
  <c r="G36" i="8"/>
  <c r="G37" i="8"/>
  <c r="G45" i="8"/>
  <c r="G8" i="8"/>
  <c r="G9" i="8"/>
  <c r="G13" i="8"/>
  <c r="G39" i="8"/>
  <c r="G44" i="8"/>
  <c r="G34" i="8"/>
  <c r="G27" i="8"/>
  <c r="N586" i="4"/>
  <c r="S586" i="4"/>
  <c r="T586" i="4"/>
  <c r="AB586" i="4" s="1"/>
  <c r="Y586" i="4"/>
  <c r="Z586" i="4"/>
  <c r="AA586" i="4"/>
  <c r="N585" i="4"/>
  <c r="S585" i="4"/>
  <c r="T585" i="4"/>
  <c r="AB585" i="4" s="1"/>
  <c r="Y585" i="4"/>
  <c r="Z585" i="4"/>
  <c r="AA585" i="4"/>
  <c r="N568" i="4"/>
  <c r="S568" i="4"/>
  <c r="T568" i="4"/>
  <c r="AB568" i="4" s="1"/>
  <c r="Y568" i="4"/>
  <c r="Z568" i="4"/>
  <c r="AA568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T555" i="4"/>
  <c r="AB555" i="4" s="1"/>
  <c r="T556" i="4"/>
  <c r="AB556" i="4" s="1"/>
  <c r="T557" i="4"/>
  <c r="AB557" i="4" s="1"/>
  <c r="T558" i="4"/>
  <c r="AB558" i="4" s="1"/>
  <c r="T559" i="4"/>
  <c r="T560" i="4"/>
  <c r="AB560" i="4" s="1"/>
  <c r="T561" i="4"/>
  <c r="T562" i="4"/>
  <c r="AB562" i="4" s="1"/>
  <c r="T563" i="4"/>
  <c r="AB563" i="4" s="1"/>
  <c r="T564" i="4"/>
  <c r="AB564" i="4" s="1"/>
  <c r="T565" i="4"/>
  <c r="AB565" i="4" s="1"/>
  <c r="T566" i="4"/>
  <c r="AB566" i="4" s="1"/>
  <c r="T567" i="4"/>
  <c r="AB567" i="4" s="1"/>
  <c r="Y555" i="4"/>
  <c r="Y556" i="4"/>
  <c r="Y557" i="4"/>
  <c r="Y558" i="4"/>
  <c r="Y559" i="4"/>
  <c r="Y560" i="4"/>
  <c r="Y561" i="4"/>
  <c r="Y562" i="4"/>
  <c r="Y563" i="4"/>
  <c r="Y564" i="4"/>
  <c r="Y565" i="4"/>
  <c r="Y566" i="4"/>
  <c r="Y567" i="4"/>
  <c r="Z555" i="4"/>
  <c r="Z556" i="4"/>
  <c r="Z557" i="4"/>
  <c r="Z558" i="4"/>
  <c r="Z559" i="4"/>
  <c r="Z560" i="4"/>
  <c r="Z561" i="4"/>
  <c r="Z562" i="4"/>
  <c r="Z563" i="4"/>
  <c r="Z564" i="4"/>
  <c r="Z565" i="4"/>
  <c r="Z566" i="4"/>
  <c r="Z567" i="4"/>
  <c r="AA555" i="4"/>
  <c r="AA556" i="4"/>
  <c r="AA557" i="4"/>
  <c r="AA558" i="4"/>
  <c r="AA559" i="4"/>
  <c r="AA560" i="4"/>
  <c r="AA561" i="4"/>
  <c r="AA562" i="4"/>
  <c r="AA563" i="4"/>
  <c r="AA564" i="4"/>
  <c r="AA565" i="4"/>
  <c r="AA566" i="4"/>
  <c r="AA567" i="4"/>
  <c r="N570" i="4"/>
  <c r="N572" i="4"/>
  <c r="N574" i="4"/>
  <c r="N576" i="4"/>
  <c r="N577" i="4"/>
  <c r="N578" i="4"/>
  <c r="N579" i="4"/>
  <c r="N580" i="4"/>
  <c r="N581" i="4"/>
  <c r="N582" i="4"/>
  <c r="N583" i="4"/>
  <c r="N584" i="4"/>
  <c r="S570" i="4"/>
  <c r="S572" i="4"/>
  <c r="S574" i="4"/>
  <c r="S576" i="4"/>
  <c r="S577" i="4"/>
  <c r="S578" i="4"/>
  <c r="S579" i="4"/>
  <c r="S580" i="4"/>
  <c r="S581" i="4"/>
  <c r="S582" i="4"/>
  <c r="S583" i="4"/>
  <c r="S584" i="4"/>
  <c r="T570" i="4"/>
  <c r="AB570" i="4" s="1"/>
  <c r="T572" i="4"/>
  <c r="AB572" i="4" s="1"/>
  <c r="T574" i="4"/>
  <c r="AB574" i="4" s="1"/>
  <c r="T576" i="4"/>
  <c r="AB576" i="4" s="1"/>
  <c r="T577" i="4"/>
  <c r="T578" i="4"/>
  <c r="AB578" i="4" s="1"/>
  <c r="T579" i="4"/>
  <c r="AB579" i="4" s="1"/>
  <c r="T580" i="4"/>
  <c r="T581" i="4"/>
  <c r="AB581" i="4" s="1"/>
  <c r="T582" i="4"/>
  <c r="T584" i="4"/>
  <c r="Y570" i="4"/>
  <c r="Y572" i="4"/>
  <c r="Y574" i="4"/>
  <c r="Y576" i="4"/>
  <c r="Y577" i="4"/>
  <c r="Y578" i="4"/>
  <c r="Y579" i="4"/>
  <c r="Y580" i="4"/>
  <c r="Y581" i="4"/>
  <c r="Y582" i="4"/>
  <c r="Y583" i="4"/>
  <c r="Y584" i="4"/>
  <c r="Z570" i="4"/>
  <c r="Z572" i="4"/>
  <c r="Z574" i="4"/>
  <c r="Z576" i="4"/>
  <c r="Z577" i="4"/>
  <c r="Z578" i="4"/>
  <c r="Z579" i="4"/>
  <c r="Z580" i="4"/>
  <c r="Z581" i="4"/>
  <c r="Z582" i="4"/>
  <c r="Z583" i="4"/>
  <c r="Z584" i="4"/>
  <c r="AA570" i="4"/>
  <c r="AA572" i="4"/>
  <c r="AA574" i="4"/>
  <c r="AA576" i="4"/>
  <c r="AA577" i="4"/>
  <c r="AA578" i="4"/>
  <c r="AA579" i="4"/>
  <c r="AA580" i="4"/>
  <c r="AA581" i="4"/>
  <c r="AA582" i="4"/>
  <c r="AA583" i="4"/>
  <c r="AA584" i="4"/>
  <c r="N569" i="4"/>
  <c r="S569" i="4"/>
  <c r="T569" i="4"/>
  <c r="AB569" i="4" s="1"/>
  <c r="Y569" i="4"/>
  <c r="Z569" i="4"/>
  <c r="AA569" i="4"/>
  <c r="H1" i="7"/>
  <c r="H2" i="7" s="1"/>
  <c r="N551" i="4"/>
  <c r="S551" i="4"/>
  <c r="T551" i="4"/>
  <c r="AB551" i="4" s="1"/>
  <c r="Y551" i="4"/>
  <c r="Z551" i="4"/>
  <c r="AA551" i="4"/>
  <c r="N546" i="4"/>
  <c r="N547" i="4"/>
  <c r="N548" i="4"/>
  <c r="S546" i="4"/>
  <c r="S547" i="4"/>
  <c r="S548" i="4"/>
  <c r="T546" i="4"/>
  <c r="AB546" i="4" s="1"/>
  <c r="T547" i="4"/>
  <c r="AB547" i="4" s="1"/>
  <c r="T548" i="4"/>
  <c r="AB548" i="4" s="1"/>
  <c r="Y546" i="4"/>
  <c r="Y547" i="4"/>
  <c r="Y548" i="4"/>
  <c r="Z546" i="4"/>
  <c r="Z547" i="4"/>
  <c r="Z548" i="4"/>
  <c r="AA546" i="4"/>
  <c r="AA547" i="4"/>
  <c r="AA548" i="4"/>
  <c r="N549" i="4"/>
  <c r="N550" i="4"/>
  <c r="N552" i="4"/>
  <c r="N553" i="4"/>
  <c r="N554" i="4"/>
  <c r="S549" i="4"/>
  <c r="S550" i="4"/>
  <c r="S552" i="4"/>
  <c r="S553" i="4"/>
  <c r="S554" i="4"/>
  <c r="T549" i="4"/>
  <c r="AB549" i="4" s="1"/>
  <c r="T550" i="4"/>
  <c r="AB550" i="4" s="1"/>
  <c r="T552" i="4"/>
  <c r="AB552" i="4" s="1"/>
  <c r="T553" i="4"/>
  <c r="AB553" i="4" s="1"/>
  <c r="T554" i="4"/>
  <c r="AB554" i="4" s="1"/>
  <c r="Y549" i="4"/>
  <c r="Y550" i="4"/>
  <c r="Y552" i="4"/>
  <c r="Y553" i="4"/>
  <c r="Y554" i="4"/>
  <c r="Z549" i="4"/>
  <c r="Z550" i="4"/>
  <c r="Z552" i="4"/>
  <c r="Z553" i="4"/>
  <c r="Z554" i="4"/>
  <c r="AA549" i="4"/>
  <c r="AA550" i="4"/>
  <c r="AA552" i="4"/>
  <c r="AA553" i="4"/>
  <c r="AA554" i="4"/>
  <c r="N540" i="4"/>
  <c r="N541" i="4"/>
  <c r="N542" i="4"/>
  <c r="N543" i="4"/>
  <c r="N544" i="4"/>
  <c r="N545" i="4"/>
  <c r="S540" i="4"/>
  <c r="S541" i="4"/>
  <c r="S542" i="4"/>
  <c r="S543" i="4"/>
  <c r="S544" i="4"/>
  <c r="S545" i="4"/>
  <c r="T540" i="4"/>
  <c r="AB540" i="4" s="1"/>
  <c r="T541" i="4"/>
  <c r="AB541" i="4" s="1"/>
  <c r="T542" i="4"/>
  <c r="T543" i="4"/>
  <c r="AB543" i="4" s="1"/>
  <c r="T544" i="4"/>
  <c r="T545" i="4"/>
  <c r="AB545" i="4" s="1"/>
  <c r="Y540" i="4"/>
  <c r="Y541" i="4"/>
  <c r="Y542" i="4"/>
  <c r="Y543" i="4"/>
  <c r="Y544" i="4"/>
  <c r="Y545" i="4"/>
  <c r="Z540" i="4"/>
  <c r="Z541" i="4"/>
  <c r="Z542" i="4"/>
  <c r="Z543" i="4"/>
  <c r="Z544" i="4"/>
  <c r="Z545" i="4"/>
  <c r="AA540" i="4"/>
  <c r="AA541" i="4"/>
  <c r="AA542" i="4"/>
  <c r="AA543" i="4"/>
  <c r="AA544" i="4"/>
  <c r="AA545" i="4"/>
  <c r="N539" i="4"/>
  <c r="S539" i="4"/>
  <c r="T539" i="4"/>
  <c r="Y539" i="4"/>
  <c r="Z539" i="4"/>
  <c r="AA539" i="4"/>
  <c r="N532" i="4"/>
  <c r="S532" i="4"/>
  <c r="T532" i="4"/>
  <c r="AB532" i="4" s="1"/>
  <c r="Y532" i="4"/>
  <c r="Z532" i="4"/>
  <c r="AA532" i="4"/>
  <c r="N535" i="4"/>
  <c r="N536" i="4"/>
  <c r="N537" i="4"/>
  <c r="N538" i="4"/>
  <c r="S535" i="4"/>
  <c r="S536" i="4"/>
  <c r="S537" i="4"/>
  <c r="S538" i="4"/>
  <c r="T535" i="4"/>
  <c r="AB535" i="4" s="1"/>
  <c r="T536" i="4"/>
  <c r="AB536" i="4" s="1"/>
  <c r="T537" i="4"/>
  <c r="AB537" i="4" s="1"/>
  <c r="T538" i="4"/>
  <c r="AB538" i="4" s="1"/>
  <c r="Y535" i="4"/>
  <c r="Y536" i="4"/>
  <c r="Y537" i="4"/>
  <c r="Y538" i="4"/>
  <c r="Z535" i="4"/>
  <c r="Z536" i="4"/>
  <c r="Z537" i="4"/>
  <c r="Z538" i="4"/>
  <c r="AA535" i="4"/>
  <c r="AA536" i="4"/>
  <c r="AA537" i="4"/>
  <c r="AA538" i="4"/>
  <c r="N534" i="4"/>
  <c r="S534" i="4"/>
  <c r="T534" i="4"/>
  <c r="AB534" i="4" s="1"/>
  <c r="Y534" i="4"/>
  <c r="Z534" i="4"/>
  <c r="AA534" i="4"/>
  <c r="N531" i="4"/>
  <c r="N533" i="4"/>
  <c r="S531" i="4"/>
  <c r="S533" i="4"/>
  <c r="T531" i="4"/>
  <c r="AB531" i="4" s="1"/>
  <c r="T533" i="4"/>
  <c r="AB533" i="4" s="1"/>
  <c r="Y531" i="4"/>
  <c r="Y533" i="4"/>
  <c r="Z531" i="4"/>
  <c r="Z533" i="4"/>
  <c r="AA531" i="4"/>
  <c r="AA533" i="4"/>
  <c r="N527" i="4"/>
  <c r="N528" i="4"/>
  <c r="N529" i="4"/>
  <c r="N530" i="4"/>
  <c r="S527" i="4"/>
  <c r="S528" i="4"/>
  <c r="S529" i="4"/>
  <c r="S530" i="4"/>
  <c r="T527" i="4"/>
  <c r="AB527" i="4" s="1"/>
  <c r="T528" i="4"/>
  <c r="T529" i="4"/>
  <c r="AB529" i="4" s="1"/>
  <c r="T530" i="4"/>
  <c r="AB530" i="4" s="1"/>
  <c r="Y527" i="4"/>
  <c r="Y528" i="4"/>
  <c r="Y529" i="4"/>
  <c r="Y530" i="4"/>
  <c r="Z527" i="4"/>
  <c r="Z528" i="4"/>
  <c r="Z529" i="4"/>
  <c r="Z530" i="4"/>
  <c r="AA527" i="4"/>
  <c r="AA528" i="4"/>
  <c r="AA529" i="4"/>
  <c r="AA530" i="4"/>
  <c r="N526" i="4"/>
  <c r="S526" i="4"/>
  <c r="T526" i="4"/>
  <c r="AB526" i="4" s="1"/>
  <c r="Y526" i="4"/>
  <c r="Z526" i="4"/>
  <c r="AA526" i="4"/>
  <c r="N525" i="4"/>
  <c r="S525" i="4"/>
  <c r="T525" i="4"/>
  <c r="AB525" i="4" s="1"/>
  <c r="Y525" i="4"/>
  <c r="Z525" i="4"/>
  <c r="AA525" i="4"/>
  <c r="N524" i="4"/>
  <c r="S524" i="4"/>
  <c r="T524" i="4"/>
  <c r="AB524" i="4" s="1"/>
  <c r="Y524" i="4"/>
  <c r="Z524" i="4"/>
  <c r="AA524" i="4"/>
  <c r="N523" i="4"/>
  <c r="S523" i="4"/>
  <c r="T523" i="4"/>
  <c r="AB523" i="4" s="1"/>
  <c r="Y523" i="4"/>
  <c r="Z523" i="4"/>
  <c r="AA523" i="4"/>
  <c r="N522" i="4"/>
  <c r="S522" i="4"/>
  <c r="T522" i="4"/>
  <c r="AB522" i="4" s="1"/>
  <c r="Y522" i="4"/>
  <c r="Z522" i="4"/>
  <c r="AA522" i="4"/>
  <c r="N520" i="4"/>
  <c r="N521" i="4"/>
  <c r="S520" i="4"/>
  <c r="S521" i="4"/>
  <c r="T520" i="4"/>
  <c r="AB520" i="4" s="1"/>
  <c r="T521" i="4"/>
  <c r="AB521" i="4" s="1"/>
  <c r="Y520" i="4"/>
  <c r="Y521" i="4"/>
  <c r="Z520" i="4"/>
  <c r="Z521" i="4"/>
  <c r="AA520" i="4"/>
  <c r="AA521" i="4"/>
  <c r="N517" i="4"/>
  <c r="N518" i="4"/>
  <c r="N519" i="4"/>
  <c r="S517" i="4"/>
  <c r="S518" i="4"/>
  <c r="S519" i="4"/>
  <c r="T517" i="4"/>
  <c r="AB517" i="4" s="1"/>
  <c r="T518" i="4"/>
  <c r="T519" i="4"/>
  <c r="AB519" i="4" s="1"/>
  <c r="Y517" i="4"/>
  <c r="Y518" i="4"/>
  <c r="Y519" i="4"/>
  <c r="Z517" i="4"/>
  <c r="Z518" i="4"/>
  <c r="Z519" i="4"/>
  <c r="AA517" i="4"/>
  <c r="AA518" i="4"/>
  <c r="AA519" i="4"/>
  <c r="N516" i="4"/>
  <c r="S516" i="4"/>
  <c r="T516" i="4"/>
  <c r="AB516" i="4" s="1"/>
  <c r="Y516" i="4"/>
  <c r="Z516" i="4"/>
  <c r="AA516" i="4"/>
  <c r="N515" i="4"/>
  <c r="S515" i="4"/>
  <c r="T515" i="4"/>
  <c r="AB515" i="4" s="1"/>
  <c r="Y515" i="4"/>
  <c r="Z515" i="4"/>
  <c r="AA515" i="4"/>
  <c r="N504" i="4"/>
  <c r="S504" i="4"/>
  <c r="T504" i="4"/>
  <c r="AB504" i="4" s="1"/>
  <c r="Y504" i="4"/>
  <c r="Z504" i="4"/>
  <c r="AA504" i="4"/>
  <c r="N514" i="4"/>
  <c r="S514" i="4"/>
  <c r="T514" i="4"/>
  <c r="AB514" i="4" s="1"/>
  <c r="Y514" i="4"/>
  <c r="Z514" i="4"/>
  <c r="AA514" i="4"/>
  <c r="N513" i="4"/>
  <c r="S513" i="4"/>
  <c r="T513" i="4"/>
  <c r="AB513" i="4" s="1"/>
  <c r="Y513" i="4"/>
  <c r="Z513" i="4"/>
  <c r="AA513" i="4"/>
  <c r="N512" i="4"/>
  <c r="S512" i="4"/>
  <c r="T512" i="4"/>
  <c r="AB512" i="4" s="1"/>
  <c r="Y512" i="4"/>
  <c r="Z512" i="4"/>
  <c r="AA512" i="4"/>
  <c r="N511" i="4"/>
  <c r="S511" i="4"/>
  <c r="T511" i="4"/>
  <c r="AB511" i="4" s="1"/>
  <c r="Y511" i="4"/>
  <c r="Z511" i="4"/>
  <c r="AA511" i="4"/>
  <c r="N510" i="4"/>
  <c r="S510" i="4"/>
  <c r="T510" i="4"/>
  <c r="AB510" i="4" s="1"/>
  <c r="Y510" i="4"/>
  <c r="Z510" i="4"/>
  <c r="AA510" i="4"/>
  <c r="N509" i="4"/>
  <c r="S509" i="4"/>
  <c r="T509" i="4"/>
  <c r="AB509" i="4" s="1"/>
  <c r="Y509" i="4"/>
  <c r="Z509" i="4"/>
  <c r="AA509" i="4"/>
  <c r="N491" i="4"/>
  <c r="S491" i="4"/>
  <c r="T491" i="4"/>
  <c r="AB491" i="4" s="1"/>
  <c r="Y491" i="4"/>
  <c r="Z491" i="4"/>
  <c r="AA491" i="4"/>
  <c r="AA464" i="4"/>
  <c r="AA465" i="4"/>
  <c r="AA466" i="4"/>
  <c r="AA467" i="4"/>
  <c r="AA468" i="4"/>
  <c r="AA469" i="4"/>
  <c r="AA470" i="4"/>
  <c r="AA471" i="4"/>
  <c r="AA472" i="4"/>
  <c r="AA473" i="4"/>
  <c r="AA474" i="4"/>
  <c r="AA475" i="4"/>
  <c r="AA476" i="4"/>
  <c r="AA477" i="4"/>
  <c r="AA478" i="4"/>
  <c r="AA479" i="4"/>
  <c r="AA480" i="4"/>
  <c r="AA481" i="4"/>
  <c r="AA482" i="4"/>
  <c r="AA483" i="4"/>
  <c r="AA484" i="4"/>
  <c r="AA485" i="4"/>
  <c r="AA486" i="4"/>
  <c r="AA487" i="4"/>
  <c r="AA488" i="4"/>
  <c r="AA489" i="4"/>
  <c r="AA490" i="4"/>
  <c r="AA492" i="4"/>
  <c r="AA493" i="4"/>
  <c r="AA494" i="4"/>
  <c r="AA495" i="4"/>
  <c r="AA496" i="4"/>
  <c r="AA497" i="4"/>
  <c r="AA498" i="4"/>
  <c r="AA499" i="4"/>
  <c r="AA500" i="4"/>
  <c r="AA501" i="4"/>
  <c r="AA502" i="4"/>
  <c r="AA503" i="4"/>
  <c r="AA505" i="4"/>
  <c r="AA506" i="4"/>
  <c r="AA507" i="4"/>
  <c r="AA508" i="4"/>
  <c r="Z464" i="4"/>
  <c r="Z465" i="4"/>
  <c r="Z466" i="4"/>
  <c r="Z467" i="4"/>
  <c r="Z468" i="4"/>
  <c r="Z469" i="4"/>
  <c r="Z470" i="4"/>
  <c r="Z471" i="4"/>
  <c r="Z472" i="4"/>
  <c r="Z473" i="4"/>
  <c r="Z474" i="4"/>
  <c r="Z475" i="4"/>
  <c r="Z476" i="4"/>
  <c r="Z477" i="4"/>
  <c r="Z478" i="4"/>
  <c r="Z479" i="4"/>
  <c r="Z480" i="4"/>
  <c r="Z481" i="4"/>
  <c r="Z482" i="4"/>
  <c r="Z483" i="4"/>
  <c r="Z484" i="4"/>
  <c r="Z485" i="4"/>
  <c r="Z486" i="4"/>
  <c r="Z487" i="4"/>
  <c r="Z488" i="4"/>
  <c r="Z489" i="4"/>
  <c r="Z490" i="4"/>
  <c r="Z492" i="4"/>
  <c r="Z493" i="4"/>
  <c r="Z494" i="4"/>
  <c r="Z495" i="4"/>
  <c r="Z496" i="4"/>
  <c r="Z497" i="4"/>
  <c r="Z498" i="4"/>
  <c r="Z499" i="4"/>
  <c r="Z500" i="4"/>
  <c r="Z501" i="4"/>
  <c r="Z502" i="4"/>
  <c r="Z503" i="4"/>
  <c r="Z505" i="4"/>
  <c r="Z506" i="4"/>
  <c r="Z507" i="4"/>
  <c r="Z508" i="4"/>
  <c r="Y464" i="4"/>
  <c r="Y465" i="4"/>
  <c r="Y466" i="4"/>
  <c r="Y467" i="4"/>
  <c r="Y468" i="4"/>
  <c r="Y469" i="4"/>
  <c r="Y470" i="4"/>
  <c r="Y471" i="4"/>
  <c r="Y472" i="4"/>
  <c r="Y473" i="4"/>
  <c r="Y474" i="4"/>
  <c r="Y475" i="4"/>
  <c r="Y476" i="4"/>
  <c r="Y477" i="4"/>
  <c r="Y478" i="4"/>
  <c r="Y479" i="4"/>
  <c r="Y480" i="4"/>
  <c r="Y481" i="4"/>
  <c r="Y482" i="4"/>
  <c r="Y483" i="4"/>
  <c r="Y484" i="4"/>
  <c r="Y485" i="4"/>
  <c r="Y486" i="4"/>
  <c r="Y487" i="4"/>
  <c r="Y488" i="4"/>
  <c r="Y489" i="4"/>
  <c r="Y490" i="4"/>
  <c r="Y492" i="4"/>
  <c r="Y493" i="4"/>
  <c r="Y494" i="4"/>
  <c r="Y495" i="4"/>
  <c r="Y496" i="4"/>
  <c r="Y497" i="4"/>
  <c r="Y498" i="4"/>
  <c r="Y499" i="4"/>
  <c r="Y500" i="4"/>
  <c r="Y501" i="4"/>
  <c r="Y502" i="4"/>
  <c r="Y503" i="4"/>
  <c r="Y505" i="4"/>
  <c r="Y506" i="4"/>
  <c r="Y507" i="4"/>
  <c r="Y508" i="4"/>
  <c r="N501" i="4"/>
  <c r="N502" i="4"/>
  <c r="N503" i="4"/>
  <c r="N505" i="4"/>
  <c r="N506" i="4"/>
  <c r="N507" i="4"/>
  <c r="N508" i="4"/>
  <c r="S501" i="4"/>
  <c r="S502" i="4"/>
  <c r="S503" i="4"/>
  <c r="S505" i="4"/>
  <c r="S506" i="4"/>
  <c r="S507" i="4"/>
  <c r="S508" i="4"/>
  <c r="T501" i="4"/>
  <c r="AB501" i="4" s="1"/>
  <c r="T502" i="4"/>
  <c r="AB502" i="4" s="1"/>
  <c r="T503" i="4"/>
  <c r="AB503" i="4" s="1"/>
  <c r="T505" i="4"/>
  <c r="AB505" i="4" s="1"/>
  <c r="T506" i="4"/>
  <c r="T507" i="4"/>
  <c r="AB507" i="4" s="1"/>
  <c r="T508" i="4"/>
  <c r="AB508" i="4" s="1"/>
  <c r="N500" i="4"/>
  <c r="S500" i="4"/>
  <c r="T500" i="4"/>
  <c r="AB500" i="4" s="1"/>
  <c r="T464" i="4"/>
  <c r="AB464" i="4" s="1"/>
  <c r="T465" i="4"/>
  <c r="AB465" i="4" s="1"/>
  <c r="T466" i="4"/>
  <c r="AB466" i="4" s="1"/>
  <c r="T467" i="4"/>
  <c r="AB467" i="4" s="1"/>
  <c r="T468" i="4"/>
  <c r="AB468" i="4" s="1"/>
  <c r="T469" i="4"/>
  <c r="AB469" i="4" s="1"/>
  <c r="T470" i="4"/>
  <c r="AB470" i="4" s="1"/>
  <c r="T471" i="4"/>
  <c r="AB471" i="4" s="1"/>
  <c r="T472" i="4"/>
  <c r="AB472" i="4" s="1"/>
  <c r="T473" i="4"/>
  <c r="AB473" i="4" s="1"/>
  <c r="T474" i="4"/>
  <c r="AB474" i="4" s="1"/>
  <c r="T475" i="4"/>
  <c r="AB475" i="4" s="1"/>
  <c r="T476" i="4"/>
  <c r="AB476" i="4" s="1"/>
  <c r="T477" i="4"/>
  <c r="AB477" i="4" s="1"/>
  <c r="T478" i="4"/>
  <c r="AB478" i="4" s="1"/>
  <c r="T479" i="4"/>
  <c r="AB479" i="4" s="1"/>
  <c r="T480" i="4"/>
  <c r="AB480" i="4" s="1"/>
  <c r="T481" i="4"/>
  <c r="AB481" i="4" s="1"/>
  <c r="T482" i="4"/>
  <c r="AB482" i="4" s="1"/>
  <c r="T483" i="4"/>
  <c r="AB483" i="4" s="1"/>
  <c r="T484" i="4"/>
  <c r="T485" i="4"/>
  <c r="AB485" i="4" s="1"/>
  <c r="T486" i="4"/>
  <c r="T487" i="4"/>
  <c r="T488" i="4"/>
  <c r="AB488" i="4" s="1"/>
  <c r="T489" i="4"/>
  <c r="T490" i="4"/>
  <c r="AB490" i="4" s="1"/>
  <c r="T492" i="4"/>
  <c r="AB492" i="4" s="1"/>
  <c r="T493" i="4"/>
  <c r="AB493" i="4" s="1"/>
  <c r="T494" i="4"/>
  <c r="AB494" i="4" s="1"/>
  <c r="T495" i="4"/>
  <c r="AB495" i="4" s="1"/>
  <c r="T496" i="4"/>
  <c r="T497" i="4"/>
  <c r="T498" i="4"/>
  <c r="T499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2" i="4"/>
  <c r="S493" i="4"/>
  <c r="S494" i="4"/>
  <c r="S495" i="4"/>
  <c r="S496" i="4"/>
  <c r="S497" i="4"/>
  <c r="S498" i="4"/>
  <c r="S499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2" i="4"/>
  <c r="N493" i="4"/>
  <c r="N494" i="4"/>
  <c r="N495" i="4"/>
  <c r="N496" i="4"/>
  <c r="N497" i="4"/>
  <c r="N498" i="4"/>
  <c r="N499" i="4"/>
  <c r="A5" i="3"/>
  <c r="A4" i="3"/>
  <c r="A3" i="3"/>
  <c r="A2" i="3"/>
  <c r="G6" i="1"/>
  <c r="I6" i="1" s="1"/>
  <c r="G5" i="1"/>
  <c r="I5" i="1" s="1"/>
  <c r="G4" i="1"/>
  <c r="I4" i="1" s="1"/>
  <c r="G3" i="1"/>
  <c r="I3" i="1" s="1"/>
  <c r="G2" i="1"/>
  <c r="I2" i="1" s="1"/>
  <c r="AC739" i="4" l="1"/>
  <c r="AC830" i="4"/>
  <c r="AC780" i="4"/>
  <c r="AC796" i="4"/>
  <c r="W829" i="4"/>
  <c r="AC829" i="4"/>
  <c r="AC797" i="4"/>
  <c r="W824" i="4"/>
  <c r="AC824" i="4"/>
  <c r="AC779" i="4"/>
  <c r="W797" i="4"/>
  <c r="W821" i="4"/>
  <c r="AC819" i="4"/>
  <c r="AC799" i="4"/>
  <c r="W800" i="4"/>
  <c r="W828" i="4"/>
  <c r="W780" i="4"/>
  <c r="W805" i="4"/>
  <c r="AC805" i="4"/>
  <c r="AC828" i="4"/>
  <c r="W776" i="4"/>
  <c r="W796" i="4"/>
  <c r="AC821" i="4"/>
  <c r="W819" i="4"/>
  <c r="W799" i="4"/>
  <c r="AC800" i="4"/>
  <c r="AC636" i="4"/>
  <c r="AC637" i="4"/>
  <c r="AC617" i="4"/>
  <c r="AC619" i="4"/>
  <c r="AC620" i="4"/>
  <c r="AC621" i="4"/>
  <c r="AC622" i="4"/>
  <c r="AC624" i="4"/>
  <c r="AC627" i="4"/>
  <c r="AC629" i="4"/>
  <c r="AC630" i="4"/>
  <c r="AC632" i="4"/>
  <c r="AC633" i="4"/>
  <c r="AC681" i="4"/>
  <c r="AC683" i="4"/>
  <c r="AC684" i="4"/>
  <c r="AC678" i="4"/>
  <c r="AC677" i="4"/>
  <c r="AC694" i="4"/>
  <c r="AC695" i="4"/>
  <c r="AC696" i="4"/>
  <c r="AC697" i="4"/>
  <c r="W732" i="4"/>
  <c r="W738" i="4"/>
  <c r="W734" i="4"/>
  <c r="AC723" i="4"/>
  <c r="AC725" i="4"/>
  <c r="AC727" i="4"/>
  <c r="AC732" i="4"/>
  <c r="AC722" i="4"/>
  <c r="W815" i="4"/>
  <c r="W817" i="4"/>
  <c r="AC817" i="4"/>
  <c r="W816" i="4"/>
  <c r="AC816" i="4"/>
  <c r="AC815" i="4"/>
  <c r="W814" i="4"/>
  <c r="AC814" i="4"/>
  <c r="W813" i="4"/>
  <c r="AC813" i="4"/>
  <c r="W811" i="4"/>
  <c r="W812" i="4"/>
  <c r="AC812" i="4"/>
  <c r="AC811" i="4"/>
  <c r="W808" i="4"/>
  <c r="W810" i="4"/>
  <c r="W809" i="4"/>
  <c r="AC810" i="4"/>
  <c r="AC809" i="4"/>
  <c r="AC808" i="4"/>
  <c r="AC806" i="4"/>
  <c r="W807" i="4"/>
  <c r="AC807" i="4"/>
  <c r="AC804" i="4"/>
  <c r="W806" i="4"/>
  <c r="W804" i="4"/>
  <c r="W803" i="4"/>
  <c r="AC803" i="4"/>
  <c r="W802" i="4"/>
  <c r="AC802" i="4"/>
  <c r="AC801" i="4"/>
  <c r="W801" i="4"/>
  <c r="AC798" i="4"/>
  <c r="W798" i="4"/>
  <c r="W795" i="4"/>
  <c r="AC795" i="4"/>
  <c r="W794" i="4"/>
  <c r="AC794" i="4"/>
  <c r="W793" i="4"/>
  <c r="AC793" i="4"/>
  <c r="AC790" i="4"/>
  <c r="AC792" i="4"/>
  <c r="W792" i="4"/>
  <c r="W791" i="4"/>
  <c r="AC791" i="4"/>
  <c r="W790" i="4"/>
  <c r="AC789" i="4"/>
  <c r="W789" i="4"/>
  <c r="AC787" i="4"/>
  <c r="W786" i="4"/>
  <c r="AC786" i="4"/>
  <c r="AC785" i="4"/>
  <c r="W788" i="4"/>
  <c r="AC788" i="4"/>
  <c r="W787" i="4"/>
  <c r="W785" i="4"/>
  <c r="W784" i="4"/>
  <c r="AC784" i="4"/>
  <c r="AC775" i="4"/>
  <c r="W783" i="4"/>
  <c r="AC783" i="4"/>
  <c r="AC777" i="4"/>
  <c r="W782" i="4"/>
  <c r="AC782" i="4"/>
  <c r="W775" i="4"/>
  <c r="W779" i="4"/>
  <c r="AC776" i="4"/>
  <c r="W777" i="4"/>
  <c r="AC781" i="4"/>
  <c r="W781" i="4"/>
  <c r="W773" i="4"/>
  <c r="AC773" i="4"/>
  <c r="W778" i="4"/>
  <c r="AC778" i="4"/>
  <c r="W768" i="4"/>
  <c r="AC768" i="4"/>
  <c r="AC5" i="4"/>
  <c r="W774" i="4"/>
  <c r="AC774" i="4"/>
  <c r="AC49" i="4"/>
  <c r="AC45" i="4"/>
  <c r="AC41" i="4"/>
  <c r="AC37" i="4"/>
  <c r="AC33" i="4"/>
  <c r="AC29" i="4"/>
  <c r="AC25" i="4"/>
  <c r="AC21" i="4"/>
  <c r="AC17" i="4"/>
  <c r="AC13" i="4"/>
  <c r="AC9" i="4"/>
  <c r="W760" i="4"/>
  <c r="AC760" i="4"/>
  <c r="AC758" i="4"/>
  <c r="W758" i="4"/>
  <c r="AC82" i="4"/>
  <c r="AC47" i="4"/>
  <c r="AC43" i="4"/>
  <c r="AC39" i="4"/>
  <c r="AC35" i="4"/>
  <c r="AC31" i="4"/>
  <c r="AC27" i="4"/>
  <c r="AC23" i="4"/>
  <c r="AC19" i="4"/>
  <c r="AC15" i="4"/>
  <c r="AC11" i="4"/>
  <c r="AC7" i="4"/>
  <c r="AC3" i="4"/>
  <c r="AC772" i="4"/>
  <c r="W772" i="4"/>
  <c r="AC51" i="4"/>
  <c r="AC50" i="4"/>
  <c r="AC48" i="4"/>
  <c r="AC46" i="4"/>
  <c r="AC44" i="4"/>
  <c r="AC42" i="4"/>
  <c r="AC40" i="4"/>
  <c r="AC38" i="4"/>
  <c r="AC36" i="4"/>
  <c r="AC34" i="4"/>
  <c r="AC32" i="4"/>
  <c r="AC30" i="4"/>
  <c r="AC28" i="4"/>
  <c r="AC26" i="4"/>
  <c r="AC24" i="4"/>
  <c r="AC22" i="4"/>
  <c r="AC20" i="4"/>
  <c r="AC18" i="4"/>
  <c r="AC16" i="4"/>
  <c r="AC14" i="4"/>
  <c r="AC12" i="4"/>
  <c r="AC10" i="4"/>
  <c r="AC8" i="4"/>
  <c r="AC6" i="4"/>
  <c r="AC4" i="4"/>
  <c r="AC90" i="4"/>
  <c r="W2" i="4"/>
  <c r="W11" i="4"/>
  <c r="AC66" i="4"/>
  <c r="AC761" i="4"/>
  <c r="AC767" i="4"/>
  <c r="AC770" i="4"/>
  <c r="AC74" i="4"/>
  <c r="AC58" i="4"/>
  <c r="W735" i="4"/>
  <c r="W726" i="4"/>
  <c r="W724" i="4"/>
  <c r="W722" i="4"/>
  <c r="W728" i="4"/>
  <c r="W741" i="4"/>
  <c r="W744" i="4"/>
  <c r="W759" i="4"/>
  <c r="AC86" i="4"/>
  <c r="AC78" i="4"/>
  <c r="AC70" i="4"/>
  <c r="AC62" i="4"/>
  <c r="AC54" i="4"/>
  <c r="AC757" i="4"/>
  <c r="AC762" i="4"/>
  <c r="AC763" i="4"/>
  <c r="W766" i="4"/>
  <c r="AC769" i="4"/>
  <c r="W771" i="4"/>
  <c r="AC771" i="4"/>
  <c r="AC643" i="4"/>
  <c r="AC654" i="4"/>
  <c r="W727" i="4"/>
  <c r="W725" i="4"/>
  <c r="W723" i="4"/>
  <c r="W721" i="4"/>
  <c r="W740" i="4"/>
  <c r="W745" i="4"/>
  <c r="W754" i="4"/>
  <c r="AC755" i="4"/>
  <c r="W756" i="4"/>
  <c r="AC752" i="4"/>
  <c r="AC759" i="4"/>
  <c r="W763" i="4"/>
  <c r="W770" i="4"/>
  <c r="AC738" i="4"/>
  <c r="AC748" i="4"/>
  <c r="AC750" i="4"/>
  <c r="AC754" i="4"/>
  <c r="W764" i="4"/>
  <c r="AC682" i="4"/>
  <c r="AC646" i="4"/>
  <c r="W769" i="4"/>
  <c r="AC645" i="4"/>
  <c r="AC669" i="4"/>
  <c r="AC672" i="4"/>
  <c r="AC676" i="4"/>
  <c r="AC691" i="4"/>
  <c r="AC699" i="4"/>
  <c r="AC698" i="4"/>
  <c r="AC91" i="4"/>
  <c r="AC88" i="4"/>
  <c r="AC84" i="4"/>
  <c r="AC80" i="4"/>
  <c r="AC76" i="4"/>
  <c r="AC72" i="4"/>
  <c r="AC68" i="4"/>
  <c r="AC64" i="4"/>
  <c r="AC60" i="4"/>
  <c r="AC56" i="4"/>
  <c r="AC52" i="4"/>
  <c r="W733" i="4"/>
  <c r="W737" i="4"/>
  <c r="W739" i="4"/>
  <c r="AC731" i="4"/>
  <c r="W746" i="4"/>
  <c r="AC747" i="4"/>
  <c r="W767" i="4"/>
  <c r="AC663" i="4"/>
  <c r="AC89" i="4"/>
  <c r="AC87" i="4"/>
  <c r="AC85" i="4"/>
  <c r="AC83" i="4"/>
  <c r="AC81" i="4"/>
  <c r="AC79" i="4"/>
  <c r="AC77" i="4"/>
  <c r="AC75" i="4"/>
  <c r="AC73" i="4"/>
  <c r="AC71" i="4"/>
  <c r="AC69" i="4"/>
  <c r="AC67" i="4"/>
  <c r="AC65" i="4"/>
  <c r="AC63" i="4"/>
  <c r="AC61" i="4"/>
  <c r="AC59" i="4"/>
  <c r="AC57" i="4"/>
  <c r="AC55" i="4"/>
  <c r="AC53" i="4"/>
  <c r="AC737" i="4"/>
  <c r="AC721" i="4"/>
  <c r="AC729" i="4"/>
  <c r="AC726" i="4"/>
  <c r="AC724" i="4"/>
  <c r="AC728" i="4"/>
  <c r="AC740" i="4"/>
  <c r="W749" i="4"/>
  <c r="AC743" i="4"/>
  <c r="AC751" i="4"/>
  <c r="AC730" i="4"/>
  <c r="W757" i="4"/>
  <c r="W762" i="4"/>
  <c r="W761" i="4"/>
  <c r="AC766" i="4"/>
  <c r="AC644" i="4"/>
  <c r="AC715" i="4"/>
  <c r="AC717" i="4"/>
  <c r="AC719" i="4"/>
  <c r="AC640" i="4"/>
  <c r="AC656" i="4"/>
  <c r="AC741" i="4"/>
  <c r="W750" i="4"/>
  <c r="AC749" i="4"/>
  <c r="W743" i="4"/>
  <c r="W751" i="4"/>
  <c r="W730" i="4"/>
  <c r="W753" i="4"/>
  <c r="W755" i="4"/>
  <c r="AC756" i="4"/>
  <c r="W752" i="4"/>
  <c r="AC764" i="4"/>
  <c r="W765" i="4"/>
  <c r="AC765" i="4"/>
  <c r="W748" i="4"/>
  <c r="W747" i="4"/>
  <c r="AC2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AC753" i="4"/>
  <c r="W109" i="4"/>
  <c r="W110" i="4"/>
  <c r="W111" i="4"/>
  <c r="W112" i="4"/>
  <c r="W113" i="4"/>
  <c r="W114" i="4"/>
  <c r="W115" i="4"/>
  <c r="W116" i="4"/>
  <c r="W117" i="4"/>
  <c r="W118" i="4"/>
  <c r="W119" i="4"/>
  <c r="W597" i="4"/>
  <c r="W596" i="4"/>
  <c r="W593" i="4"/>
  <c r="W591" i="4"/>
  <c r="W573" i="4"/>
  <c r="W571" i="4"/>
  <c r="W590" i="4"/>
  <c r="W589" i="4"/>
  <c r="W588" i="4"/>
  <c r="W587" i="4"/>
  <c r="W586" i="4"/>
  <c r="W585" i="4"/>
  <c r="W568" i="4"/>
  <c r="W556" i="4"/>
  <c r="W557" i="4"/>
  <c r="W559" i="4"/>
  <c r="W562" i="4"/>
  <c r="W564" i="4"/>
  <c r="W566" i="4"/>
  <c r="W572" i="4"/>
  <c r="W574" i="4"/>
  <c r="W577" i="4"/>
  <c r="W579" i="4"/>
  <c r="W582" i="4"/>
  <c r="W584" i="4"/>
  <c r="W547" i="4"/>
  <c r="W550" i="4"/>
  <c r="W552" i="4"/>
  <c r="W554" i="4"/>
  <c r="W540" i="4"/>
  <c r="W542" i="4"/>
  <c r="W544" i="4"/>
  <c r="W536" i="4"/>
  <c r="W538" i="4"/>
  <c r="W531" i="4"/>
  <c r="W527" i="4"/>
  <c r="W529" i="4"/>
  <c r="W526" i="4"/>
  <c r="W525" i="4"/>
  <c r="W524" i="4"/>
  <c r="W522" i="4"/>
  <c r="W520" i="4"/>
  <c r="W518" i="4"/>
  <c r="W514" i="4"/>
  <c r="W510" i="4"/>
  <c r="W502" i="4"/>
  <c r="W503" i="4"/>
  <c r="W506" i="4"/>
  <c r="W508" i="4"/>
  <c r="W470" i="4"/>
  <c r="W472" i="4"/>
  <c r="W474" i="4"/>
  <c r="W476" i="4"/>
  <c r="W479" i="4"/>
  <c r="W481" i="4"/>
  <c r="W485" i="4"/>
  <c r="W487" i="4"/>
  <c r="W489" i="4"/>
  <c r="W490" i="4"/>
  <c r="W493" i="4"/>
  <c r="W495" i="4"/>
  <c r="W497" i="4"/>
  <c r="W3" i="4"/>
  <c r="W4" i="4"/>
  <c r="W5" i="4"/>
  <c r="W6" i="4"/>
  <c r="W7" i="4"/>
  <c r="W8" i="4"/>
  <c r="W9" i="4"/>
  <c r="W10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686" i="4"/>
  <c r="W687" i="4"/>
  <c r="W688" i="4"/>
  <c r="W689" i="4"/>
  <c r="W690" i="4"/>
  <c r="W671" i="4"/>
  <c r="W673" i="4"/>
  <c r="W674" i="4"/>
  <c r="W675" i="4"/>
  <c r="W679" i="4"/>
  <c r="W680" i="4"/>
  <c r="W685" i="4"/>
  <c r="W616" i="4"/>
  <c r="W606" i="4"/>
  <c r="W604" i="4"/>
  <c r="W605" i="4"/>
  <c r="W607" i="4"/>
  <c r="W608" i="4"/>
  <c r="W609" i="4"/>
  <c r="W610" i="4"/>
  <c r="W611" i="4"/>
  <c r="W612" i="4"/>
  <c r="W613" i="4"/>
  <c r="W614" i="4"/>
  <c r="W615" i="4"/>
  <c r="W603" i="4"/>
  <c r="W600" i="4"/>
  <c r="W601" i="4"/>
  <c r="W602" i="4"/>
  <c r="W599" i="4"/>
  <c r="W598" i="4"/>
  <c r="W595" i="4"/>
  <c r="W594" i="4"/>
  <c r="W592" i="4"/>
  <c r="W575" i="4"/>
  <c r="W555" i="4"/>
  <c r="W558" i="4"/>
  <c r="W560" i="4"/>
  <c r="W561" i="4"/>
  <c r="W563" i="4"/>
  <c r="W565" i="4"/>
  <c r="W567" i="4"/>
  <c r="W570" i="4"/>
  <c r="W576" i="4"/>
  <c r="W578" i="4"/>
  <c r="W580" i="4"/>
  <c r="W581" i="4"/>
  <c r="W583" i="4"/>
  <c r="W569" i="4"/>
  <c r="W551" i="4"/>
  <c r="W546" i="4"/>
  <c r="W548" i="4"/>
  <c r="W549" i="4"/>
  <c r="W553" i="4"/>
  <c r="W541" i="4"/>
  <c r="W543" i="4"/>
  <c r="W545" i="4"/>
  <c r="W539" i="4"/>
  <c r="W532" i="4"/>
  <c r="W535" i="4"/>
  <c r="W537" i="4"/>
  <c r="W534" i="4"/>
  <c r="W533" i="4"/>
  <c r="W528" i="4"/>
  <c r="W530" i="4"/>
  <c r="W523" i="4"/>
  <c r="W521" i="4"/>
  <c r="W517" i="4"/>
  <c r="W519" i="4"/>
  <c r="W516" i="4"/>
  <c r="W515" i="4"/>
  <c r="W504" i="4"/>
  <c r="W513" i="4"/>
  <c r="W512" i="4"/>
  <c r="W511" i="4"/>
  <c r="W509" i="4"/>
  <c r="W491" i="4"/>
  <c r="W501" i="4"/>
  <c r="W505" i="4"/>
  <c r="W507" i="4"/>
  <c r="W500" i="4"/>
  <c r="W466" i="4"/>
  <c r="W467" i="4"/>
  <c r="W471" i="4"/>
  <c r="W473" i="4"/>
  <c r="W475" i="4"/>
  <c r="W477" i="4"/>
  <c r="W478" i="4"/>
  <c r="W480" i="4"/>
  <c r="W484" i="4"/>
  <c r="W486" i="4"/>
  <c r="W488" i="4"/>
  <c r="W492" i="4"/>
  <c r="W494" i="4"/>
  <c r="W496" i="4"/>
  <c r="W498" i="4"/>
  <c r="W499" i="4"/>
  <c r="W120" i="4"/>
  <c r="W121" i="4"/>
  <c r="W122" i="4"/>
  <c r="W123" i="4"/>
  <c r="W124" i="4"/>
  <c r="W125" i="4"/>
  <c r="W126" i="4"/>
  <c r="W127" i="4"/>
  <c r="W655" i="4"/>
  <c r="W653" i="4"/>
  <c r="W652" i="4"/>
  <c r="W651" i="4"/>
  <c r="W650" i="4"/>
  <c r="W649" i="4"/>
  <c r="W648" i="4"/>
  <c r="W647" i="4"/>
  <c r="AC673" i="4"/>
  <c r="AC675" i="4"/>
  <c r="AC680" i="4"/>
  <c r="AC692" i="4"/>
  <c r="AC671" i="4"/>
  <c r="AC674" i="4"/>
  <c r="AC679" i="4"/>
  <c r="AC685" i="4"/>
  <c r="W644" i="4"/>
  <c r="W645" i="4"/>
  <c r="W646" i="4"/>
  <c r="W636" i="4"/>
  <c r="W637" i="4"/>
  <c r="W638" i="4"/>
  <c r="W639" i="4"/>
  <c r="W641" i="4"/>
  <c r="W642" i="4"/>
  <c r="W635" i="4"/>
  <c r="W631" i="4"/>
  <c r="W628" i="4"/>
  <c r="W625" i="4"/>
  <c r="W626" i="4"/>
  <c r="W623" i="4"/>
  <c r="W618" i="4"/>
  <c r="W617" i="4"/>
  <c r="W619" i="4"/>
  <c r="W620" i="4"/>
  <c r="W621" i="4"/>
  <c r="W622" i="4"/>
  <c r="W624" i="4"/>
  <c r="W627" i="4"/>
  <c r="W629" i="4"/>
  <c r="W630" i="4"/>
  <c r="W632" i="4"/>
  <c r="W633" i="4"/>
  <c r="W634" i="4"/>
  <c r="W742" i="4"/>
  <c r="W736" i="4"/>
  <c r="W731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3" i="4"/>
  <c r="W454" i="4"/>
  <c r="W455" i="4"/>
  <c r="W456" i="4"/>
  <c r="W457" i="4"/>
  <c r="W458" i="4"/>
  <c r="W459" i="4"/>
  <c r="W460" i="4"/>
  <c r="W461" i="4"/>
  <c r="W698" i="4"/>
  <c r="W699" i="4"/>
  <c r="W691" i="4"/>
  <c r="W681" i="4"/>
  <c r="W682" i="4"/>
  <c r="W683" i="4"/>
  <c r="W684" i="4"/>
  <c r="W676" i="4"/>
  <c r="W677" i="4"/>
  <c r="W678" i="4"/>
  <c r="W672" i="4"/>
  <c r="W669" i="4"/>
  <c r="W663" i="4"/>
  <c r="W656" i="4"/>
  <c r="W654" i="4"/>
  <c r="W643" i="4"/>
  <c r="W640" i="4"/>
  <c r="W720" i="4"/>
  <c r="W719" i="4"/>
  <c r="W718" i="4"/>
  <c r="W717" i="4"/>
  <c r="W715" i="4"/>
  <c r="W716" i="4"/>
  <c r="W714" i="4"/>
  <c r="W712" i="4"/>
  <c r="W713" i="4"/>
  <c r="W711" i="4"/>
  <c r="W710" i="4"/>
  <c r="W709" i="4"/>
  <c r="W708" i="4"/>
  <c r="W707" i="4"/>
  <c r="W700" i="4"/>
  <c r="W694" i="4"/>
  <c r="W695" i="4"/>
  <c r="W696" i="4"/>
  <c r="W697" i="4"/>
  <c r="W693" i="4"/>
  <c r="W692" i="4"/>
  <c r="W664" i="4"/>
  <c r="W665" i="4"/>
  <c r="W666" i="4"/>
  <c r="W667" i="4"/>
  <c r="W668" i="4"/>
  <c r="W670" i="4"/>
  <c r="W657" i="4"/>
  <c r="W658" i="4"/>
  <c r="W659" i="4"/>
  <c r="W660" i="4"/>
  <c r="W661" i="4"/>
  <c r="W662" i="4"/>
  <c r="W706" i="4"/>
  <c r="W705" i="4"/>
  <c r="W704" i="4"/>
  <c r="W703" i="4"/>
  <c r="W702" i="4"/>
  <c r="W701" i="4"/>
  <c r="W729" i="4"/>
  <c r="W483" i="4"/>
  <c r="W482" i="4"/>
  <c r="W469" i="4"/>
  <c r="W468" i="4"/>
  <c r="W465" i="4"/>
  <c r="W464" i="4"/>
  <c r="W463" i="4"/>
  <c r="W462" i="4"/>
  <c r="W452" i="4"/>
  <c r="W451" i="4"/>
  <c r="AC746" i="4"/>
  <c r="AC745" i="4"/>
  <c r="AC744" i="4"/>
  <c r="AC660" i="4"/>
  <c r="AC742" i="4"/>
  <c r="AC720" i="4"/>
  <c r="AC733" i="4"/>
  <c r="AC734" i="4"/>
  <c r="AC735" i="4"/>
  <c r="AC736" i="4"/>
  <c r="AC658" i="4"/>
  <c r="AC329" i="4"/>
  <c r="AC330" i="4"/>
  <c r="AC331" i="4"/>
  <c r="AC332" i="4"/>
  <c r="AC333" i="4"/>
  <c r="AC334" i="4"/>
  <c r="AC335" i="4"/>
  <c r="AC336" i="4"/>
  <c r="AC337" i="4"/>
  <c r="AC338" i="4"/>
  <c r="AC339" i="4"/>
  <c r="AC340" i="4"/>
  <c r="AC341" i="4"/>
  <c r="AC342" i="4"/>
  <c r="AC343" i="4"/>
  <c r="AC344" i="4"/>
  <c r="AC345" i="4"/>
  <c r="AC346" i="4"/>
  <c r="AC347" i="4"/>
  <c r="AC348" i="4"/>
  <c r="AC349" i="4"/>
  <c r="AC350" i="4"/>
  <c r="AC351" i="4"/>
  <c r="AC352" i="4"/>
  <c r="AC353" i="4"/>
  <c r="AC354" i="4"/>
  <c r="AC355" i="4"/>
  <c r="AC356" i="4"/>
  <c r="AC357" i="4"/>
  <c r="AC358" i="4"/>
  <c r="AC359" i="4"/>
  <c r="AC360" i="4"/>
  <c r="AC361" i="4"/>
  <c r="AC362" i="4"/>
  <c r="AC363" i="4"/>
  <c r="AC364" i="4"/>
  <c r="AC365" i="4"/>
  <c r="AC366" i="4"/>
  <c r="AC367" i="4"/>
  <c r="AC368" i="4"/>
  <c r="AC369" i="4"/>
  <c r="AC370" i="4"/>
  <c r="AC371" i="4"/>
  <c r="AC372" i="4"/>
  <c r="AC373" i="4"/>
  <c r="AC374" i="4"/>
  <c r="AC375" i="4"/>
  <c r="AC376" i="4"/>
  <c r="AC377" i="4"/>
  <c r="AC378" i="4"/>
  <c r="AC379" i="4"/>
  <c r="AC380" i="4"/>
  <c r="AC381" i="4"/>
  <c r="AC382" i="4"/>
  <c r="AC383" i="4"/>
  <c r="AC384" i="4"/>
  <c r="AC385" i="4"/>
  <c r="AC386" i="4"/>
  <c r="AC387" i="4"/>
  <c r="AC388" i="4"/>
  <c r="AC389" i="4"/>
  <c r="AC390" i="4"/>
  <c r="AC391" i="4"/>
  <c r="AC392" i="4"/>
  <c r="AC393" i="4"/>
  <c r="AC394" i="4"/>
  <c r="AC395" i="4"/>
  <c r="AC396" i="4"/>
  <c r="AC397" i="4"/>
  <c r="AC398" i="4"/>
  <c r="AC399" i="4"/>
  <c r="AC400" i="4"/>
  <c r="AC401" i="4"/>
  <c r="AC402" i="4"/>
  <c r="AC403" i="4"/>
  <c r="AC404" i="4"/>
  <c r="AC405" i="4"/>
  <c r="AC406" i="4"/>
  <c r="AC407" i="4"/>
  <c r="AC408" i="4"/>
  <c r="AC409" i="4"/>
  <c r="AC410" i="4"/>
  <c r="AC411" i="4"/>
  <c r="AC412" i="4"/>
  <c r="AC413" i="4"/>
  <c r="AC414" i="4"/>
  <c r="AC415" i="4"/>
  <c r="AC416" i="4"/>
  <c r="AC417" i="4"/>
  <c r="AC418" i="4"/>
  <c r="AC419" i="4"/>
  <c r="AC420" i="4"/>
  <c r="AC421" i="4"/>
  <c r="AC422" i="4"/>
  <c r="AC423" i="4"/>
  <c r="AC424" i="4"/>
  <c r="AC425" i="4"/>
  <c r="AC426" i="4"/>
  <c r="AC427" i="4"/>
  <c r="AC428" i="4"/>
  <c r="AC429" i="4"/>
  <c r="AC430" i="4"/>
  <c r="AC431" i="4"/>
  <c r="AC432" i="4"/>
  <c r="AC433" i="4"/>
  <c r="AC434" i="4"/>
  <c r="AC435" i="4"/>
  <c r="AC436" i="4"/>
  <c r="AC437" i="4"/>
  <c r="AC438" i="4"/>
  <c r="AC439" i="4"/>
  <c r="AC440" i="4"/>
  <c r="AC441" i="4"/>
  <c r="AC442" i="4"/>
  <c r="AC443" i="4"/>
  <c r="AC444" i="4"/>
  <c r="AC445" i="4"/>
  <c r="AC446" i="4"/>
  <c r="AC447" i="4"/>
  <c r="AC448" i="4"/>
  <c r="AC449" i="4"/>
  <c r="AC450" i="4"/>
  <c r="AC451" i="4"/>
  <c r="AC452" i="4"/>
  <c r="AC453" i="4"/>
  <c r="AC454" i="4"/>
  <c r="AC455" i="4"/>
  <c r="AC456" i="4"/>
  <c r="AC457" i="4"/>
  <c r="AC458" i="4"/>
  <c r="AC459" i="4"/>
  <c r="AC460" i="4"/>
  <c r="AC461" i="4"/>
  <c r="AC462" i="4"/>
  <c r="AC463" i="4"/>
  <c r="AC93" i="4"/>
  <c r="AC97" i="4"/>
  <c r="AC100" i="4"/>
  <c r="AC105" i="4"/>
  <c r="AC107" i="4"/>
  <c r="AC112" i="4"/>
  <c r="AC115" i="4"/>
  <c r="AC118" i="4"/>
  <c r="AC120" i="4"/>
  <c r="AC123" i="4"/>
  <c r="AC126" i="4"/>
  <c r="AC129" i="4"/>
  <c r="AC132" i="4"/>
  <c r="AC135" i="4"/>
  <c r="AC138" i="4"/>
  <c r="AC141" i="4"/>
  <c r="AC144" i="4"/>
  <c r="AC147" i="4"/>
  <c r="AC150" i="4"/>
  <c r="AC153" i="4"/>
  <c r="AC157" i="4"/>
  <c r="AC160" i="4"/>
  <c r="AC163" i="4"/>
  <c r="AC166" i="4"/>
  <c r="AC169" i="4"/>
  <c r="AC173" i="4"/>
  <c r="AC177" i="4"/>
  <c r="AC180" i="4"/>
  <c r="AC183" i="4"/>
  <c r="AC186" i="4"/>
  <c r="AC189" i="4"/>
  <c r="AC193" i="4"/>
  <c r="AC196" i="4"/>
  <c r="AC199" i="4"/>
  <c r="AC203" i="4"/>
  <c r="AC206" i="4"/>
  <c r="AC210" i="4"/>
  <c r="AC213" i="4"/>
  <c r="AC217" i="4"/>
  <c r="AC220" i="4"/>
  <c r="AC223" i="4"/>
  <c r="AC226" i="4"/>
  <c r="AC229" i="4"/>
  <c r="AC234" i="4"/>
  <c r="AC237" i="4"/>
  <c r="AC240" i="4"/>
  <c r="AC243" i="4"/>
  <c r="AC246" i="4"/>
  <c r="AC249" i="4"/>
  <c r="AC253" i="4"/>
  <c r="AC257" i="4"/>
  <c r="AC261" i="4"/>
  <c r="AC264" i="4"/>
  <c r="AC267" i="4"/>
  <c r="AC270" i="4"/>
  <c r="AC273" i="4"/>
  <c r="AC276" i="4"/>
  <c r="AC281" i="4"/>
  <c r="AC284" i="4"/>
  <c r="AC287" i="4"/>
  <c r="AC291" i="4"/>
  <c r="AC294" i="4"/>
  <c r="AC297" i="4"/>
  <c r="AC300" i="4"/>
  <c r="AC302" i="4"/>
  <c r="AC304" i="4"/>
  <c r="AC307" i="4"/>
  <c r="AC308" i="4"/>
  <c r="AC309" i="4"/>
  <c r="AC310" i="4"/>
  <c r="AC311" i="4"/>
  <c r="AC312" i="4"/>
  <c r="AC313" i="4"/>
  <c r="AC314" i="4"/>
  <c r="AC315" i="4"/>
  <c r="AC316" i="4"/>
  <c r="AC318" i="4"/>
  <c r="AC320" i="4"/>
  <c r="AC323" i="4"/>
  <c r="AC325" i="4"/>
  <c r="AC327" i="4"/>
  <c r="AC94" i="4"/>
  <c r="AC98" i="4"/>
  <c r="AC101" i="4"/>
  <c r="AC104" i="4"/>
  <c r="AC108" i="4"/>
  <c r="AC111" i="4"/>
  <c r="AC114" i="4"/>
  <c r="AC117" i="4"/>
  <c r="AC121" i="4"/>
  <c r="AC124" i="4"/>
  <c r="AC128" i="4"/>
  <c r="AC130" i="4"/>
  <c r="AC134" i="4"/>
  <c r="AC139" i="4"/>
  <c r="AC142" i="4"/>
  <c r="AC145" i="4"/>
  <c r="AC148" i="4"/>
  <c r="AC152" i="4"/>
  <c r="AC155" i="4"/>
  <c r="AC159" i="4"/>
  <c r="AC162" i="4"/>
  <c r="AC167" i="4"/>
  <c r="AC170" i="4"/>
  <c r="AC174" i="4"/>
  <c r="AC178" i="4"/>
  <c r="AC182" i="4"/>
  <c r="AC185" i="4"/>
  <c r="AC188" i="4"/>
  <c r="AC192" i="4"/>
  <c r="AC194" i="4"/>
  <c r="AC198" i="4"/>
  <c r="AC202" i="4"/>
  <c r="AC205" i="4"/>
  <c r="AC208" i="4"/>
  <c r="AC212" i="4"/>
  <c r="AC216" i="4"/>
  <c r="AC219" i="4"/>
  <c r="AC224" i="4"/>
  <c r="AC227" i="4"/>
  <c r="AC230" i="4"/>
  <c r="AC233" i="4"/>
  <c r="AC238" i="4"/>
  <c r="AC241" i="4"/>
  <c r="AC244" i="4"/>
  <c r="AC247" i="4"/>
  <c r="AC250" i="4"/>
  <c r="AC254" i="4"/>
  <c r="AC256" i="4"/>
  <c r="AC259" i="4"/>
  <c r="AC262" i="4"/>
  <c r="AC266" i="4"/>
  <c r="AC269" i="4"/>
  <c r="AC274" i="4"/>
  <c r="AC277" i="4"/>
  <c r="AC280" i="4"/>
  <c r="AC283" i="4"/>
  <c r="AC286" i="4"/>
  <c r="AC290" i="4"/>
  <c r="AC292" i="4"/>
  <c r="AC296" i="4"/>
  <c r="AC299" i="4"/>
  <c r="AC301" i="4"/>
  <c r="AC305" i="4"/>
  <c r="AC92" i="4"/>
  <c r="AC95" i="4"/>
  <c r="AC96" i="4"/>
  <c r="AC99" i="4"/>
  <c r="AC102" i="4"/>
  <c r="AC103" i="4"/>
  <c r="AC106" i="4"/>
  <c r="AC109" i="4"/>
  <c r="AC110" i="4"/>
  <c r="AC113" i="4"/>
  <c r="AC116" i="4"/>
  <c r="AC119" i="4"/>
  <c r="AC122" i="4"/>
  <c r="AC125" i="4"/>
  <c r="AC127" i="4"/>
  <c r="AC131" i="4"/>
  <c r="AC133" i="4"/>
  <c r="AC136" i="4"/>
  <c r="AC137" i="4"/>
  <c r="AC140" i="4"/>
  <c r="AC143" i="4"/>
  <c r="AC146" i="4"/>
  <c r="AC149" i="4"/>
  <c r="AC151" i="4"/>
  <c r="AC154" i="4"/>
  <c r="AC156" i="4"/>
  <c r="AC158" i="4"/>
  <c r="AC161" i="4"/>
  <c r="AC164" i="4"/>
  <c r="AC165" i="4"/>
  <c r="AC168" i="4"/>
  <c r="AC171" i="4"/>
  <c r="AC172" i="4"/>
  <c r="AC175" i="4"/>
  <c r="AC176" i="4"/>
  <c r="AC179" i="4"/>
  <c r="AC181" i="4"/>
  <c r="AC184" i="4"/>
  <c r="AC187" i="4"/>
  <c r="AC190" i="4"/>
  <c r="AC191" i="4"/>
  <c r="AC195" i="4"/>
  <c r="AC197" i="4"/>
  <c r="AC200" i="4"/>
  <c r="AC201" i="4"/>
  <c r="AC204" i="4"/>
  <c r="AC207" i="4"/>
  <c r="AC209" i="4"/>
  <c r="AC211" i="4"/>
  <c r="AC214" i="4"/>
  <c r="AC215" i="4"/>
  <c r="AC218" i="4"/>
  <c r="AC221" i="4"/>
  <c r="AC222" i="4"/>
  <c r="AC225" i="4"/>
  <c r="AC228" i="4"/>
  <c r="AC231" i="4"/>
  <c r="AC232" i="4"/>
  <c r="AC235" i="4"/>
  <c r="AC236" i="4"/>
  <c r="AC239" i="4"/>
  <c r="AC242" i="4"/>
  <c r="AC245" i="4"/>
  <c r="AC248" i="4"/>
  <c r="AC251" i="4"/>
  <c r="AC252" i="4"/>
  <c r="AC255" i="4"/>
  <c r="AC258" i="4"/>
  <c r="AC260" i="4"/>
  <c r="AC263" i="4"/>
  <c r="AC265" i="4"/>
  <c r="AC268" i="4"/>
  <c r="AC271" i="4"/>
  <c r="AC272" i="4"/>
  <c r="AC275" i="4"/>
  <c r="AC278" i="4"/>
  <c r="AC279" i="4"/>
  <c r="AC282" i="4"/>
  <c r="AC285" i="4"/>
  <c r="AC288" i="4"/>
  <c r="AC289" i="4"/>
  <c r="AC293" i="4"/>
  <c r="AC295" i="4"/>
  <c r="AC298" i="4"/>
  <c r="AC303" i="4"/>
  <c r="AC306" i="4"/>
  <c r="AC317" i="4"/>
  <c r="AC319" i="4"/>
  <c r="AC321" i="4"/>
  <c r="AC322" i="4"/>
  <c r="AC324" i="4"/>
  <c r="AC326" i="4"/>
  <c r="AC328" i="4"/>
  <c r="AC704" i="4"/>
  <c r="AC718" i="4"/>
  <c r="AC714" i="4"/>
  <c r="AC709" i="4"/>
  <c r="AC716" i="4"/>
  <c r="AC711" i="4"/>
  <c r="AC712" i="4"/>
  <c r="AC713" i="4"/>
  <c r="AC710" i="4"/>
  <c r="AC708" i="4"/>
  <c r="AC707" i="4"/>
  <c r="AC666" i="4"/>
  <c r="AC700" i="4"/>
  <c r="AC687" i="4"/>
  <c r="AC659" i="4"/>
  <c r="AC657" i="4"/>
  <c r="AC668" i="4"/>
  <c r="AC664" i="4"/>
  <c r="AC693" i="4"/>
  <c r="AC670" i="4"/>
  <c r="AC667" i="4"/>
  <c r="AC665" i="4"/>
  <c r="AC661" i="4"/>
  <c r="AC690" i="4"/>
  <c r="AC689" i="4"/>
  <c r="AC688" i="4"/>
  <c r="AC686" i="4"/>
  <c r="AC706" i="4"/>
  <c r="AC662" i="4"/>
  <c r="AC705" i="4"/>
  <c r="AC703" i="4"/>
  <c r="AC702" i="4"/>
  <c r="AC701" i="4"/>
  <c r="AC655" i="4"/>
  <c r="AC653" i="4"/>
  <c r="AC652" i="4"/>
  <c r="AC651" i="4"/>
  <c r="AC650" i="4"/>
  <c r="AC649" i="4"/>
  <c r="AC590" i="4"/>
  <c r="AC648" i="4"/>
  <c r="AC647" i="4"/>
  <c r="AC639" i="4"/>
  <c r="AC573" i="4"/>
  <c r="AC575" i="4"/>
  <c r="AC592" i="4"/>
  <c r="AC593" i="4"/>
  <c r="AC594" i="4"/>
  <c r="AC595" i="4"/>
  <c r="AC598" i="4"/>
  <c r="AC611" i="4"/>
  <c r="AC609" i="4"/>
  <c r="AC616" i="4"/>
  <c r="AC618" i="4"/>
  <c r="AC585" i="4"/>
  <c r="AC588" i="4"/>
  <c r="AC586" i="4"/>
  <c r="AC596" i="4"/>
  <c r="AC600" i="4"/>
  <c r="AC603" i="4"/>
  <c r="AC612" i="4"/>
  <c r="AC610" i="4"/>
  <c r="AC608" i="4"/>
  <c r="AC605" i="4"/>
  <c r="AC623" i="4"/>
  <c r="AC626" i="4"/>
  <c r="AC625" i="4"/>
  <c r="AC628" i="4"/>
  <c r="AC631" i="4"/>
  <c r="AC635" i="4"/>
  <c r="AC642" i="4"/>
  <c r="AC641" i="4"/>
  <c r="AC638" i="4"/>
  <c r="AC613" i="4"/>
  <c r="AC604" i="4"/>
  <c r="AC614" i="4"/>
  <c r="AC615" i="4"/>
  <c r="AC602" i="4"/>
  <c r="AC601" i="4"/>
  <c r="AC599" i="4"/>
  <c r="AC634" i="4"/>
  <c r="Q7" i="8"/>
  <c r="AC597" i="4"/>
  <c r="AC607" i="4"/>
  <c r="AC606" i="4"/>
  <c r="AC589" i="4"/>
  <c r="AC555" i="4"/>
  <c r="AC558" i="4"/>
  <c r="AC559" i="4"/>
  <c r="AC561" i="4"/>
  <c r="AC562" i="4"/>
  <c r="AC563" i="4"/>
  <c r="AC565" i="4"/>
  <c r="AC566" i="4"/>
  <c r="AC567" i="4"/>
  <c r="AC591" i="4"/>
  <c r="AC587" i="4"/>
  <c r="AC571" i="4"/>
  <c r="Q6" i="8"/>
  <c r="Q2" i="8"/>
  <c r="Q10" i="8"/>
  <c r="Q4" i="8"/>
  <c r="Q3" i="8"/>
  <c r="Q5" i="8"/>
  <c r="AC572" i="4"/>
  <c r="AC579" i="4"/>
  <c r="AC581" i="4"/>
  <c r="AC583" i="4"/>
  <c r="AC570" i="4"/>
  <c r="AC574" i="4"/>
  <c r="AC576" i="4"/>
  <c r="AC577" i="4"/>
  <c r="AC578" i="4"/>
  <c r="AC580" i="4"/>
  <c r="AC582" i="4"/>
  <c r="AC584" i="4"/>
  <c r="AC568" i="4"/>
  <c r="AC564" i="4"/>
  <c r="AC560" i="4"/>
  <c r="AC557" i="4"/>
  <c r="AC556" i="4"/>
  <c r="AC569" i="4"/>
  <c r="AM11" i="5"/>
  <c r="AC537" i="4"/>
  <c r="AC538" i="4"/>
  <c r="AC554" i="4"/>
  <c r="AC497" i="4"/>
  <c r="AC465" i="4"/>
  <c r="AC513" i="4"/>
  <c r="AC494" i="4"/>
  <c r="AC553" i="4"/>
  <c r="AC496" i="4"/>
  <c r="AC495" i="4"/>
  <c r="AC498" i="4"/>
  <c r="AC514" i="4"/>
  <c r="AC525" i="4"/>
  <c r="AC499" i="4"/>
  <c r="AC552" i="4"/>
  <c r="AC512" i="4"/>
  <c r="AC524" i="4"/>
  <c r="AC481" i="4"/>
  <c r="AC536" i="4"/>
  <c r="AC511" i="4"/>
  <c r="AC493" i="4"/>
  <c r="AC551" i="4"/>
  <c r="AC480" i="4"/>
  <c r="AC492" i="4"/>
  <c r="AC510" i="4"/>
  <c r="AC549" i="4"/>
  <c r="AC550" i="4"/>
  <c r="AC509" i="4"/>
  <c r="AC522" i="4"/>
  <c r="AC479" i="4"/>
  <c r="AC491" i="4"/>
  <c r="AC534" i="4"/>
  <c r="AC490" i="4"/>
  <c r="AC523" i="4"/>
  <c r="AC535" i="4"/>
  <c r="AC478" i="4"/>
  <c r="AC520" i="4"/>
  <c r="AC521" i="4"/>
  <c r="AC476" i="4"/>
  <c r="AC489" i="4"/>
  <c r="AC546" i="4"/>
  <c r="AC547" i="4"/>
  <c r="AC531" i="4"/>
  <c r="AC508" i="4"/>
  <c r="AC475" i="4"/>
  <c r="AC533" i="4"/>
  <c r="AC507" i="4"/>
  <c r="AC474" i="4"/>
  <c r="AC477" i="4"/>
  <c r="AC548" i="4"/>
  <c r="AC488" i="4"/>
  <c r="AC532" i="4"/>
  <c r="AC540" i="4"/>
  <c r="AC486" i="4"/>
  <c r="AC483" i="4"/>
  <c r="AC500" i="4"/>
  <c r="AC529" i="4"/>
  <c r="AC482" i="4"/>
  <c r="AC473" i="4"/>
  <c r="AC471" i="4"/>
  <c r="AC468" i="4"/>
  <c r="AC466" i="4"/>
  <c r="AC467" i="4"/>
  <c r="AC470" i="4"/>
  <c r="AC472" i="4"/>
  <c r="AC530" i="4"/>
  <c r="AC484" i="4"/>
  <c r="AC487" i="4"/>
  <c r="AC526" i="4"/>
  <c r="AC506" i="4"/>
  <c r="AC503" i="4"/>
  <c r="AC502" i="4"/>
  <c r="AC504" i="4"/>
  <c r="AC528" i="4"/>
  <c r="AC515" i="4"/>
  <c r="AC518" i="4"/>
  <c r="AC539" i="4"/>
  <c r="AC501" i="4"/>
  <c r="AC505" i="4"/>
  <c r="AC527" i="4"/>
  <c r="AC517" i="4"/>
  <c r="AC519" i="4"/>
  <c r="AC545" i="4"/>
  <c r="AC543" i="4"/>
  <c r="AC541" i="4"/>
  <c r="AC469" i="4"/>
  <c r="AC516" i="4"/>
  <c r="AC485" i="4"/>
  <c r="AC544" i="4"/>
  <c r="AC542" i="4"/>
  <c r="AM7" i="5"/>
  <c r="Q9" i="8" l="1"/>
  <c r="Q8" i="8"/>
  <c r="AM5" i="5"/>
  <c r="AX5" i="5" s="1"/>
  <c r="AM9" i="5"/>
  <c r="AC464" i="4"/>
  <c r="AM13" i="5"/>
  <c r="AM15" i="5" s="1"/>
  <c r="AX15" i="5" s="1"/>
  <c r="A1" i="7" a="1"/>
  <c r="A1" i="7" l="1"/>
  <c r="J1" i="7" a="1"/>
  <c r="J1" i="7" l="1"/>
  <c r="H4" i="7" a="1"/>
  <c r="H4" i="7" l="1"/>
  <c r="H5" i="7" a="1"/>
  <c r="H5" i="7" l="1"/>
  <c r="H6" i="7" a="1"/>
  <c r="H6" i="7" l="1"/>
  <c r="H7" i="7" a="1"/>
  <c r="H7" i="7" l="1"/>
  <c r="H8" i="7" a="1"/>
  <c r="H8" i="7" l="1"/>
  <c r="AM19" i="5"/>
  <c r="H10" i="7" a="1"/>
  <c r="H10" i="7" l="1"/>
  <c r="AM17" i="5"/>
  <c r="H11" i="7" a="1"/>
  <c r="H11" i="7" l="1"/>
  <c r="AM21" i="5"/>
  <c r="H12" i="7" a="1"/>
  <c r="H12" i="7" l="1"/>
  <c r="AM25" i="5" s="1"/>
  <c r="AM23" i="5"/>
  <c r="L2" i="8" a="1"/>
  <c r="L2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encabeza=['ID','FECHA','MAQUILA_P','MESA','TURNO','HR_INI_P','HR_FIN_P','OP','PRODUCTO','TRABAJO','PIEZAS_P','UDM','PRECIO','INGRESO_P','MAQUILA_R','HR_INI_R','HR_FIN_R','PIEZAS_R','INGRESO_R',
            'PIEZAS_A','COSTO_P','COSTO_R','UTILIDAD','PLANEADO','PE_MAQUILA','PE_HORARIO','PE_CANTIDAD','CUMPLIMIENTO','ALERTA_P','ID_REG','OBSERVACIONES','DESTACAR']
dfpp = xl(%P2%,headers=1)
dfpp.columns = encabeza
fec_ini = xl(%P3%)
fec_fin = xl(%P4%)
T_T = dfpp[(dfpp['FECHA'] &gt;= fec_ini) &amp; (dfpp['FECHA'] &lt;= fec_fin)].CUMPLIMIENTO.count() # TOTAL DE TRABAJOS EN UN PERIODO
T_P = dfpp[(dfpp['FECHA'] &gt;= fec_ini) &amp; (dfpp['FECHA'] &lt;= fec_fin) &amp; (dfpp['PLANEADO'] == 'SI')].CUMPLIMIENTO.count() # TRABAJOS PLANEADOS
T_N_P = dfpp[(dfpp['FECHA'] &gt;= fec_ini) &amp; (dfpp['FECHA'] &lt;= fec_fin) &amp; (dfpp['PLANEADO'] == 'NO')].CUMPLIMIENTO.count() # TRABAJOS NO PLANEADOS
N_T = dfpp[(dfpp['FECHA'] &gt;= fec_ini) &amp; (dfpp['FECHA'] &lt;= fec_fin) &amp; (dfpp['CUMPLIMIENTO'] == 0)].CUMPLIMIENTO.count() # NO TRABAJADOS (APLICA A LOS PLANEADOS)
T_C = dfpp[(dfpp['FECHA'] &gt;= fec_ini) &amp; (dfpp['FECHA'] &lt;= fec_fin) &amp; (dfpp['CUMPLIMIENTO'] &gt;= 1)].CUMPLIMIENTO.count() # TRABAJOS CUMPLIDOS AL 100%%
C_P = dfpp[(dfpp['FECHA'] &gt;= fec_ini) &amp; (dfpp['FECHA'] &lt;= fec_fin) &amp; (dfpp['PE_MAQUILA'] == 'P')].PE_MAQUILA.count() # CUMPLIMIENTO DE MAQUILADORES EN EL PLAN
C_H = dfpp[(dfpp['FECHA'] &gt;= fec_ini) &amp; (dfpp['FECHA'] &lt;= fec_fin) &amp; (dfpp['PE_HORARIO'] == 'P')].PE_HORARIO.count() # CUMPLIMIENTO DE HORARIO EN EL PLAN
C_C = dfpp[(dfpp['FECHA'] &gt;= fec_ini) &amp; (dfpp['FECHA'] &lt;= fec_fin) &amp; (dfpp['PE_CANTIDAD'] == 'P')].PE_CANTIDAD.count() # CUMPLIMIENTO DE CANTIDAD EN EL PLAN</code>
    </pythonScript>
    <pythonScript>
      <code>list(dfpp.columns)</code>
    </pythonScript>
    <pythonScript>
      <code>T_T</code>
    </pythonScript>
    <pythonScript>
      <code>T_P</code>
    </pythonScript>
    <pythonScript>
      <code>T_N_P</code>
    </pythonScript>
    <pythonScript>
      <code>N_T</code>
    </pythonScript>
    <pythonScript>
      <code>T_C</code>
    </pythonScript>
    <pythonScript>
      <code>C_P</code>
    </pythonScript>
    <pythonScript>
      <code>C_H</code>
    </pythonScript>
    <pythonScript>
      <code>C_C</code>
    </pythonScript>
  </pythonScripts>
</python>
</file>

<file path=xl/sharedStrings.xml><?xml version="1.0" encoding="utf-8"?>
<sst xmlns="http://schemas.openxmlformats.org/spreadsheetml/2006/main" count="9950" uniqueCount="1226">
  <si>
    <t>FECHA INICIAL</t>
  </si>
  <si>
    <t>FECHA FINAL</t>
  </si>
  <si>
    <t>TOTAL DE  TRABAJOS</t>
  </si>
  <si>
    <t>TRABAJOS P</t>
  </si>
  <si>
    <t>TRABAJOS NO P</t>
  </si>
  <si>
    <t>NO TRABAJADOS</t>
  </si>
  <si>
    <t>TRABAJOS CUMPLIDOS</t>
  </si>
  <si>
    <t>CUMP. PERSONAS</t>
  </si>
  <si>
    <t>CUMP. HORARIOS</t>
  </si>
  <si>
    <t>CUMP. CANTIDADES</t>
  </si>
  <si>
    <t>RESUMEN SEMANAL</t>
  </si>
  <si>
    <t>SELECCIONAR SEMANA</t>
  </si>
  <si>
    <t>SEMANA DEL 15 AL 21 DE FEBRERO</t>
  </si>
  <si>
    <t>UTILIDAD DE PRODUCCIÓN</t>
  </si>
  <si>
    <t>INGRESO REAL</t>
  </si>
  <si>
    <t>COSTO REAL</t>
  </si>
  <si>
    <t>INGRESO PLANEADO</t>
  </si>
  <si>
    <t>COSTO PLANEADO</t>
  </si>
  <si>
    <t>UTILIDAD PLANEADA</t>
  </si>
  <si>
    <t>EFICACIA DEL CUMPLIMIENTO (TRABAJOS AL 100%+)</t>
  </si>
  <si>
    <t>EFICACIA DE PLANEACIÓN</t>
  </si>
  <si>
    <t>PERSONAS</t>
  </si>
  <si>
    <t>HORARIOS</t>
  </si>
  <si>
    <t>CANTIDADES</t>
  </si>
  <si>
    <t>FEB-0019</t>
  </si>
  <si>
    <t>ID</t>
  </si>
  <si>
    <t>FECHA</t>
  </si>
  <si>
    <t>PERSONAS PLAN</t>
  </si>
  <si>
    <t>MESA</t>
  </si>
  <si>
    <t>TURNO</t>
  </si>
  <si>
    <t>HORA INICIO</t>
  </si>
  <si>
    <t>HORA FIN</t>
  </si>
  <si>
    <t>OP</t>
  </si>
  <si>
    <t>PRODUCTO</t>
  </si>
  <si>
    <t>TRABAJO</t>
  </si>
  <si>
    <t>PIEZAS PLANEADAS</t>
  </si>
  <si>
    <t>UNIDAD DE MEDIDA</t>
  </si>
  <si>
    <t>PRECIO MAQUILAS</t>
  </si>
  <si>
    <t>PERSONAS REAL</t>
  </si>
  <si>
    <t>HORA INICIO REAL</t>
  </si>
  <si>
    <t>HORA FIN REAL</t>
  </si>
  <si>
    <t>PIEZAS REAL</t>
  </si>
  <si>
    <t>PIEZAS ACTUALIZADO</t>
  </si>
  <si>
    <t>GANANCIA ASSEMBLED</t>
  </si>
  <si>
    <t>PLANEADO</t>
  </si>
  <si>
    <t>PLAN EFICAZ PERSONAS</t>
  </si>
  <si>
    <t>PLAN EFICAZ HORARIO</t>
  </si>
  <si>
    <t>PLAN EFICAZ CANTIDAD</t>
  </si>
  <si>
    <t>CUMPLIMIENTO</t>
  </si>
  <si>
    <t>ALERTA PLANEADO</t>
  </si>
  <si>
    <t>ID REGISTRO</t>
  </si>
  <si>
    <t>OBSERVACIONES</t>
  </si>
  <si>
    <t>DESTACAR</t>
  </si>
  <si>
    <t>PE</t>
  </si>
  <si>
    <t>MATUTINA A</t>
  </si>
  <si>
    <t>CAJA ORENDAIN 24 X 200 ML</t>
  </si>
  <si>
    <t>PEGUE LINEAL PEGADORA</t>
  </si>
  <si>
    <t>PIEZA</t>
  </si>
  <si>
    <t>ENE-0001-12719</t>
  </si>
  <si>
    <t>CHAROLA BERRIES PARADISE</t>
  </si>
  <si>
    <t>PEGUE DE CHAROLA</t>
  </si>
  <si>
    <t>ENE-0002-12720</t>
  </si>
  <si>
    <t>SU</t>
  </si>
  <si>
    <t>DIVISOR LARGO ORENDAIN 24 X 200 ML</t>
  </si>
  <si>
    <t>SUAJADO DIVISOR LARGO</t>
  </si>
  <si>
    <t>GOLPE</t>
  </si>
  <si>
    <t>ENE-0003-12718</t>
  </si>
  <si>
    <t>MATUTINO B</t>
  </si>
  <si>
    <t>DESBARBE Y ARMADO DE DIVISOR</t>
  </si>
  <si>
    <t>ENE-0004-12721</t>
  </si>
  <si>
    <t>ENE-0005-12722</t>
  </si>
  <si>
    <t>ENE-0006-12723</t>
  </si>
  <si>
    <t>MIXTO B</t>
  </si>
  <si>
    <t>ENE-0007-12725</t>
  </si>
  <si>
    <t>ENE-0008-12724</t>
  </si>
  <si>
    <t>NOCTURNO</t>
  </si>
  <si>
    <t>ENE-0009-12727</t>
  </si>
  <si>
    <t>ENE-0010-12728</t>
  </si>
  <si>
    <t>ENE-0011-12731</t>
  </si>
  <si>
    <t>ENE-0012-12733</t>
  </si>
  <si>
    <t>ENE-0013-12729</t>
  </si>
  <si>
    <t>TUNY JUMBO AGUA Y ACEITE</t>
  </si>
  <si>
    <t>ARMADO DE CUARTO DE PALLET</t>
  </si>
  <si>
    <t>CAJA</t>
  </si>
  <si>
    <t>ENE-0014-12734</t>
  </si>
  <si>
    <t>TRAY T BUE 2X12X9 BASE MAS 20</t>
  </si>
  <si>
    <t>KIT CHAROLA KINDER</t>
  </si>
  <si>
    <t>ENE-0015-12730</t>
  </si>
  <si>
    <t>DIVISORES OLLITAS 100% BLANCO 6 X 750 ML</t>
  </si>
  <si>
    <t>DESBARBE Y ARMADO</t>
  </si>
  <si>
    <t>ENE-0016-12736</t>
  </si>
  <si>
    <t>ENE-0017-12735</t>
  </si>
  <si>
    <t>ENE-0018-12732</t>
  </si>
  <si>
    <t>ENE-0019-12737</t>
  </si>
  <si>
    <t>ENE-0020-12739</t>
  </si>
  <si>
    <t>ENE-0021-12738</t>
  </si>
  <si>
    <t>DESBARBE BANCO</t>
  </si>
  <si>
    <t>ENE-0022-12740</t>
  </si>
  <si>
    <t>ENE-0023-12742</t>
  </si>
  <si>
    <t>ENE-0024-12744</t>
  </si>
  <si>
    <t>ENE-0025-12745</t>
  </si>
  <si>
    <t>ENE-0026-12746</t>
  </si>
  <si>
    <t>CORRUGADO OLLITAS 100% BLANCO 6 X 750 ML</t>
  </si>
  <si>
    <t>PEGUE LINEAL (PEGADORA)</t>
  </si>
  <si>
    <t>ENE-0027-12749</t>
  </si>
  <si>
    <t>ENE-0028-12741</t>
  </si>
  <si>
    <t>ENE-0029-12747</t>
  </si>
  <si>
    <t>ENE-0030-12743</t>
  </si>
  <si>
    <t>ENE-0031-12748</t>
  </si>
  <si>
    <t>ENE-0032-12750</t>
  </si>
  <si>
    <t>MIXTO A</t>
  </si>
  <si>
    <t>ENE-0033-12754</t>
  </si>
  <si>
    <t>ENE-0034-12751</t>
  </si>
  <si>
    <t>ENE-0035-12753</t>
  </si>
  <si>
    <t>ENE-0036-12752</t>
  </si>
  <si>
    <t>ENE-0037-12755</t>
  </si>
  <si>
    <t>ENE-0038-12766</t>
  </si>
  <si>
    <t>ENE-0039-12769</t>
  </si>
  <si>
    <t>ENE-0040-12763</t>
  </si>
  <si>
    <t>ENE-0041-12760</t>
  </si>
  <si>
    <t>ENE-0042-12757</t>
  </si>
  <si>
    <t>ENE-0043-12771</t>
  </si>
  <si>
    <t>ENE-0044-12758</t>
  </si>
  <si>
    <t>ENE-0045-12761</t>
  </si>
  <si>
    <t>ENE-0046-12764</t>
  </si>
  <si>
    <t>ENE-0047-12770</t>
  </si>
  <si>
    <t>ENE-0048-12767</t>
  </si>
  <si>
    <t>ENE-0049-12772</t>
  </si>
  <si>
    <t>ENE-0050-12768</t>
  </si>
  <si>
    <t>ENE-0051-12762</t>
  </si>
  <si>
    <t>SEPARADORES CORRUGADO ORENDAIN 6 X 1750 ML</t>
  </si>
  <si>
    <t>SUAJADO DE DIVISOR</t>
  </si>
  <si>
    <t>ENE-0052-12773</t>
  </si>
  <si>
    <t>ENE-0053-12776</t>
  </si>
  <si>
    <t>SHAMPOO COLOR PROTECT</t>
  </si>
  <si>
    <t>LIMPIEZA SHAMPOO</t>
  </si>
  <si>
    <t>ENE-0054-12765</t>
  </si>
  <si>
    <t>ENE-0055-12759</t>
  </si>
  <si>
    <t>ENE-0056-12774</t>
  </si>
  <si>
    <t>ENE-0057-12775</t>
  </si>
  <si>
    <t>ENE-0058-12777</t>
  </si>
  <si>
    <t>CHIQUITIPACK.</t>
  </si>
  <si>
    <t>PEGUE CINTA</t>
  </si>
  <si>
    <t>ENE-0059-12779</t>
  </si>
  <si>
    <t>ARMADO CHIQUITIPACK</t>
  </si>
  <si>
    <t>ENE-0060-12780</t>
  </si>
  <si>
    <t>ENE-0061-12778</t>
  </si>
  <si>
    <t>ENE-0062-12756</t>
  </si>
  <si>
    <t>CAJA RETRACTILADO</t>
  </si>
  <si>
    <t>ENE-0063-12781</t>
  </si>
  <si>
    <t>ENE-0064-12783</t>
  </si>
  <si>
    <t>ENE-0065-12784</t>
  </si>
  <si>
    <t>ENE-0066-12785</t>
  </si>
  <si>
    <t>ENE-0067-12787</t>
  </si>
  <si>
    <t>ENE-0068-12782</t>
  </si>
  <si>
    <t>IMPRESION Y SUAJADO SEPARADOR TIPO CHAROLA</t>
  </si>
  <si>
    <t>DESBARBE Y ENTARIMADO</t>
  </si>
  <si>
    <t>ENE-0069-12786</t>
  </si>
  <si>
    <t>IMPRESION</t>
  </si>
  <si>
    <t>ENE-0070-12788</t>
  </si>
  <si>
    <t>ENE-0071-12793</t>
  </si>
  <si>
    <t>ENE-0072-12789</t>
  </si>
  <si>
    <t>ENE-0073-12792</t>
  </si>
  <si>
    <t>ENE-0074-12794</t>
  </si>
  <si>
    <t>ENE-0075-12790</t>
  </si>
  <si>
    <t>ENE-0076-12791</t>
  </si>
  <si>
    <t>ENE-0077-12795</t>
  </si>
  <si>
    <t>ENE-0078-12839</t>
  </si>
  <si>
    <t>ENE-0079-12843</t>
  </si>
  <si>
    <t>ENE-0080-12846</t>
  </si>
  <si>
    <t>ENE-0081-12847</t>
  </si>
  <si>
    <t>ENE-0082-12851</t>
  </si>
  <si>
    <t>ENE-0083-12842</t>
  </si>
  <si>
    <t>ENE-0084-12833</t>
  </si>
  <si>
    <t>ENE-0085-12868</t>
  </si>
  <si>
    <t>ENE-0086-12835</t>
  </si>
  <si>
    <t>ENE-0087-12865</t>
  </si>
  <si>
    <t>ENE-0088-12857</t>
  </si>
  <si>
    <t>ENE-0089-12859</t>
  </si>
  <si>
    <t>ENE-0090-12852</t>
  </si>
  <si>
    <t>ENE-0091-12863</t>
  </si>
  <si>
    <t>ENE-0092-12854</t>
  </si>
  <si>
    <t>ENE-0093-12860</t>
  </si>
  <si>
    <t>ENE-0094-12901</t>
  </si>
  <si>
    <t>ENE-0095-12897</t>
  </si>
  <si>
    <t>ENE-0096-12884</t>
  </si>
  <si>
    <t>ENE-0097-12891</t>
  </si>
  <si>
    <t>ENE-0098-12900</t>
  </si>
  <si>
    <t>CHIQUITIPACK</t>
  </si>
  <si>
    <t>ENE-0099-12907</t>
  </si>
  <si>
    <t>LIBRO COCINA</t>
  </si>
  <si>
    <t>RETRACTILADO DE LIBRO</t>
  </si>
  <si>
    <t>ENE-0100-12909</t>
  </si>
  <si>
    <t xml:space="preserve">PEGUE DE CHAROLA </t>
  </si>
  <si>
    <t>ENE-0101-12886</t>
  </si>
  <si>
    <t>ENE-0102-12899</t>
  </si>
  <si>
    <t>ENE-0103-12903</t>
  </si>
  <si>
    <t>PACK BOX SINGLE SHIPPER WELCOME</t>
  </si>
  <si>
    <t>COLOCACION CINTA DOLBLE CARA</t>
  </si>
  <si>
    <t>ENE-0104-12894</t>
  </si>
  <si>
    <t>ENE-0105-12885</t>
  </si>
  <si>
    <t>ENE-0106-12892</t>
  </si>
  <si>
    <t>ENE-0107-12896</t>
  </si>
  <si>
    <t>ENE-0108-12881</t>
  </si>
  <si>
    <t>SUAJADO CAJA NOTARIOS JAISCO</t>
  </si>
  <si>
    <t>SUAJADO DE LAMINA</t>
  </si>
  <si>
    <t>ENE-0109-12889</t>
  </si>
  <si>
    <t>ENE-0110-12870</t>
  </si>
  <si>
    <t>ENE-0111-12872</t>
  </si>
  <si>
    <t>ENE-0112-13227</t>
  </si>
  <si>
    <t>ENE-0113-12877</t>
  </si>
  <si>
    <t>ENE-0114-12875</t>
  </si>
  <si>
    <t>ENE-0115-12879</t>
  </si>
  <si>
    <t>ENE-0116-13226</t>
  </si>
  <si>
    <t>ENE-0117-13194</t>
  </si>
  <si>
    <t>ENE-0118-12910</t>
  </si>
  <si>
    <t>ENE-0119-12915</t>
  </si>
  <si>
    <t>ENE-0120-12925</t>
  </si>
  <si>
    <t>ENE-0121-12923</t>
  </si>
  <si>
    <t>ENE-0122-12918</t>
  </si>
  <si>
    <t>ENE-0123-12913</t>
  </si>
  <si>
    <t>ENE-0124-12930</t>
  </si>
  <si>
    <t>ENE-0125-12932</t>
  </si>
  <si>
    <t>ENE-0126-12916</t>
  </si>
  <si>
    <t>ENE-0127-12917</t>
  </si>
  <si>
    <t>ENE-0128-12924</t>
  </si>
  <si>
    <t>ENE-0129-12927</t>
  </si>
  <si>
    <t>ENE-0130-12914</t>
  </si>
  <si>
    <t>ENE-0131-12920</t>
  </si>
  <si>
    <t>ENE-0132-12934</t>
  </si>
  <si>
    <t>ENE-0133-12943</t>
  </si>
  <si>
    <t>ENE-0134-12938</t>
  </si>
  <si>
    <t>ENE-0135-12935</t>
  </si>
  <si>
    <t>ENE-0136-12941</t>
  </si>
  <si>
    <t>ENE-0137-12946</t>
  </si>
  <si>
    <t>ENE-0138-12948</t>
  </si>
  <si>
    <t>ENE-0139-12951</t>
  </si>
  <si>
    <t>ENE-0140-12953</t>
  </si>
  <si>
    <t>ENE-0141-12950</t>
  </si>
  <si>
    <t>TAPON DE PLASTICO</t>
  </si>
  <si>
    <t>SEGREGACION PARTICULAS</t>
  </si>
  <si>
    <t>ENE-0142-12955</t>
  </si>
  <si>
    <t>ENE-0143-13192</t>
  </si>
  <si>
    <t>ENE-0144-12964</t>
  </si>
  <si>
    <t>ENE-0145-12956</t>
  </si>
  <si>
    <t>ENE-0146-13193</t>
  </si>
  <si>
    <t>ENE-0147-12958</t>
  </si>
  <si>
    <t>ENE-0148-12961</t>
  </si>
  <si>
    <t>ENE-0149-12962</t>
  </si>
  <si>
    <t>ENE-0150-12966</t>
  </si>
  <si>
    <t>ENE-0151-12967</t>
  </si>
  <si>
    <t>ENE-0152-12969</t>
  </si>
  <si>
    <t>ENE-0153-12971</t>
  </si>
  <si>
    <t>ENE-0154-12974</t>
  </si>
  <si>
    <t>ENE-0155-12977</t>
  </si>
  <si>
    <t>ENE-0156-12973</t>
  </si>
  <si>
    <t>ENE-0157-12975</t>
  </si>
  <si>
    <t>ENE-0158-12982</t>
  </si>
  <si>
    <t>ENE-0159-12983</t>
  </si>
  <si>
    <t>ENE-0160-12984</t>
  </si>
  <si>
    <t>ENE-0161-12978</t>
  </si>
  <si>
    <t>ENE-0162-12980</t>
  </si>
  <si>
    <t>ENE-0163-12987</t>
  </si>
  <si>
    <t>ENE-0164-13001</t>
  </si>
  <si>
    <t>ENE-0165-12994</t>
  </si>
  <si>
    <t>ENE-0166-12998</t>
  </si>
  <si>
    <t xml:space="preserve">PAD CORRUGADO </t>
  </si>
  <si>
    <t>DESBARBE Y CONTENO DE INSERTO</t>
  </si>
  <si>
    <t>ENE-0167-12989</t>
  </si>
  <si>
    <t>ENE-0168-12991</t>
  </si>
  <si>
    <t>ENE-0169-12996</t>
  </si>
  <si>
    <t>ENE-0170-12992</t>
  </si>
  <si>
    <t>ENE-0171-12999</t>
  </si>
  <si>
    <t>ENE-0172-12997</t>
  </si>
  <si>
    <t>ENE-0173-13004</t>
  </si>
  <si>
    <t>ENE-0174-13006</t>
  </si>
  <si>
    <t>ENE-0175-13002</t>
  </si>
  <si>
    <t>ENE-0176-13008</t>
  </si>
  <si>
    <t>ENTARIMADO DE CAJA</t>
  </si>
  <si>
    <t>ENE-0177-13012</t>
  </si>
  <si>
    <t>ENE-0178-13015</t>
  </si>
  <si>
    <t>CHAROLA MULTIMIX</t>
  </si>
  <si>
    <t>ARMADO Y RETRACTILADO</t>
  </si>
  <si>
    <t>CHAROLA</t>
  </si>
  <si>
    <t>ENE-0179-13017</t>
  </si>
  <si>
    <t>KETCHUP PET</t>
  </si>
  <si>
    <t>ETIQUETADO</t>
  </si>
  <si>
    <t>ENE-0180-13010</t>
  </si>
  <si>
    <t>ENE-0181-13014</t>
  </si>
  <si>
    <t>ENE-0182-13019</t>
  </si>
  <si>
    <t>ENE-0183-13023</t>
  </si>
  <si>
    <t>ENE-0184-13021</t>
  </si>
  <si>
    <t>ENE-0185-13007</t>
  </si>
  <si>
    <t>ENE-0186-13033</t>
  </si>
  <si>
    <t>ENE-0187-13024</t>
  </si>
  <si>
    <t>ENE-0188-13026</t>
  </si>
  <si>
    <t>ENE-0189-13025</t>
  </si>
  <si>
    <t>ENE-0190-13027</t>
  </si>
  <si>
    <t>ENE-0191-13029</t>
  </si>
  <si>
    <t>ENE-0192-13030</t>
  </si>
  <si>
    <t>ENE-0193-13034</t>
  </si>
  <si>
    <t>ENE-0194-13036</t>
  </si>
  <si>
    <t>ENE-0195-13043</t>
  </si>
  <si>
    <t>ENE-0196-13041</t>
  </si>
  <si>
    <t>ENE-0197-13039</t>
  </si>
  <si>
    <t>ENE-0198-13056</t>
  </si>
  <si>
    <t>CAJA CORRUGADA PARA SHAMPOO EXTRACTOS HERBALES</t>
  </si>
  <si>
    <t>ENE-0199-13044</t>
  </si>
  <si>
    <t>ENE-0200-13048</t>
  </si>
  <si>
    <t>PEGUE DE CAJA</t>
  </si>
  <si>
    <t>ENE-0201-13046</t>
  </si>
  <si>
    <t>ENE-0202-13038</t>
  </si>
  <si>
    <t>ENE-0203-13062</t>
  </si>
  <si>
    <t>ENE-0204-13066</t>
  </si>
  <si>
    <t>ENE-0205-13068</t>
  </si>
  <si>
    <t>ENE-0206-13064</t>
  </si>
  <si>
    <t>ENE-0207-13054</t>
  </si>
  <si>
    <t>ENE-0208-13052</t>
  </si>
  <si>
    <t>ENE-0209-13050</t>
  </si>
  <si>
    <t>ENE-0210-13081</t>
  </si>
  <si>
    <t>ENE-0211-13074</t>
  </si>
  <si>
    <t>ENE-0212-13072</t>
  </si>
  <si>
    <t>ENE-0213-13077</t>
  </si>
  <si>
    <t>ENE-0214-13069</t>
  </si>
  <si>
    <t>CHUNK LIGHT TUNA OIL WATER</t>
  </si>
  <si>
    <t>ARMADO QUINTO DED PALLET</t>
  </si>
  <si>
    <t>ENE-0215-13085</t>
  </si>
  <si>
    <t>SALSA TABASCO ROJA 24X60ML</t>
  </si>
  <si>
    <t>ETIQUETADO (CAJA)</t>
  </si>
  <si>
    <t>ENE-0216-13087</t>
  </si>
  <si>
    <t>ENE-0217-13099</t>
  </si>
  <si>
    <t>ENE-0218-13098</t>
  </si>
  <si>
    <t>ENE-0219-13095</t>
  </si>
  <si>
    <t>ENE-0220-13090</t>
  </si>
  <si>
    <t>ENE-0221-13089</t>
  </si>
  <si>
    <t>ENE-0222-13073</t>
  </si>
  <si>
    <t>ENE-0223-13082</t>
  </si>
  <si>
    <t>ENE-0224-13079</t>
  </si>
  <si>
    <t>ENE-0225-13075</t>
  </si>
  <si>
    <t>ENE-0226-13071</t>
  </si>
  <si>
    <t>ENE-0227-13102</t>
  </si>
  <si>
    <t>ENE-0228-13340</t>
  </si>
  <si>
    <t>ENE-0229-13105</t>
  </si>
  <si>
    <t>ENE-0230-13103</t>
  </si>
  <si>
    <t>ENE-0231-13100</t>
  </si>
  <si>
    <t>ENE-0232-13109</t>
  </si>
  <si>
    <t>ENE-0233-13111</t>
  </si>
  <si>
    <t>ENE-0234-13113</t>
  </si>
  <si>
    <t>ENE-0235-13114</t>
  </si>
  <si>
    <t>ENE-0236-13123</t>
  </si>
  <si>
    <t>ENE-0237-13116</t>
  </si>
  <si>
    <t>ENE-0238-13120</t>
  </si>
  <si>
    <t>ENE-0239-13229</t>
  </si>
  <si>
    <t>ENE-0240-13230</t>
  </si>
  <si>
    <t>ENE-0241-13231</t>
  </si>
  <si>
    <t>ENE-0242-13234</t>
  </si>
  <si>
    <t>ENE-0243-13237</t>
  </si>
  <si>
    <t>ENE-0244-13232</t>
  </si>
  <si>
    <t>ENE-0245-13238</t>
  </si>
  <si>
    <t>DIVISOR PATRON</t>
  </si>
  <si>
    <t>ARMADO Y DESBARBE</t>
  </si>
  <si>
    <t>ENE-0246-13239</t>
  </si>
  <si>
    <t>ENE-0247-13243</t>
  </si>
  <si>
    <t>ENE-0248-13242</t>
  </si>
  <si>
    <t>ENE-0249-13248</t>
  </si>
  <si>
    <t>ENE-0250-13245</t>
  </si>
  <si>
    <t>ENE-0251-13258</t>
  </si>
  <si>
    <t>ENE-0252-13256</t>
  </si>
  <si>
    <t>ENE-0253-13261</t>
  </si>
  <si>
    <t>ENE-0254-13250</t>
  </si>
  <si>
    <t>ENE-0255-13266</t>
  </si>
  <si>
    <t>ENE-0256-13284</t>
  </si>
  <si>
    <t>ENE-0257-13251</t>
  </si>
  <si>
    <t>ENE-0258-13269</t>
  </si>
  <si>
    <t>ENE-0259-13255</t>
  </si>
  <si>
    <t>ENE-0260-13253</t>
  </si>
  <si>
    <t>ENE-0261-13263</t>
  </si>
  <si>
    <t>ENE-0262-13272</t>
  </si>
  <si>
    <t>ENE-0263-13277</t>
  </si>
  <si>
    <t>ENE-0264-13275</t>
  </si>
  <si>
    <t>ENE-0265-13273</t>
  </si>
  <si>
    <t>ENE-0266-13282</t>
  </si>
  <si>
    <t>ENE-0267-13281</t>
  </si>
  <si>
    <t>ENE-0268-13290</t>
  </si>
  <si>
    <t>ENE-0269-13315</t>
  </si>
  <si>
    <t>ENE-0270-13313</t>
  </si>
  <si>
    <t>ENE-0271-13291</t>
  </si>
  <si>
    <t>ENE-0272-13317</t>
  </si>
  <si>
    <t>ENE-0273-13294</t>
  </si>
  <si>
    <t>ENE-0274-13287</t>
  </si>
  <si>
    <t>ENE-0275-13301</t>
  </si>
  <si>
    <t>ENE-0276-13299</t>
  </si>
  <si>
    <t>ENE-0277-13297</t>
  </si>
  <si>
    <t>ENE-0278-13303</t>
  </si>
  <si>
    <t>ENE-0279-13309</t>
  </si>
  <si>
    <t>ENE-0280-13306</t>
  </si>
  <si>
    <t>ENE-0281-13304</t>
  </si>
  <si>
    <t>ENE-0282-13311</t>
  </si>
  <si>
    <t>ENE-0283-13312</t>
  </si>
  <si>
    <t>ENE-0284-13236</t>
  </si>
  <si>
    <t>ENE-0285-13233</t>
  </si>
  <si>
    <t>ENE-0286-13235</t>
  </si>
  <si>
    <t>ENE-0287-13254</t>
  </si>
  <si>
    <t>DESBARBE</t>
  </si>
  <si>
    <t>ENE-0288-13240</t>
  </si>
  <si>
    <t>ENE-0289-13244</t>
  </si>
  <si>
    <t>ENE-0290-13241</t>
  </si>
  <si>
    <t>ENE-0291-13246</t>
  </si>
  <si>
    <t>ENE-0292-13252</t>
  </si>
  <si>
    <t>ENE-0293-13249</t>
  </si>
  <si>
    <t>ENE-0294-13247</t>
  </si>
  <si>
    <t>ENE-0295-13289</t>
  </si>
  <si>
    <t>ENE-0296-13257</t>
  </si>
  <si>
    <t>ENE-0297-13259</t>
  </si>
  <si>
    <t>ENE-0298-13274</t>
  </si>
  <si>
    <t>ENE-0299-13264</t>
  </si>
  <si>
    <t>ENE-0300-13265</t>
  </si>
  <si>
    <t>ENE-0301-13267</t>
  </si>
  <si>
    <t>ENE-0302-13260</t>
  </si>
  <si>
    <t>ENE-0303-13262</t>
  </si>
  <si>
    <t>ETIQUETADO KETCHUP ROOMSERVISE ENG LABEL</t>
  </si>
  <si>
    <t>ETIQUETADO KETCHUP</t>
  </si>
  <si>
    <t>ENE-0304-13268</t>
  </si>
  <si>
    <t>ENE-0305-13270</t>
  </si>
  <si>
    <t>ENE-0306-13276</t>
  </si>
  <si>
    <t>ENE-0307-13286</t>
  </si>
  <si>
    <t>ENE-0308-13279</t>
  </si>
  <si>
    <t>ENE-0309-13271</t>
  </si>
  <si>
    <t>ENE-0310-13278</t>
  </si>
  <si>
    <t>ENE-0311-13280</t>
  </si>
  <si>
    <t>ENE-0312-13288</t>
  </si>
  <si>
    <t>ENE-0313-13283</t>
  </si>
  <si>
    <t>ENE-0314-13285</t>
  </si>
  <si>
    <t>ENE-0315-13300</t>
  </si>
  <si>
    <t>BURGER PACK</t>
  </si>
  <si>
    <t>ETIQUETADO FAJILLA</t>
  </si>
  <si>
    <t>ENE-0316-13324</t>
  </si>
  <si>
    <t>ENE-0317-13293</t>
  </si>
  <si>
    <t>ENE-0318-13295</t>
  </si>
  <si>
    <t>ENE-0319-13296</t>
  </si>
  <si>
    <t>ENE-0320-13307</t>
  </si>
  <si>
    <t>RETRACTILADO</t>
  </si>
  <si>
    <t>ENE-0321-13302</t>
  </si>
  <si>
    <t>ENE-0322-13298</t>
  </si>
  <si>
    <t>CAJA DE CARTON PARA TAPONES ZAMAK</t>
  </si>
  <si>
    <t>PEGUE LINEAL MANUAL</t>
  </si>
  <si>
    <t>ENE-0323-13292</t>
  </si>
  <si>
    <t>ENE-0324-13308</t>
  </si>
  <si>
    <t>ENE-0325-13321</t>
  </si>
  <si>
    <t>ENE-0326-13310</t>
  </si>
  <si>
    <t>ENE-0327-13314</t>
  </si>
  <si>
    <t>ENE-0328-13318</t>
  </si>
  <si>
    <t>ENE-0329-13319</t>
  </si>
  <si>
    <t>ENE-0330-13316</t>
  </si>
  <si>
    <t>ENE-0331-13305</t>
  </si>
  <si>
    <t>ENE-0332-13328</t>
  </si>
  <si>
    <t>ENE-0333-13330</t>
  </si>
  <si>
    <t>ENE-0334-13323</t>
  </si>
  <si>
    <t>ENE-0335-13325</t>
  </si>
  <si>
    <t>ENE-0336-13320</t>
  </si>
  <si>
    <t>CORRUGADO ORENDAIN GENERICO 6 X 1750 ML</t>
  </si>
  <si>
    <t>PEGUE DE CAJA MANUAL</t>
  </si>
  <si>
    <t>ENE-0337-13339</t>
  </si>
  <si>
    <t>ENE-0338-13322</t>
  </si>
  <si>
    <t>ENE-0339-13335</t>
  </si>
  <si>
    <t>ENE-0340-13326</t>
  </si>
  <si>
    <t>ENE-0341-13334</t>
  </si>
  <si>
    <t>ENE-0342-13338</t>
  </si>
  <si>
    <t>ENE-0343-13332</t>
  </si>
  <si>
    <t>ENE-0344-13327</t>
  </si>
  <si>
    <t>ENE-0345-13329</t>
  </si>
  <si>
    <t>ENE-0346-13337</t>
  </si>
  <si>
    <t>ENE-0347-13336</t>
  </si>
  <si>
    <t>FEB-0348-13331</t>
  </si>
  <si>
    <t>FEB-0349-13333</t>
  </si>
  <si>
    <t>FEB-0350-13397</t>
  </si>
  <si>
    <t>FEB-0351-13396</t>
  </si>
  <si>
    <t>FEB-0352-13394</t>
  </si>
  <si>
    <t>FEB-0353-13404</t>
  </si>
  <si>
    <t>FEB-0354-13400</t>
  </si>
  <si>
    <t>FEB-0355-13422</t>
  </si>
  <si>
    <t>FEB-0356-13418</t>
  </si>
  <si>
    <t>FEB-0357-13420</t>
  </si>
  <si>
    <t>FEB-0358-13402</t>
  </si>
  <si>
    <t>FEB-0359-13416</t>
  </si>
  <si>
    <t>FEB-0360-13406</t>
  </si>
  <si>
    <t>FEB-0361-13408</t>
  </si>
  <si>
    <t>FEB-0362-13410</t>
  </si>
  <si>
    <t>FEB-0363-13411</t>
  </si>
  <si>
    <t>FEB-0364-13414</t>
  </si>
  <si>
    <t>FEB-0365-13429</t>
  </si>
  <si>
    <t>FEB-0366-13428</t>
  </si>
  <si>
    <t>FEB-0367-13425</t>
  </si>
  <si>
    <t>FEB-0368-13427</t>
  </si>
  <si>
    <t>FEB-0369-13430</t>
  </si>
  <si>
    <t>FEB-0370-13431</t>
  </si>
  <si>
    <t>FEB-0371-13433</t>
  </si>
  <si>
    <t>FEB-0372-13432</t>
  </si>
  <si>
    <t>FEB-0373-13434</t>
  </si>
  <si>
    <t>FEB-0374-13438</t>
  </si>
  <si>
    <t>FEB-0375-13436</t>
  </si>
  <si>
    <t>FEB-0376-13435</t>
  </si>
  <si>
    <t>FEB-0377-13437</t>
  </si>
  <si>
    <t>FEB-0378-13356</t>
  </si>
  <si>
    <t>FEB-0379-13357</t>
  </si>
  <si>
    <t>FEB-0380-13354</t>
  </si>
  <si>
    <t>FEB-0381-13360</t>
  </si>
  <si>
    <t>FEB-0382-13361</t>
  </si>
  <si>
    <t>FEB-0383-13368</t>
  </si>
  <si>
    <t>FEB-0384-13365</t>
  </si>
  <si>
    <t>FEB-0385-13393</t>
  </si>
  <si>
    <t>FEB-0386-13392</t>
  </si>
  <si>
    <t>FEB-0387-13363</t>
  </si>
  <si>
    <t>FEB-0388-13375</t>
  </si>
  <si>
    <t>FEB-0389-13377</t>
  </si>
  <si>
    <t>FEB-0390-13388</t>
  </si>
  <si>
    <t>FEB-0391-13385</t>
  </si>
  <si>
    <t>FEB-0392-13398</t>
  </si>
  <si>
    <t>FEB-0393-13395</t>
  </si>
  <si>
    <t>FEB-0394-13399</t>
  </si>
  <si>
    <t>FEB-0395-13407</t>
  </si>
  <si>
    <t>FEB-0396-13401</t>
  </si>
  <si>
    <t>PAD PACKING MATERIAL 2 X 15 CELLS</t>
  </si>
  <si>
    <t>CORTE PAD</t>
  </si>
  <si>
    <t>FEB-0397-13421</t>
  </si>
  <si>
    <t>CHAROLA Y DIVISOR CORTO PARA 2 X 15 CELLS</t>
  </si>
  <si>
    <t>FEB-0398-13419</t>
  </si>
  <si>
    <t>FEB-0399-13423</t>
  </si>
  <si>
    <t>FEB-0400-13424</t>
  </si>
  <si>
    <t>FEB-0401-13409</t>
  </si>
  <si>
    <t>FEB-0402-13403</t>
  </si>
  <si>
    <t>SUAJADO CHAROLA + DIVISOR CORTO</t>
  </si>
  <si>
    <t>FEB-0403-13405</t>
  </si>
  <si>
    <t>FEB-0404-13426</t>
  </si>
  <si>
    <t>FEB-0405-13412</t>
  </si>
  <si>
    <t>FEB-0406-13413</t>
  </si>
  <si>
    <t>FEB-0407-13415</t>
  </si>
  <si>
    <t>FEB-0408-13417</t>
  </si>
  <si>
    <t>FEB-0409-13341</t>
  </si>
  <si>
    <t>FEB-0410-13344</t>
  </si>
  <si>
    <t>FEB-0411-13342</t>
  </si>
  <si>
    <t>FEB-0412-13343</t>
  </si>
  <si>
    <t>FEB-0413-13345</t>
  </si>
  <si>
    <t>ENCARTES COD. 49.U030</t>
  </si>
  <si>
    <t>SANEAMIENTO</t>
  </si>
  <si>
    <t>POSTETA</t>
  </si>
  <si>
    <t>FEB-0414-13454</t>
  </si>
  <si>
    <t>FEB-0415-13441</t>
  </si>
  <si>
    <t>FEB-0416-13439</t>
  </si>
  <si>
    <t>FEB-0417-13440</t>
  </si>
  <si>
    <t>FEB-0418-13347</t>
  </si>
  <si>
    <t>FEB-0419-13346</t>
  </si>
  <si>
    <t>FEB-0420-13351</t>
  </si>
  <si>
    <t>FEB-0421-13349</t>
  </si>
  <si>
    <t>FEB-0422-13348</t>
  </si>
  <si>
    <t>PEGUE STICKER</t>
  </si>
  <si>
    <t>FEB-0423-13350</t>
  </si>
  <si>
    <t>ARMADO DE POSTETAS</t>
  </si>
  <si>
    <t>FEB-0424-13442</t>
  </si>
  <si>
    <t>FEB-0425-13443</t>
  </si>
  <si>
    <t>FEB-0426-13447</t>
  </si>
  <si>
    <t>FEB-0427-13448</t>
  </si>
  <si>
    <t>FEB-0428-13445</t>
  </si>
  <si>
    <t>FEB-0429-13444</t>
  </si>
  <si>
    <t>FEB-0430-13451</t>
  </si>
  <si>
    <t>FEB-0431-13449</t>
  </si>
  <si>
    <t>FEB-0432-13446</t>
  </si>
  <si>
    <t>FEB-0433-13352</t>
  </si>
  <si>
    <t>FEB-0434-13353</t>
  </si>
  <si>
    <t>FEB-0435-13355</t>
  </si>
  <si>
    <t>FEB-0436-13358</t>
  </si>
  <si>
    <t>FEB-0437-13452</t>
  </si>
  <si>
    <t>FEB-0438-13453</t>
  </si>
  <si>
    <t>CAJA BOOM FIRESTARTERS</t>
  </si>
  <si>
    <t>PEGUE VENTANA DE ACETATO</t>
  </si>
  <si>
    <t>FEB-0439-13359</t>
  </si>
  <si>
    <t>FEB-0440-13367</t>
  </si>
  <si>
    <t>FEB-0441-13369</t>
  </si>
  <si>
    <t>FEB-0442-13362</t>
  </si>
  <si>
    <t>FEB-0443-13450</t>
  </si>
  <si>
    <t>FEB-0444-13370</t>
  </si>
  <si>
    <t>FEB-0445-13366</t>
  </si>
  <si>
    <t>FEB-0446-13364</t>
  </si>
  <si>
    <t>FEB-0447-13371</t>
  </si>
  <si>
    <t>FEB-0448-13373</t>
  </si>
  <si>
    <t>FEB-0449-13374</t>
  </si>
  <si>
    <t>FEB-0450-13381</t>
  </si>
  <si>
    <t>FEB-0451-13383</t>
  </si>
  <si>
    <t>FEB-0452-13384</t>
  </si>
  <si>
    <t>DIVISORES LA GRITONA REPOSADO 12 X 750 ML</t>
  </si>
  <si>
    <t>FEB-0453-13382</t>
  </si>
  <si>
    <t>FEB-0454-13378</t>
  </si>
  <si>
    <t>DIVISOR</t>
  </si>
  <si>
    <t>FEB-0455-13376</t>
  </si>
  <si>
    <t>FEB-0456-13379</t>
  </si>
  <si>
    <t>FEB-0457-13386</t>
  </si>
  <si>
    <t>FEB-0458-13387</t>
  </si>
  <si>
    <t>FEB-0459-13380</t>
  </si>
  <si>
    <t>FEB-0460-13389</t>
  </si>
  <si>
    <t>FEB-0461-13391</t>
  </si>
  <si>
    <t>FEB-0462-13390</t>
  </si>
  <si>
    <t>H</t>
  </si>
  <si>
    <t>SI</t>
  </si>
  <si>
    <t>FEB-0001</t>
  </si>
  <si>
    <t>FEB-0002</t>
  </si>
  <si>
    <t>FEB-0003</t>
  </si>
  <si>
    <t>NO</t>
  </si>
  <si>
    <t>FEB-0004</t>
  </si>
  <si>
    <t>FEB-0005</t>
  </si>
  <si>
    <t>FEB-0006</t>
  </si>
  <si>
    <t>FEB-0007</t>
  </si>
  <si>
    <t>FEB-0008</t>
  </si>
  <si>
    <t>FEB-0009</t>
  </si>
  <si>
    <t>FEB-0010</t>
  </si>
  <si>
    <t>FEB-0011</t>
  </si>
  <si>
    <t>FEB-0012</t>
  </si>
  <si>
    <t>FEB-0013</t>
  </si>
  <si>
    <t>FEB-0014</t>
  </si>
  <si>
    <t>FEB-0015</t>
  </si>
  <si>
    <t>FEB-0016</t>
  </si>
  <si>
    <t>FEB-0017</t>
  </si>
  <si>
    <t>FEB-0018</t>
  </si>
  <si>
    <t>SE TERMINO EL MATERIAL</t>
  </si>
  <si>
    <t>FEB-0020</t>
  </si>
  <si>
    <t>FEB-0021</t>
  </si>
  <si>
    <t>NO SE TRABAJO</t>
  </si>
  <si>
    <t>FEB-0022</t>
  </si>
  <si>
    <t>FEB-0023</t>
  </si>
  <si>
    <t>FEB-0024</t>
  </si>
  <si>
    <t>FEB-0025</t>
  </si>
  <si>
    <t>FEB-0026</t>
  </si>
  <si>
    <t>FEB-0027</t>
  </si>
  <si>
    <t>FEB-0028</t>
  </si>
  <si>
    <t>FEB-0029</t>
  </si>
  <si>
    <t>FEB-0030</t>
  </si>
  <si>
    <t>FEB-0031</t>
  </si>
  <si>
    <t>FEB-0032</t>
  </si>
  <si>
    <t>FEB-0033</t>
  </si>
  <si>
    <t>TODO EL TURNO TRABAJO JUNTO</t>
  </si>
  <si>
    <t>FEB-0034</t>
  </si>
  <si>
    <t>FEB-0035</t>
  </si>
  <si>
    <t>FEB-0036</t>
  </si>
  <si>
    <t>COL. HNZ PERA COLOMBIA 24/113G</t>
  </si>
  <si>
    <t>ETIQUETADO (CHAROLA)</t>
  </si>
  <si>
    <t>FEB-0037</t>
  </si>
  <si>
    <t>DE 08:00 A 10:00 REENTARIMARON 1/4 DE PALET. EL TURNO NOCTURNO ENTARIMO INCORRECTAMENTE</t>
  </si>
  <si>
    <t>FEB-0038</t>
  </si>
  <si>
    <t>FEB-0039</t>
  </si>
  <si>
    <t>CORRUGADO LA GRITONA REPOSADO 12 X 750 ML</t>
  </si>
  <si>
    <t>PEGUE CAJA LA GRITONA 12 X 750 ML</t>
  </si>
  <si>
    <t>FEB-0040</t>
  </si>
  <si>
    <t>HORARIO REAL DE 06:00 A 12:40 Y DE 13:10 A 16:00</t>
  </si>
  <si>
    <t>PACKING MATERIAL CARDBOARD BOX NATURAL 37X27X27.8 CM ROHS</t>
  </si>
  <si>
    <t>PEGUE LINEAL EN PEGADORA</t>
  </si>
  <si>
    <t>FEB-0041</t>
  </si>
  <si>
    <t>FEB-0042</t>
  </si>
  <si>
    <t>FEB-0043</t>
  </si>
  <si>
    <t>DESBARBE Y ARMADO DE DIVISOR LA GRITONA 12 X 750 ML</t>
  </si>
  <si>
    <t>FEB-0044</t>
  </si>
  <si>
    <t>FEB-0045</t>
  </si>
  <si>
    <t>FEB-0046</t>
  </si>
  <si>
    <t>FEB-0047</t>
  </si>
  <si>
    <t>FEB-0048</t>
  </si>
  <si>
    <t>FEB-0049</t>
  </si>
  <si>
    <t>FEB-0050</t>
  </si>
  <si>
    <t>DE LAS 03:00 EN ADELANTE ARMO CHAROLA PARA RETRACTILADOS</t>
  </si>
  <si>
    <t>HR</t>
  </si>
  <si>
    <t>FEB-0051</t>
  </si>
  <si>
    <t>FEB-0052</t>
  </si>
  <si>
    <t>FEB-0053</t>
  </si>
  <si>
    <t>FEB-0054</t>
  </si>
  <si>
    <t>NO APLICA BONO, HORARIO CORRIDO DE 06:00 A LAS 16:00, PARA DE 08:00 A 10:00 POR NO TENER ETIQUETA IMPRESA</t>
  </si>
  <si>
    <t>FEB-0055</t>
  </si>
  <si>
    <t>FEB-0056</t>
  </si>
  <si>
    <t>FEB-0057</t>
  </si>
  <si>
    <t>FEB-0058</t>
  </si>
  <si>
    <t>FEB-0059</t>
  </si>
  <si>
    <t>FEB-0060</t>
  </si>
  <si>
    <t>REVISAR SI SE AUTORIZA PAGO DEL 50% DEL BONO EL SEGUNDO TRABAJO TIENE GANANCIA</t>
  </si>
  <si>
    <t>FEB-0061</t>
  </si>
  <si>
    <t>FEB-0062</t>
  </si>
  <si>
    <t>FEB-0063</t>
  </si>
  <si>
    <t>FEB-0064</t>
  </si>
  <si>
    <t>FEB-0065</t>
  </si>
  <si>
    <t>FEB-0066</t>
  </si>
  <si>
    <t>FEB-0067</t>
  </si>
  <si>
    <t>FEB-0068</t>
  </si>
  <si>
    <t>FEB-0069</t>
  </si>
  <si>
    <t>FEB-0070</t>
  </si>
  <si>
    <t>FEB-0071</t>
  </si>
  <si>
    <t>FEB-0072</t>
  </si>
  <si>
    <t>FEB-0073</t>
  </si>
  <si>
    <t>FEB-0074</t>
  </si>
  <si>
    <t>FEB-0075</t>
  </si>
  <si>
    <t>SUAJADO DE DIVISOR LA GRITONA 12 X 750 ML</t>
  </si>
  <si>
    <t>FEB-0076</t>
  </si>
  <si>
    <t>FEB-0077</t>
  </si>
  <si>
    <t>FEB-0078</t>
  </si>
  <si>
    <t>FEB-0079</t>
  </si>
  <si>
    <t>FEB-0080</t>
  </si>
  <si>
    <t>DE LAS 10:30 EN ADELANTE PEGARON A MANO POR ESO EL % ES BAJO</t>
  </si>
  <si>
    <t>FEB-0081</t>
  </si>
  <si>
    <t>FEB-0082</t>
  </si>
  <si>
    <t>FEB-0083</t>
  </si>
  <si>
    <t>FEB-0084</t>
  </si>
  <si>
    <t>FEB-0085</t>
  </si>
  <si>
    <t>FEB-0086</t>
  </si>
  <si>
    <t>FEB-0087</t>
  </si>
  <si>
    <t>NO APLICA BONO EL SEGUNDO TRABAJO ESTA EN PERDIDA</t>
  </si>
  <si>
    <t>FEB-0088</t>
  </si>
  <si>
    <t>NO APLICA BONO</t>
  </si>
  <si>
    <t>FEB-0089</t>
  </si>
  <si>
    <t>FEB-0090</t>
  </si>
  <si>
    <t>FEB-0091</t>
  </si>
  <si>
    <t>FEB-0092</t>
  </si>
  <si>
    <t>FALTA DE MATERIAL PARA CUMPLIR EL PLAN, ETIQUETAS. TRABAJO HACIENDO CAJA PARA EL OTRO EQUIPO</t>
  </si>
  <si>
    <t>FEB-0093</t>
  </si>
  <si>
    <t>FEB-0094</t>
  </si>
  <si>
    <t>FEB-0095</t>
  </si>
  <si>
    <t>FEB-0096</t>
  </si>
  <si>
    <t>FEB-0097</t>
  </si>
  <si>
    <t>FEB-0098</t>
  </si>
  <si>
    <t>FEB-0099</t>
  </si>
  <si>
    <t>FEB-0100</t>
  </si>
  <si>
    <t>FEB-0101</t>
  </si>
  <si>
    <t>FEB-0102</t>
  </si>
  <si>
    <t>FEB-0103</t>
  </si>
  <si>
    <t>FEB-0104</t>
  </si>
  <si>
    <t>FEB-0105</t>
  </si>
  <si>
    <t>FEB-0106</t>
  </si>
  <si>
    <t>TERMINARON A LAS 5 POR FALTA DE MAYONESA</t>
  </si>
  <si>
    <t>FEB-0107</t>
  </si>
  <si>
    <t>FEB-0108</t>
  </si>
  <si>
    <t>FEB-0109</t>
  </si>
  <si>
    <t>FEB-0110</t>
  </si>
  <si>
    <t>MANGA TERM PVC CHAROLA 48X54 CM</t>
  </si>
  <si>
    <t>CORTE MANGA</t>
  </si>
  <si>
    <t>FEB-0111</t>
  </si>
  <si>
    <t>FEB-0112</t>
  </si>
  <si>
    <t>MELANI ESTUVO EN EL EQUIPO PERO NO SE CONTEMPLO PARA EL TRABAJOO, FUE EL PILOTO DE LAS ETIQUETAS TUNY POR CÓDIGO   DE BARRAS</t>
  </si>
  <si>
    <t>FEB-0113</t>
  </si>
  <si>
    <t>FEB-0114</t>
  </si>
  <si>
    <t>FEB-0115</t>
  </si>
  <si>
    <t>FEB-0116</t>
  </si>
  <si>
    <t>FEB-0117</t>
  </si>
  <si>
    <t>FEB-0118</t>
  </si>
  <si>
    <t>FEB-0119</t>
  </si>
  <si>
    <t>FLOOR CUARESMA TAJIN</t>
  </si>
  <si>
    <t>DESBARBE DE PIEZAS</t>
  </si>
  <si>
    <t>FEB-0120</t>
  </si>
  <si>
    <t>FEB-0121</t>
  </si>
  <si>
    <t>FEB-0122</t>
  </si>
  <si>
    <t>FEB-0123</t>
  </si>
  <si>
    <t>FEB-0124</t>
  </si>
  <si>
    <t>FEB-0125</t>
  </si>
  <si>
    <t>FEB-0126</t>
  </si>
  <si>
    <t>FEB-0127</t>
  </si>
  <si>
    <t>FEB-0128</t>
  </si>
  <si>
    <t>FEB-0129</t>
  </si>
  <si>
    <t>FEB-0130</t>
  </si>
  <si>
    <t>FEB-0131</t>
  </si>
  <si>
    <t>FEB-0132</t>
  </si>
  <si>
    <t>FLOOR STAND CUARESMA TAJIN</t>
  </si>
  <si>
    <t>PEGUE MUEBLE</t>
  </si>
  <si>
    <t>FEB-0133</t>
  </si>
  <si>
    <t>FEB-0134</t>
  </si>
  <si>
    <t>FEB-0135</t>
  </si>
  <si>
    <t>DIVISOR GENERICO 6 BOTELLAS</t>
  </si>
  <si>
    <t>FEB-0136</t>
  </si>
  <si>
    <t>FEB-0137</t>
  </si>
  <si>
    <t>FEB-0138</t>
  </si>
  <si>
    <t>FEB-0139</t>
  </si>
  <si>
    <t>CORRUGADO OLLITAS 100% REPOSADO 6/750 ML</t>
  </si>
  <si>
    <t>SUAJADO</t>
  </si>
  <si>
    <t>FEB-0140</t>
  </si>
  <si>
    <t>FEB-0141</t>
  </si>
  <si>
    <t>FEB-0142</t>
  </si>
  <si>
    <t>FEB-0143</t>
  </si>
  <si>
    <t>FEB-0144</t>
  </si>
  <si>
    <t>FEB-0145</t>
  </si>
  <si>
    <t>DIVISORES PARA CAJA OLLITAS 100% REPOSADO 6 X 750 ML</t>
  </si>
  <si>
    <t>DESSBARBE Y ARMADO</t>
  </si>
  <si>
    <t>FEB-0146</t>
  </si>
  <si>
    <t>FEB-0147</t>
  </si>
  <si>
    <t>FEB-0148</t>
  </si>
  <si>
    <t>FEB-0149</t>
  </si>
  <si>
    <t>FEB-0150</t>
  </si>
  <si>
    <t>FEB-0151</t>
  </si>
  <si>
    <t>FEB-0152</t>
  </si>
  <si>
    <t>FEB-0153</t>
  </si>
  <si>
    <t>FEB-0154</t>
  </si>
  <si>
    <t>FEB-0155</t>
  </si>
  <si>
    <t>FEB-0156</t>
  </si>
  <si>
    <t>FEB-0157</t>
  </si>
  <si>
    <t>FEB-0158</t>
  </si>
  <si>
    <t>CHAROLA + DIVISOR CORTO PACKING MATERIAL 4 X 12 CELLS</t>
  </si>
  <si>
    <t>CORTE DE LAMINA</t>
  </si>
  <si>
    <t>FEB-0159</t>
  </si>
  <si>
    <t>FEB-0160</t>
  </si>
  <si>
    <t>FEB-0161</t>
  </si>
  <si>
    <t>FEB-0162</t>
  </si>
  <si>
    <t>FEB-0163</t>
  </si>
  <si>
    <t>FEB-0164</t>
  </si>
  <si>
    <t>FEB-0165</t>
  </si>
  <si>
    <t>FEB-0166</t>
  </si>
  <si>
    <t>FEB-0167</t>
  </si>
  <si>
    <t>FEB-0168</t>
  </si>
  <si>
    <t>FEB-0169</t>
  </si>
  <si>
    <t>FEB-0170</t>
  </si>
  <si>
    <t>FEB-0171</t>
  </si>
  <si>
    <t>MAR-0172</t>
  </si>
  <si>
    <t xml:space="preserve">DIVISOR LARGO + CORTO PACKING MATERIAL 4 X 12 CELLS </t>
  </si>
  <si>
    <t>MAR-0173</t>
  </si>
  <si>
    <t>SUAJADO DIVISOR CORTO</t>
  </si>
  <si>
    <t>MAR-0174</t>
  </si>
  <si>
    <t>EMPAQUE DE MUEBLE</t>
  </si>
  <si>
    <t>MAR-0175</t>
  </si>
  <si>
    <t>NO APLICA BONO EL TRABAJO TIENE PERDIDA</t>
  </si>
  <si>
    <t>MAR-0176</t>
  </si>
  <si>
    <t>NO APLICA BONO DEL TRABAJO TIENE PERDIDA</t>
  </si>
  <si>
    <t>MAR-0177</t>
  </si>
  <si>
    <t>MAR-0178</t>
  </si>
  <si>
    <t>MAR-0179</t>
  </si>
  <si>
    <t>MAR-0180</t>
  </si>
  <si>
    <t>MAR-0181</t>
  </si>
  <si>
    <t>MAR-0182</t>
  </si>
  <si>
    <t>MAR-0183</t>
  </si>
  <si>
    <t>MAR-0184</t>
  </si>
  <si>
    <t xml:space="preserve">DIVISOR LARGO  PACKING MATERIAL 4 X 12 CELLS </t>
  </si>
  <si>
    <t>MAR-0185</t>
  </si>
  <si>
    <t xml:space="preserve">DIVISOR CORTO  PACKING MATERIAL 4 X 12 CELLS </t>
  </si>
  <si>
    <t>MAR-0186</t>
  </si>
  <si>
    <t>EN EL REGISTRO MAR-0185 JUNTARON ESTE TRABAJO</t>
  </si>
  <si>
    <t>MAR-0187</t>
  </si>
  <si>
    <t>MAR-0188</t>
  </si>
  <si>
    <t>MAR-0189</t>
  </si>
  <si>
    <t>MAR-0190</t>
  </si>
  <si>
    <t>DESBARBE Y ARMADO DE CHAROLA</t>
  </si>
  <si>
    <t>MAR-0191</t>
  </si>
  <si>
    <t>MAR-0192</t>
  </si>
  <si>
    <t>MAR-0193</t>
  </si>
  <si>
    <t>PACKING MATERIAL 4 X 12 CELLS - 1300</t>
  </si>
  <si>
    <t>MAR-0194</t>
  </si>
  <si>
    <t>PEGUE LINEAL</t>
  </si>
  <si>
    <t>MAR-0195</t>
  </si>
  <si>
    <t>DESBARBE Y ARMANDO</t>
  </si>
  <si>
    <t>MAR-0196</t>
  </si>
  <si>
    <t>MAR-0197</t>
  </si>
  <si>
    <t>MAR-0198</t>
  </si>
  <si>
    <t>MAR-0199</t>
  </si>
  <si>
    <t>MAR-0200</t>
  </si>
  <si>
    <t>LAMINA KEMI</t>
  </si>
  <si>
    <t>MAR-0201</t>
  </si>
  <si>
    <t>MAR-0202</t>
  </si>
  <si>
    <t>MAR-0203</t>
  </si>
  <si>
    <t>MAR-0204</t>
  </si>
  <si>
    <t>MAR-0205</t>
  </si>
  <si>
    <t>MAR-0206</t>
  </si>
  <si>
    <t>MAR-0207</t>
  </si>
  <si>
    <t>MAR-0208</t>
  </si>
  <si>
    <t>SET DE DIVISORES CAJA YEYO HIGH PROOF</t>
  </si>
  <si>
    <t>MAR-0209</t>
  </si>
  <si>
    <t>MAR-0210</t>
  </si>
  <si>
    <t>ENCARTES 49.T778</t>
  </si>
  <si>
    <t>SANEAMIENTO ENCARTES</t>
  </si>
  <si>
    <t>MAR-0211</t>
  </si>
  <si>
    <t>MAR-0212</t>
  </si>
  <si>
    <t>MAR-0213</t>
  </si>
  <si>
    <t>MAR-0214</t>
  </si>
  <si>
    <t>MAR-0215</t>
  </si>
  <si>
    <t>MAR-0216</t>
  </si>
  <si>
    <t>MAR-0217</t>
  </si>
  <si>
    <t>MAR-0218</t>
  </si>
  <si>
    <t>MAR-0219</t>
  </si>
  <si>
    <t>MAR-0220</t>
  </si>
  <si>
    <t>MAR-0221</t>
  </si>
  <si>
    <t>MAR-0222</t>
  </si>
  <si>
    <t>DESBARBE Y ARMADO DIVISORES</t>
  </si>
  <si>
    <t>MAR-0223</t>
  </si>
  <si>
    <t>MAR-0224</t>
  </si>
  <si>
    <t>MAR-0225</t>
  </si>
  <si>
    <t>NO APLICA BONO, RETRABAJO</t>
  </si>
  <si>
    <t>MAR-0226</t>
  </si>
  <si>
    <t>MAR-0227</t>
  </si>
  <si>
    <t>MAR-0228</t>
  </si>
  <si>
    <t>MAR-0229</t>
  </si>
  <si>
    <t>MAR-0230</t>
  </si>
  <si>
    <t>MAR-0231</t>
  </si>
  <si>
    <t>MAR-0232</t>
  </si>
  <si>
    <t>MAR-0233</t>
  </si>
  <si>
    <t>MAR-0234</t>
  </si>
  <si>
    <t>CAJA YEYO HIGH PROFF</t>
  </si>
  <si>
    <t>MAR-0235</t>
  </si>
  <si>
    <t>MAR-0236</t>
  </si>
  <si>
    <t>REPROCESOS SEYTU</t>
  </si>
  <si>
    <t>RETRABAJO PALETA</t>
  </si>
  <si>
    <t>MAR-0237</t>
  </si>
  <si>
    <t>KETCHUP HEINZ DPACK 24/397G</t>
  </si>
  <si>
    <t>MAR-0238</t>
  </si>
  <si>
    <t>NO APLICA BONO, TRABAJO PARCIAL</t>
  </si>
  <si>
    <t>MAR-0239</t>
  </si>
  <si>
    <t>MAR-0240</t>
  </si>
  <si>
    <t>MAR-0241</t>
  </si>
  <si>
    <t>MAR-0242</t>
  </si>
  <si>
    <t>MAR-0243</t>
  </si>
  <si>
    <t>MAR-0244</t>
  </si>
  <si>
    <t>MAR-0245</t>
  </si>
  <si>
    <t>MAR-0246</t>
  </si>
  <si>
    <t>MAR-0247</t>
  </si>
  <si>
    <t>MAR-0248</t>
  </si>
  <si>
    <t>ACOMODO DE MATERIAL</t>
  </si>
  <si>
    <t>MAR-0249</t>
  </si>
  <si>
    <t>DIVISORES EL PADRINO REPOSADO 6 X 1000 ML</t>
  </si>
  <si>
    <t xml:space="preserve">SUAJADO </t>
  </si>
  <si>
    <t>MAR-0250</t>
  </si>
  <si>
    <t>MAR-0251</t>
  </si>
  <si>
    <t>MAR-0252</t>
  </si>
  <si>
    <t>MAR-0253</t>
  </si>
  <si>
    <t>MAR-0254</t>
  </si>
  <si>
    <t>MAR-0255</t>
  </si>
  <si>
    <t>MAR-0256</t>
  </si>
  <si>
    <t>MAR-0257</t>
  </si>
  <si>
    <t>CORRUGADO EL PADRINO REPOSADO 6 X 1000ML</t>
  </si>
  <si>
    <t>MAR-0258</t>
  </si>
  <si>
    <t>MAR-0259</t>
  </si>
  <si>
    <t>MAR-0260</t>
  </si>
  <si>
    <t>DIVISORES TEQUILA PUERTO VALLARTA 6 X 750 ML</t>
  </si>
  <si>
    <t>MAR-0261</t>
  </si>
  <si>
    <t>MAR-0262</t>
  </si>
  <si>
    <t>MAR-0263</t>
  </si>
  <si>
    <t>MAR-0264</t>
  </si>
  <si>
    <t>MAR-0265</t>
  </si>
  <si>
    <t>MAR-0266</t>
  </si>
  <si>
    <t>MAR-0267</t>
  </si>
  <si>
    <t>MAR-0268</t>
  </si>
  <si>
    <t>CAJA VINO Y LICORES AZTECA</t>
  </si>
  <si>
    <t>MAR-0269</t>
  </si>
  <si>
    <t>MAR-0270</t>
  </si>
  <si>
    <t>MAR-0271</t>
  </si>
  <si>
    <t>MAR-0272</t>
  </si>
  <si>
    <t>MAR-0273</t>
  </si>
  <si>
    <t>MAR-0274</t>
  </si>
  <si>
    <t>MAR-0275</t>
  </si>
  <si>
    <t>MAR-0276</t>
  </si>
  <si>
    <t>MAR-0277</t>
  </si>
  <si>
    <t>MAR-0278</t>
  </si>
  <si>
    <t>MAR-0279</t>
  </si>
  <si>
    <t>MAR-0280</t>
  </si>
  <si>
    <t>MAR-0281</t>
  </si>
  <si>
    <t>MAR-0282</t>
  </si>
  <si>
    <t>MAR-0283</t>
  </si>
  <si>
    <t>CORRUGADO TEQUILA PUERTO VALLARTA 6 X 750 ML</t>
  </si>
  <si>
    <t>MAR-0284</t>
  </si>
  <si>
    <t>MAR-0285</t>
  </si>
  <si>
    <t>MAR-0286</t>
  </si>
  <si>
    <t>MAR-0287</t>
  </si>
  <si>
    <t>MAR-0288</t>
  </si>
  <si>
    <t>MAR-0289</t>
  </si>
  <si>
    <t>DIVISORES ORENDAIN 60 X 50 ML</t>
  </si>
  <si>
    <t>STICKER GUILLOTINADOS</t>
  </si>
  <si>
    <t>MAR-0291</t>
  </si>
  <si>
    <t>REVISADO POR GABRIELA TORRES</t>
  </si>
  <si>
    <t>MAR-0292</t>
  </si>
  <si>
    <t>MAR-0293</t>
  </si>
  <si>
    <t>PAD BIOFARMA</t>
  </si>
  <si>
    <t>CORTE DE PAD</t>
  </si>
  <si>
    <t>MAQUILADOR</t>
  </si>
  <si>
    <t>RENDIMIENTO</t>
  </si>
  <si>
    <t>ACTIVO</t>
  </si>
  <si>
    <t>RENDIMIENTO PROMEDIO</t>
  </si>
  <si>
    <t>CANTIDAD DE TRABAJOS</t>
  </si>
  <si>
    <t>RENDIMIENTO MINIMO</t>
  </si>
  <si>
    <t>RENDIMIENTO MAXIMO</t>
  </si>
  <si>
    <t>YESENIA ROJAS AVILA</t>
  </si>
  <si>
    <t>MARIANA ALEJANDRA VAZQUEZ CONTRERAS</t>
  </si>
  <si>
    <t>MARIA GABRIELA TORRES RUBIO</t>
  </si>
  <si>
    <t>MELANI PEREZ VALENZUELA</t>
  </si>
  <si>
    <t>STEPHANIA GUADALUPE GONZALEZ VAZQUEZ</t>
  </si>
  <si>
    <t>ALONDRA ESTEFANIA GARCIA GONZALEZ</t>
  </si>
  <si>
    <t>DAFNE JOSELIN CABRERA LÓPEZ</t>
  </si>
  <si>
    <t>GUILLERMO GARCIA GONZALEZ</t>
  </si>
  <si>
    <t>MARIA ESTHER HERNANDEZ GASCA</t>
  </si>
  <si>
    <t>CANTIDAD  PLANEADA</t>
  </si>
  <si>
    <t>JOSE ANTONIO ANYA MARISCAL</t>
  </si>
  <si>
    <t>CANTIDAD REAL</t>
  </si>
  <si>
    <t>GLORIA ESMERALDA GONZALEZ GUTIERREZ</t>
  </si>
  <si>
    <t>NAYELI VIRIDIANA SOUZA MORA</t>
  </si>
  <si>
    <t>DANIELA BERENICE PEREZ ACUÑA</t>
  </si>
  <si>
    <t>MARTHA LETICIA VELASCO GONZALEZ</t>
  </si>
  <si>
    <t>ITZEL ARELY APARICIO GONZALEZ</t>
  </si>
  <si>
    <t>MARIA ESTHER TORRES CONTRERAS</t>
  </si>
  <si>
    <t>UTILIDAD ASSEMBLED</t>
  </si>
  <si>
    <t>ALONDRA HERNANDEZ GONZALEZ</t>
  </si>
  <si>
    <t>ALONDRA DARIANA ASCENCIO AVILA</t>
  </si>
  <si>
    <t>ERICK VILLA HERNANDEZ</t>
  </si>
  <si>
    <t>MARIA DE LOS ANGELES HERNANDEZ SANCHEZ</t>
  </si>
  <si>
    <t>SARA NOEMI MIRAMONTES TEPEPA</t>
  </si>
  <si>
    <t>TANIA JAZMIN CARRILLO CARBAJAL</t>
  </si>
  <si>
    <t>DAVID ROJAS AVILA</t>
  </si>
  <si>
    <t>AMERICA MONSERRATH VILLA HERNANDEZ</t>
  </si>
  <si>
    <t>XAVIER RAMIREZ HERNANDEZ</t>
  </si>
  <si>
    <t>LILIANA GUADALUPE SANCHEZ CARBAJAL</t>
  </si>
  <si>
    <t>AXEL RAMSES ESPINOZA HERNANDEZ</t>
  </si>
  <si>
    <t>OSCAR RUGEERY RIOS CORDOVA</t>
  </si>
  <si>
    <t>YADIRA XUISCOCHEA MARIN</t>
  </si>
  <si>
    <t>EDGAR DANIEL SANCHEZ GOMEZ</t>
  </si>
  <si>
    <t>ALEXIS ADRIAN VILLA HERNANDEZ</t>
  </si>
  <si>
    <t>GIOVANNA SARAHI CHAVEZ LUA</t>
  </si>
  <si>
    <t>ANDREA LIZETH LORETO VELIZ</t>
  </si>
  <si>
    <t>ANGELICA ESPARZA PEREZ</t>
  </si>
  <si>
    <t>BRENDA LIZBETH QUEZADA MARTINEZ</t>
  </si>
  <si>
    <t>ANA BELEN ROJAS AVILA</t>
  </si>
  <si>
    <t>BERTHA PATRICIA GONZALEZ MARTINEZ</t>
  </si>
  <si>
    <t>MARIA SANTOS ÁVILA VALADEZ</t>
  </si>
  <si>
    <t>ADRIANA AMBRIZ GONZALEZ</t>
  </si>
  <si>
    <t>SUJEY MILAGROS CABALLERO ZAMORANO</t>
  </si>
  <si>
    <t>DENIS GIOVANNY MENDOZA BAUTISTA</t>
  </si>
  <si>
    <t>YADIRA CABALLERO ZAMORANO</t>
  </si>
  <si>
    <t>MIGUEL AGUSTIN HERNANDEZ HERNANDEZ</t>
  </si>
  <si>
    <t>FATIMA LORENA VELASCO GONZALEZ</t>
  </si>
  <si>
    <t>ESMERALDA ELIZABETH MACIAS GONZALEZ</t>
  </si>
  <si>
    <t>GLORIA ESTELA DE LA ROSA MELCHOR</t>
  </si>
  <si>
    <t>LAYLA MARIANA DELGADILLO TORRES</t>
  </si>
  <si>
    <t>ALEJANDRA IRALI RODRIGUEZ RODRIGUEZ</t>
  </si>
  <si>
    <t>FLOR DE MARIA LOPEZ ESTRADA</t>
  </si>
  <si>
    <t>MARIA ELENA LOPEZ CARLOS</t>
  </si>
  <si>
    <t>ATENAS MICHELL ORTIZ SANCHEZ</t>
  </si>
  <si>
    <t>ANDREA GIOVANNA LOPEZ AMBRIZ</t>
  </si>
  <si>
    <t>MARIA MAGDALENA MARTINEZ VALERIA</t>
  </si>
  <si>
    <t>CARLOS EDUARDO JULIAN MORENO</t>
  </si>
  <si>
    <t>LEONARDO ANTONIO ROMERO ARANDA</t>
  </si>
  <si>
    <t>AYIIN BERENICE GARCIA MARTINEZ</t>
  </si>
  <si>
    <t>MARIA MAYELA VILLALPANDO CHAVEZ</t>
  </si>
  <si>
    <t>LAURA ISABEL ALMAZAN COLIN</t>
  </si>
  <si>
    <t>BLANCA ARACELI LOMELI CARLOS</t>
  </si>
  <si>
    <t>LILIANA ANGELICA ROJAS VELIZ</t>
  </si>
  <si>
    <t>CRISTOFER GUILLERMO LOPEZ MIJAREZ</t>
  </si>
  <si>
    <t>GISELLE ALEJANDRA GARCIA HERNÁNDEZ</t>
  </si>
  <si>
    <t>ERICK FERNANDO GONZALEZ PEREZ</t>
  </si>
  <si>
    <t>JOSELYN CITLALLY ORTIZ TORIBIO</t>
  </si>
  <si>
    <t>ISRAEL ALEJANDRO SOUZA MORA</t>
  </si>
  <si>
    <t>XOCHILT CAROLINA ENRIQUEZ GONZALEZ</t>
  </si>
  <si>
    <t>MARTHA LETICIA TORRES LOERA</t>
  </si>
  <si>
    <t>JENNIFER GUADALUPE MENDOZA GONZALEZ</t>
  </si>
  <si>
    <t>JOVANY RAFAEL GARCIA MOREIDA</t>
  </si>
  <si>
    <t>JOANA MONTES MELENDEZ</t>
  </si>
  <si>
    <t>INCI ROCIO MELENDEZ MORA</t>
  </si>
  <si>
    <t>BERTHA ALICIA RUVALCABA MURGUIA</t>
  </si>
  <si>
    <t>SAID DE JESUS DE LA ROSA HERNANDEZ</t>
  </si>
  <si>
    <t>ERNESTO MENDOZA GONZALEZ</t>
  </si>
  <si>
    <t>JOSE ALVARADO RODRIGUEZ</t>
  </si>
  <si>
    <t>ADRIANA HERNANDEZ RIVERA</t>
  </si>
  <si>
    <t>REYNA ISABEL ESTRADA ROMERO</t>
  </si>
  <si>
    <t>NOMBRE</t>
  </si>
  <si>
    <t>FECHA BAJA</t>
  </si>
  <si>
    <t>4 A 9</t>
  </si>
  <si>
    <t>6 A 4</t>
  </si>
  <si>
    <t>ALAN MOISES VILLA HERNANDEZ</t>
  </si>
  <si>
    <t>9 A 6</t>
  </si>
  <si>
    <t>ALEJANDRA YOSELIN VAZQUEZ VELASZO</t>
  </si>
  <si>
    <t>ALMA CELESTE CUEVAS VAZQUEZ</t>
  </si>
  <si>
    <t>8 A 6</t>
  </si>
  <si>
    <t>ANA NAYELI DELGADILLO ESPINOZA</t>
  </si>
  <si>
    <t>ANGELA CASILLAS LUEVANOS</t>
  </si>
  <si>
    <t>1 A 9</t>
  </si>
  <si>
    <t>AURORA CUIDADORA MAMA DE CLAU</t>
  </si>
  <si>
    <t>BERENICE GALAN LOPEZ</t>
  </si>
  <si>
    <t>BRENDA NATALI ESPINOZA TAPIA</t>
  </si>
  <si>
    <t>CARLOS ENRIQUE PEREZ GOMEZ</t>
  </si>
  <si>
    <t>CELSA CALDERON ROMERO</t>
  </si>
  <si>
    <t>CLAUDIA PATRICIA CASTRO REGALADO</t>
  </si>
  <si>
    <t>CLAUDIA ZEPEDA GONZALEZ</t>
  </si>
  <si>
    <t>DANNA PAOLA RIVERA TAPIA</t>
  </si>
  <si>
    <t>DAVID ANTONIO RIVERA BALTIERRA</t>
  </si>
  <si>
    <t>DAVID EMMANUEL MARTÍNEZ REYNOSO</t>
  </si>
  <si>
    <t>DULCE TERESITA DIAZ AGUILERA</t>
  </si>
  <si>
    <t>EDGAR OMAR NAVA HERNANDEZ</t>
  </si>
  <si>
    <t>EHRLICH PERALTA ALVAREZ</t>
  </si>
  <si>
    <t>ERIKA RUIZ VARGAS</t>
  </si>
  <si>
    <t>ESPERANZA TADEO HERNANDEZ</t>
  </si>
  <si>
    <t>ESTRELLA BAÑUELOS ALVAREZ</t>
  </si>
  <si>
    <t>EVELYN CAROLINA QUINTOR</t>
  </si>
  <si>
    <t>FRANCISCO JAVIER GONALEZ PEREZ</t>
  </si>
  <si>
    <t>IRMA CENDEJAS CRUZ</t>
  </si>
  <si>
    <t>IRMA FABIOLA GONZALEZ GARCIA</t>
  </si>
  <si>
    <t>IRMA REYES SOLIS</t>
  </si>
  <si>
    <t>ISAAC SEBASTIAN MACIAS LOZANO</t>
  </si>
  <si>
    <t>JAIME FERNANDO DAVID MARQUEZ JAIME</t>
  </si>
  <si>
    <t>JESUS UZZIEL GUILLEN VILLEGAS</t>
  </si>
  <si>
    <t>JORGE ALBERTO ALMEIDA FREGOSO</t>
  </si>
  <si>
    <t>JOSE CARLOS RIVERA TAPIA</t>
  </si>
  <si>
    <t>JOSUE DE JESUS FLORES ACOSTA</t>
  </si>
  <si>
    <t>JUAN ALBERTO LOPEZ SANDOVAL</t>
  </si>
  <si>
    <t>JUAN EMILIANO PEREZ RUVALCABA</t>
  </si>
  <si>
    <t>JUANA MANZO BERNAL</t>
  </si>
  <si>
    <t>JULIO CESAR QUIROZ MEJIA</t>
  </si>
  <si>
    <t>LAURA VERONICA ROBLES</t>
  </si>
  <si>
    <t>LETICIA RAMIREZ SANCHEZ</t>
  </si>
  <si>
    <t>LUIS ALAN RIVERA JOAQUIN</t>
  </si>
  <si>
    <t>MARCELA ELIONORA BALTAZAR FRANCO</t>
  </si>
  <si>
    <t>MARCO VINICIO ALTAMIRANO FLORES</t>
  </si>
  <si>
    <t>MARIA DE JESUS VILLANUEVA GONZALEZ</t>
  </si>
  <si>
    <t>MARIA GABRIELA GONZALEZ DIAZ</t>
  </si>
  <si>
    <t>MARIA TERESA HERNANDEZ MORAN</t>
  </si>
  <si>
    <t>MARICRUZ LOPEZ OLIVERA</t>
  </si>
  <si>
    <t>MARTHA ALICIA HERNANDEZ RIVERA</t>
  </si>
  <si>
    <t>MAYRA DOMINGUEZ JACOBO</t>
  </si>
  <si>
    <t>MAYRA ELIZABETH MOLINA ROBLES</t>
  </si>
  <si>
    <t>MAYRA JANETTE TORRES RUBIO</t>
  </si>
  <si>
    <t>MIRIAM ESPINOZA HERNANDEZ</t>
  </si>
  <si>
    <t>MONICA DOLORES AYALA RAMIREZ</t>
  </si>
  <si>
    <t>ROSELIA JUAN PEDRO</t>
  </si>
  <si>
    <t>RUBI ESMERALDA MACIAS JUAN PEDRO</t>
  </si>
  <si>
    <t>SUSANA LOPEZ MARISCAL</t>
  </si>
  <si>
    <t>ZAIRA MARIA HUERTA CHAVOYA</t>
  </si>
  <si>
    <t>SEMANA</t>
  </si>
  <si>
    <t>FECHA INICIO</t>
  </si>
  <si>
    <t>FECHA FIN</t>
  </si>
  <si>
    <t>TIMBRADO</t>
  </si>
  <si>
    <t>OTROS</t>
  </si>
  <si>
    <t>FECHAS</t>
  </si>
  <si>
    <t>INICIO</t>
  </si>
  <si>
    <t>FIN</t>
  </si>
  <si>
    <t>HORARIO</t>
  </si>
  <si>
    <t>HORAS</t>
  </si>
  <si>
    <t>SALARIO POR DIA</t>
  </si>
  <si>
    <t>SALARIO POR HORA</t>
  </si>
  <si>
    <t>UNIDAD_MEDIDA</t>
  </si>
  <si>
    <t>DIVISORES ORENDAIN GENERICO 60 X 50 ML</t>
  </si>
  <si>
    <t>DIVISOR LARGO ORENDAIN GENERICO 60 X 50 ML</t>
  </si>
  <si>
    <t>MAR-0290</t>
  </si>
  <si>
    <t>MAR-0294</t>
  </si>
  <si>
    <t>MAR-0295</t>
  </si>
  <si>
    <t>SOLO DESBARBARON SIN CANTIDAD REGISTRADA</t>
  </si>
  <si>
    <t>MAR-0296</t>
  </si>
  <si>
    <t>MAR-0297</t>
  </si>
  <si>
    <t>MAR-0298</t>
  </si>
  <si>
    <t>CORTARON MAL Y SE LES PUSO A REVISAR Y CORREGIR</t>
  </si>
  <si>
    <t>MAR-0299</t>
  </si>
  <si>
    <t>MAR-0300</t>
  </si>
  <si>
    <t>MAR-0301</t>
  </si>
  <si>
    <t>MAR-0302</t>
  </si>
  <si>
    <t>DIVISOR CORTO ORENDAIN GENERICO 60 X 50 ML</t>
  </si>
  <si>
    <t>CORRUGADO ORENDAIN 60 X 50 ML</t>
  </si>
  <si>
    <t>SUAJADO DE CAJA</t>
  </si>
  <si>
    <t>ABR-0303</t>
  </si>
  <si>
    <t>ABR-0304</t>
  </si>
  <si>
    <t>NO APLICA BONO, EL TRABAJO NO SE TERMINO EL DÍA ANTERIOR</t>
  </si>
  <si>
    <t>ABR-0305</t>
  </si>
  <si>
    <t>ABR-0306</t>
  </si>
  <si>
    <t>ABR-0307</t>
  </si>
  <si>
    <t>ABR-0308</t>
  </si>
  <si>
    <t>ABR-0310</t>
  </si>
  <si>
    <t>ABR-0309</t>
  </si>
  <si>
    <t>EL ARREGLO TOMO 45 MINUTOS</t>
  </si>
  <si>
    <t>RETRACTILADO LIBRO</t>
  </si>
  <si>
    <t>ABR-0311</t>
  </si>
  <si>
    <t>ABR-0312</t>
  </si>
  <si>
    <t>ABR-0313</t>
  </si>
  <si>
    <t>ABR-0314</t>
  </si>
  <si>
    <t>ABR-0315</t>
  </si>
  <si>
    <t>ABR-0316</t>
  </si>
  <si>
    <t>ABR-0317</t>
  </si>
  <si>
    <t>ABR-0318</t>
  </si>
  <si>
    <t>DE LAS 08:00 A LAS 10:00 DESBARBARON EL MATERIAL</t>
  </si>
  <si>
    <t>PALETA SOMBRAS MISS UNIVERSO</t>
  </si>
  <si>
    <t>ABR-0321</t>
  </si>
  <si>
    <t>ABR-0322</t>
  </si>
  <si>
    <t>ABR-0323</t>
  </si>
  <si>
    <t>ABR-0324</t>
  </si>
  <si>
    <t>ABR-0325</t>
  </si>
  <si>
    <t xml:space="preserve">MINI EXHIBIDOR KINDER </t>
  </si>
  <si>
    <t>PEGUE Y EMPAQUE</t>
  </si>
  <si>
    <t>CODIFICADO Y STICKER</t>
  </si>
  <si>
    <t>1/4 DE PALLET</t>
  </si>
  <si>
    <t>ARMADO CUARTO DE PALLET</t>
  </si>
  <si>
    <t>ABR-0319</t>
  </si>
  <si>
    <t>ABR-0320</t>
  </si>
  <si>
    <t>ABR-0326</t>
  </si>
  <si>
    <t>ABR-0327</t>
  </si>
  <si>
    <t>OS</t>
  </si>
  <si>
    <t>ABR-0328</t>
  </si>
  <si>
    <t>ABR-0329</t>
  </si>
  <si>
    <t>ABR-0330</t>
  </si>
  <si>
    <t>ABR-0331</t>
  </si>
  <si>
    <t>ABR-0332</t>
  </si>
  <si>
    <t>ABR-0333</t>
  </si>
  <si>
    <t>ABR-0334</t>
  </si>
  <si>
    <t>ABR-0335</t>
  </si>
  <si>
    <t>ABR-0336</t>
  </si>
  <si>
    <t>ABR-0337</t>
  </si>
  <si>
    <t>ABR-0338</t>
  </si>
  <si>
    <t>ABR-0339</t>
  </si>
  <si>
    <t>ABR-0340</t>
  </si>
  <si>
    <t>ABR-0341</t>
  </si>
  <si>
    <t>ABR-0342</t>
  </si>
  <si>
    <t>ABR-0343</t>
  </si>
  <si>
    <t>ABR-0344</t>
  </si>
  <si>
    <t>NO APLICA BONO, NO SE LLEGO AL RAITE EN OTROS TRABAJOS</t>
  </si>
  <si>
    <t>MANIOBRA DE DESCARGA</t>
  </si>
  <si>
    <t>DESCARGA EN MAZAPANES DE LA ROSA</t>
  </si>
  <si>
    <t>EMPLAYADO Y ACOMOD EN TARIMA</t>
  </si>
  <si>
    <t>CORRUGADO ORENDAIN 24 X 200 ML</t>
  </si>
  <si>
    <t>APOYO EN FLEXO</t>
  </si>
  <si>
    <t>CORRUGADO SUMMER PACK</t>
  </si>
  <si>
    <t>ABR-0345</t>
  </si>
  <si>
    <t>ABR-0346</t>
  </si>
  <si>
    <t>ABR-0347</t>
  </si>
  <si>
    <t>ABR-0348</t>
  </si>
  <si>
    <t>ABR-0349</t>
  </si>
  <si>
    <t>ABR-0351</t>
  </si>
  <si>
    <t>O</t>
  </si>
  <si>
    <t>ABR-0352</t>
  </si>
  <si>
    <t>ABR-0353</t>
  </si>
  <si>
    <t>ABR-0354</t>
  </si>
  <si>
    <t>EP</t>
  </si>
  <si>
    <t>EMPLAYADO</t>
  </si>
  <si>
    <t>PAQUETE</t>
  </si>
  <si>
    <t>ABR-0355</t>
  </si>
  <si>
    <t>ABR-0356</t>
  </si>
  <si>
    <t>ABR-0357</t>
  </si>
  <si>
    <t>ABR-0350</t>
  </si>
  <si>
    <t>ABR-0358</t>
  </si>
  <si>
    <t>SUMMERPACK</t>
  </si>
  <si>
    <t>ETIQUETADO DE FAJILLA</t>
  </si>
  <si>
    <t xml:space="preserve">EMPAQUE EXHIBIDOR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</si>
</sst>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#\ ##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Wingdings 2"/>
      <family val="1"/>
      <charset val="2"/>
    </font>
    <font>
      <b/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rgb="FF156082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3">
    <xf numFmtId="0" fontId="0" fillId="0" borderId="0" xfId="0"/>
    <xf numFmtId="14" fontId="0" fillId="0" borderId="0" xfId="0" applyNumberFormat="1"/>
    <xf numFmtId="20" fontId="0" fillId="0" borderId="0" xfId="0" applyNumberFormat="1"/>
    <xf numFmtId="1" fontId="0" fillId="0" borderId="0" xfId="0" applyNumberFormat="1"/>
    <xf numFmtId="44" fontId="0" fillId="0" borderId="0" xfId="1" applyFont="1"/>
    <xf numFmtId="0" fontId="0" fillId="0" borderId="0" xfId="0" applyAlignment="1">
      <alignment horizontal="center"/>
    </xf>
    <xf numFmtId="44" fontId="0" fillId="0" borderId="0" xfId="0" applyNumberFormat="1"/>
    <xf numFmtId="44" fontId="0" fillId="2" borderId="0" xfId="0" applyNumberFormat="1" applyFill="1"/>
    <xf numFmtId="0" fontId="2" fillId="0" borderId="0" xfId="0" applyFont="1" applyAlignment="1">
      <alignment horizontal="center"/>
    </xf>
    <xf numFmtId="44" fontId="2" fillId="3" borderId="0" xfId="0" applyNumberFormat="1" applyFont="1" applyFill="1"/>
    <xf numFmtId="0" fontId="0" fillId="0" borderId="0" xfId="0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9" fontId="5" fillId="0" borderId="0" xfId="2" applyFont="1" applyAlignment="1">
      <alignment horizontal="center"/>
    </xf>
    <xf numFmtId="0" fontId="6" fillId="0" borderId="0" xfId="0" applyFont="1"/>
    <xf numFmtId="44" fontId="2" fillId="2" borderId="0" xfId="1" applyFont="1" applyFill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quotePrefix="1" applyFont="1"/>
    <xf numFmtId="9" fontId="0" fillId="0" borderId="0" xfId="2" applyFont="1"/>
    <xf numFmtId="0" fontId="0" fillId="0" borderId="0" xfId="0" applyAlignment="1">
      <alignment horizontal="center" vertical="center" wrapText="1"/>
    </xf>
    <xf numFmtId="9" fontId="0" fillId="0" borderId="0" xfId="2" applyFont="1" applyAlignment="1">
      <alignment horizontal="center"/>
    </xf>
    <xf numFmtId="0" fontId="0" fillId="0" borderId="0" xfId="0" applyAlignment="1">
      <alignment vertical="center"/>
    </xf>
    <xf numFmtId="0" fontId="2" fillId="0" borderId="0" xfId="0" applyFont="1"/>
    <xf numFmtId="164" fontId="0" fillId="0" borderId="0" xfId="0" applyNumberFormat="1"/>
    <xf numFmtId="0" fontId="8" fillId="0" borderId="0" xfId="0" applyFont="1" applyAlignment="1">
      <alignment vertical="center"/>
    </xf>
    <xf numFmtId="9" fontId="0" fillId="0" borderId="0" xfId="2" applyFont="1" applyFill="1" applyAlignment="1">
      <alignment horizontal="center"/>
    </xf>
    <xf numFmtId="44" fontId="2" fillId="0" borderId="0" xfId="0" applyNumberFormat="1" applyFont="1"/>
    <xf numFmtId="0" fontId="9" fillId="0" borderId="1" xfId="0" applyFont="1" applyBorder="1"/>
    <xf numFmtId="20" fontId="9" fillId="0" borderId="1" xfId="0" applyNumberFormat="1" applyFont="1" applyBorder="1"/>
    <xf numFmtId="0" fontId="9" fillId="0" borderId="1" xfId="0" applyFont="1" applyBorder="1" applyAlignment="1">
      <alignment horizontal="center"/>
    </xf>
    <xf numFmtId="44" fontId="9" fillId="0" borderId="1" xfId="1" applyFont="1" applyBorder="1"/>
    <xf numFmtId="20" fontId="0" fillId="0" borderId="0" xfId="0" applyNumberFormat="1" applyAlignment="1">
      <alignment horizontal="center" vertical="top" wrapText="1"/>
    </xf>
    <xf numFmtId="44" fontId="0" fillId="0" borderId="0" xfId="1" applyFont="1" applyAlignment="1">
      <alignment horizontal="center" vertical="top" wrapText="1"/>
    </xf>
    <xf numFmtId="44" fontId="0" fillId="0" borderId="0" xfId="0" applyNumberFormat="1" applyAlignment="1">
      <alignment horizontal="center" vertical="top" wrapText="1"/>
    </xf>
    <xf numFmtId="44" fontId="0" fillId="2" borderId="0" xfId="0" applyNumberFormat="1" applyFill="1" applyAlignment="1">
      <alignment horizontal="center" vertical="top" wrapText="1"/>
    </xf>
    <xf numFmtId="44" fontId="2" fillId="2" borderId="0" xfId="1" applyFont="1" applyFill="1" applyAlignment="1">
      <alignment horizontal="center" vertical="top" wrapText="1"/>
    </xf>
    <xf numFmtId="44" fontId="2" fillId="3" borderId="0" xfId="0" applyNumberFormat="1" applyFont="1" applyFill="1" applyAlignment="1">
      <alignment horizontal="center" vertical="top" wrapText="1"/>
    </xf>
    <xf numFmtId="0" fontId="0" fillId="0" borderId="0" xfId="0" applyAlignment="1">
      <alignment horizontal="right" vertical="top" wrapText="1"/>
    </xf>
    <xf numFmtId="14" fontId="0" fillId="0" borderId="0" xfId="0" applyNumberFormat="1" applyAlignment="1">
      <alignment horizontal="right"/>
    </xf>
    <xf numFmtId="14" fontId="9" fillId="0" borderId="1" xfId="0" applyNumberFormat="1" applyFont="1" applyBorder="1" applyAlignment="1">
      <alignment horizontal="right"/>
    </xf>
    <xf numFmtId="0" fontId="0" fillId="5" borderId="0" xfId="0" applyFill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20" fontId="9" fillId="0" borderId="0" xfId="0" applyNumberFormat="1" applyFont="1"/>
    <xf numFmtId="9" fontId="0" fillId="5" borderId="0" xfId="2" applyFont="1" applyFill="1"/>
    <xf numFmtId="0" fontId="0" fillId="0" borderId="0" xfId="0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44" fontId="1" fillId="0" borderId="0" xfId="1" applyFont="1" applyFill="1"/>
    <xf numFmtId="44" fontId="1" fillId="0" borderId="0" xfId="1" applyFont="1"/>
    <xf numFmtId="44" fontId="1" fillId="4" borderId="0" xfId="1" applyFont="1" applyFill="1"/>
    <xf numFmtId="44" fontId="1" fillId="5" borderId="0" xfId="1" applyFont="1" applyFill="1"/>
    <xf numFmtId="9" fontId="0" fillId="0" borderId="0" xfId="2" applyFont="1" applyFill="1"/>
    <xf numFmtId="0" fontId="0" fillId="4" borderId="0" xfId="0" applyFill="1" applyAlignment="1">
      <alignment horizontal="left" vertical="center"/>
    </xf>
    <xf numFmtId="14" fontId="0" fillId="4" borderId="0" xfId="0" applyNumberFormat="1" applyFill="1"/>
    <xf numFmtId="0" fontId="0" fillId="4" borderId="0" xfId="0" applyFill="1" applyAlignment="1">
      <alignment horizontal="center"/>
    </xf>
    <xf numFmtId="0" fontId="0" fillId="4" borderId="0" xfId="0" applyFill="1"/>
    <xf numFmtId="20" fontId="0" fillId="4" borderId="0" xfId="0" applyNumberFormat="1" applyFill="1" applyAlignment="1">
      <alignment horizontal="center" vertical="top" wrapText="1"/>
    </xf>
    <xf numFmtId="0" fontId="0" fillId="4" borderId="0" xfId="0" applyFill="1" applyAlignment="1">
      <alignment horizontal="center" vertical="top" wrapText="1"/>
    </xf>
    <xf numFmtId="44" fontId="0" fillId="4" borderId="0" xfId="0" applyNumberFormat="1" applyFill="1" applyAlignment="1">
      <alignment horizontal="center" vertical="top" wrapText="1"/>
    </xf>
    <xf numFmtId="20" fontId="0" fillId="4" borderId="0" xfId="0" applyNumberFormat="1" applyFill="1"/>
    <xf numFmtId="164" fontId="0" fillId="4" borderId="0" xfId="0" applyNumberFormat="1" applyFill="1"/>
    <xf numFmtId="44" fontId="0" fillId="4" borderId="0" xfId="1" applyFont="1" applyFill="1" applyAlignment="1">
      <alignment horizontal="center" vertical="top" wrapText="1"/>
    </xf>
    <xf numFmtId="0" fontId="2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9" fontId="5" fillId="4" borderId="0" xfId="2" applyFont="1" applyFill="1" applyAlignment="1">
      <alignment horizontal="center"/>
    </xf>
    <xf numFmtId="0" fontId="0" fillId="5" borderId="0" xfId="0" applyFill="1"/>
    <xf numFmtId="44" fontId="0" fillId="5" borderId="0" xfId="1" applyFont="1" applyFill="1"/>
    <xf numFmtId="44" fontId="0" fillId="5" borderId="0" xfId="0" applyNumberFormat="1" applyFill="1"/>
    <xf numFmtId="9" fontId="7" fillId="0" borderId="0" xfId="2" quotePrefix="1" applyFont="1" applyAlignment="1">
      <alignment horizontal="center"/>
    </xf>
    <xf numFmtId="0" fontId="7" fillId="0" borderId="0" xfId="0" applyFont="1" applyAlignment="1">
      <alignment horizontal="center"/>
    </xf>
    <xf numFmtId="44" fontId="7" fillId="0" borderId="0" xfId="1" quotePrefix="1" applyFont="1" applyAlignment="1">
      <alignment horizontal="center"/>
    </xf>
    <xf numFmtId="9" fontId="7" fillId="0" borderId="0" xfId="2" applyFont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" formatCode="0"/>
    </dxf>
    <dxf>
      <numFmt numFmtId="25" formatCode="hh:mm"/>
    </dxf>
    <dxf>
      <numFmt numFmtId="25" formatCode="hh:mm"/>
    </dxf>
    <dxf>
      <numFmt numFmtId="25" formatCode="hh:mm"/>
    </dxf>
    <dxf>
      <numFmt numFmtId="19" formatCode="yyyy/mm/dd"/>
    </dxf>
    <dxf>
      <numFmt numFmtId="19" formatCode="yyyy/mm/dd"/>
    </dxf>
    <dxf>
      <numFmt numFmtId="19" formatCode="yyyy/mm/dd"/>
    </dxf>
    <dxf>
      <numFmt numFmtId="19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center" textRotation="0" wrapText="0" indent="0" justifyLastLine="0" shrinkToFit="0" readingOrder="0"/>
    </dxf>
    <dxf>
      <font>
        <b/>
        <i val="0"/>
        <color rgb="FFC00000"/>
      </font>
    </dxf>
    <dxf>
      <numFmt numFmtId="0" formatCode="General"/>
    </dxf>
    <dxf>
      <alignment horizontal="left" vertical="center" textRotation="0" wrapText="0" indent="0" justifyLastLine="0" shrinkToFit="0" readingOrder="0"/>
    </dxf>
    <dxf>
      <alignment horizontal="left" vertical="center" textRotation="0" wrapTex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 2"/>
        <family val="1"/>
        <charset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Wingdings 2"/>
        <family val="1"/>
        <charset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 2"/>
        <family val="1"/>
        <charset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Wingdings 2"/>
        <family val="1"/>
        <charset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 2"/>
        <family val="1"/>
        <charset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Wingdings 2"/>
        <family val="1"/>
        <charset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$&quot;* #,##0.00_-;\-&quot;$&quot;* #,##0.00_-;_-&quot;$&quot;* &quot;-&quot;??_-;_-@_-"/>
      <fill>
        <patternFill patternType="solid">
          <fgColor indexed="64"/>
          <bgColor theme="9" tint="0.59999389629810485"/>
        </patternFill>
      </fill>
    </dxf>
    <dxf>
      <font>
        <b/>
      </font>
      <numFmt numFmtId="34" formatCode="_-&quot;$&quot;* #,##0.00_-;\-&quot;$&quot;* #,##0.00_-;_-&quot;$&quot;* &quot;-&quot;??_-;_-@_-"/>
      <fill>
        <patternFill patternType="solid">
          <fgColor indexed="64"/>
          <bgColor theme="9" tint="0.599993896298104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$&quot;* #,##0.00_-;\-&quot;$&quot;* #,##0.00_-;_-&quot;$&quot;* &quot;-&quot;??_-;_-@_-"/>
      <fill>
        <patternFill patternType="solid">
          <fgColor indexed="64"/>
          <bgColor theme="9" tint="0.79998168889431442"/>
        </patternFill>
      </fill>
    </dxf>
    <dxf>
      <font>
        <b/>
      </font>
      <numFmt numFmtId="34" formatCode="_-&quot;$&quot;* #,##0.00_-;\-&quot;$&quot;* #,##0.00_-;_-&quot;$&quot;* &quot;-&quot;??_-;_-@_-"/>
      <fill>
        <patternFill patternType="solid">
          <fgColor indexed="64"/>
          <bgColor theme="9" tint="0.79998168889431442"/>
        </patternFill>
      </fill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  <fill>
        <patternFill patternType="solid">
          <fgColor indexed="64"/>
          <bgColor theme="9" tint="0.79998168889431442"/>
        </patternFill>
      </fill>
    </dxf>
    <dxf>
      <numFmt numFmtId="34" formatCode="_-&quot;$&quot;* #,##0.00_-;\-&quot;$&quot;* #,##0.00_-;_-&quot;$&quot;* &quot;-&quot;??_-;_-@_-"/>
      <fill>
        <patternFill patternType="solid">
          <fgColor indexed="64"/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5" formatCode="hh:mm"/>
    </dxf>
    <dxf>
      <numFmt numFmtId="25" formatCode="hh:mm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5" formatCode="hh:mm"/>
    </dxf>
    <dxf>
      <numFmt numFmtId="25" formatCode="hh:mm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dd/mm/yyyy"/>
      <alignment horizontal="right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color theme="9"/>
      </font>
    </dxf>
    <dxf>
      <font>
        <color rgb="FFC00000"/>
      </font>
    </dxf>
    <dxf>
      <font>
        <color theme="9"/>
      </font>
    </dxf>
    <dxf>
      <font>
        <color rgb="FFC00000"/>
      </font>
    </dxf>
    <dxf>
      <font>
        <color theme="5"/>
      </font>
    </dxf>
    <dxf>
      <font>
        <b/>
        <i val="0"/>
        <color theme="9"/>
      </font>
    </dxf>
    <dxf>
      <font>
        <color rgb="FFC00000"/>
      </font>
    </dxf>
    <dxf>
      <font>
        <b/>
        <i val="0"/>
        <color theme="5"/>
      </font>
    </dxf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9EFB4A-3B1D-4127-85BB-6D1E14ED87B2}" name="PLANPRODUCCION" displayName="PLANPRODUCCION" ref="A1:AF837" headerRowDxfId="67">
  <autoFilter ref="A1:AF837" xr:uid="{619EFB4A-3B1D-4127-85BB-6D1E14ED87B2}"/>
  <tableColumns count="32">
    <tableColumn id="1" xr3:uid="{952A482E-DA4F-4D52-8C36-0B9CC386D231}" name="ID" totalsRowLabel="Total" dataDxfId="66" totalsRowDxfId="65">
      <calculatedColumnFormula>UPPER(IF(PLANPRODUCCION[[#This Row],[FECHA]]&lt;=45701,_xlfn.CONCAT(TEXT(B2,"MMM"),"-",IF(ROW(A2)&lt;11,"000"&amp;ROW(A2)-1,IF(ROW(A2)&lt;101,"00"&amp;ROW(A2)-1,IF(ROW(A2)&lt;1001,"0"&amp;ROW(A2)-1,ROW(A2)-1))),"-OLD"),_xlfn.CONCAT(TEXT(B2,"MMM"),"-",IF(ROW(A2)&lt;473,"000"&amp;ROW(A2)-463,IF(ROW(A2)&lt;563,"00"&amp;ROW(A2)-463,IF(ROW(A2)&lt;1001,"0"&amp;ROW(A2)-463,ROW(A2)-463))))))</calculatedColumnFormula>
    </tableColumn>
    <tableColumn id="2" xr3:uid="{F5EA46EF-73A3-447E-A595-5082CF34A185}" name="FECHA" dataDxfId="64" totalsRowDxfId="63"/>
    <tableColumn id="3" xr3:uid="{65BF16C5-B975-41EF-83E2-A2FCA29F6782}" name="PERSONAS PLAN" dataDxfId="62" totalsRowDxfId="61"/>
    <tableColumn id="4" xr3:uid="{48AC3A6E-6B21-404E-B5E9-E6FA8454E6DD}" name="MESA" dataDxfId="60" totalsRowDxfId="59"/>
    <tableColumn id="5" xr3:uid="{9DBEBE29-3869-48A5-A023-A1D675C912CC}" name="TURNO"/>
    <tableColumn id="6" xr3:uid="{66B254E4-558B-4B3F-A3F9-5AFA6A6B8E96}" name="HORA INICIO" dataDxfId="58"/>
    <tableColumn id="7" xr3:uid="{67694C95-690F-4AB6-91BE-E315816D21E1}" name="HORA FIN" dataDxfId="57"/>
    <tableColumn id="8" xr3:uid="{E83E19AA-FD98-4963-A6FE-DF8EFCF609E0}" name="OP" dataDxfId="56" totalsRowDxfId="55"/>
    <tableColumn id="9" xr3:uid="{C5628EED-BEBE-46A9-9D72-BBE5B49FBD29}" name="PRODUCTO"/>
    <tableColumn id="10" xr3:uid="{2D15BB4D-6BC4-4EB5-B2BF-E2F84AD17A98}" name="TRABAJO"/>
    <tableColumn id="11" xr3:uid="{4BFBD747-1707-44AB-88FB-762F530B510C}" name="PIEZAS PLANEADAS" dataDxfId="54" totalsRowDxfId="53"/>
    <tableColumn id="12" xr3:uid="{4C7F5676-C633-4526-9C84-BFA3A67143EC}" name="UNIDAD DE MEDIDA"/>
    <tableColumn id="13" xr3:uid="{F580425F-7658-4551-9FD5-DC5D7E17EC11}" name="PRECIO MAQUILAS" dataDxfId="52" totalsRowDxfId="51" dataCellStyle="Moneda"/>
    <tableColumn id="14" xr3:uid="{F24FA05D-5959-434C-9D56-8AE9B51A5AD1}" name="INGRESO PLANEADO" totalsRowFunction="sum" dataDxfId="50" totalsRowDxfId="49">
      <calculatedColumnFormula>PLANPRODUCCION[[#This Row],[PIEZAS PLANEADAS]]*PLANPRODUCCION[[#This Row],[PRECIO MAQUILAS]]</calculatedColumnFormula>
    </tableColumn>
    <tableColumn id="15" xr3:uid="{DF07288F-B368-4B9B-9902-ED751238FF01}" name="PERSONAS REAL" dataDxfId="48" totalsRowDxfId="47"/>
    <tableColumn id="16" xr3:uid="{D47E049C-3F74-4963-9D85-608046F076F0}" name="HORA INICIO REAL" dataDxfId="46"/>
    <tableColumn id="17" xr3:uid="{4D572606-2F96-4DCD-A52B-6D769CF538A6}" name="HORA FIN REAL" dataDxfId="45"/>
    <tableColumn id="18" xr3:uid="{C6A2E1AB-F2BE-484E-8392-CB9C1AACEE6D}" name="PIEZAS REAL" dataDxfId="44" totalsRowDxfId="43"/>
    <tableColumn id="19" xr3:uid="{E109C87E-C896-4386-8D80-7C93290581A7}" name="INGRESO REAL" totalsRowFunction="sum" dataDxfId="42" totalsRowDxfId="41">
      <calculatedColumnFormula>PLANPRODUCCION[[#This Row],[PRECIO MAQUILAS]]*PLANPRODUCCION[[#This Row],[PIEZAS REAL]]</calculatedColumnFormula>
    </tableColumn>
    <tableColumn id="20" xr3:uid="{10FBC116-4A8D-467F-9321-6CBD7AFBD2D5}" name="PIEZAS ACTUALIZADO" dataDxfId="40" totalsRowDxfId="39">
      <calculatedColumnFormula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calculatedColumnFormula>
    </tableColumn>
    <tableColumn id="21" xr3:uid="{860BFD41-8124-42D7-B438-9D622F3A2FB2}" name="COSTO PLANEADO" totalsRowFunction="sum" dataDxfId="38" totalsRowDxfId="37" dataCellStyle="Moneda">
      <calculatedColumnFormula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calculatedColumnFormula>
    </tableColumn>
    <tableColumn id="22" xr3:uid="{4510A12C-1FD4-475D-9929-505755BE67E3}" name="COSTO REAL" totalsRowFunction="sum" dataDxfId="36" totalsRowDxfId="35" dataCellStyle="Moneda">
      <calculatedColumnFormula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calculatedColumnFormula>
    </tableColumn>
    <tableColumn id="23" xr3:uid="{EBDAC097-3548-41D7-A36D-A624422BBA7A}" name="GANANCIA ASSEMBLED" totalsRowFunction="sum" dataDxfId="34" totalsRowDxfId="33">
      <calculatedColumnFormula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calculatedColumnFormula>
    </tableColumn>
    <tableColumn id="24" xr3:uid="{A14A11B7-9AA5-4887-A60C-5D8F2D4EBBFF}" name="PLANEADO" dataDxfId="32" totalsRowDxfId="31"/>
    <tableColumn id="25" xr3:uid="{5D92A1A4-0637-4A27-AB50-98B139E5C06B}" name="PLAN EFICAZ PERSONAS" dataDxfId="30" totalsRowDxfId="29">
      <calculatedColumnFormula>IF(PLANPRODUCCION[[#This Row],[PERSONAS REAL]]&gt;0,IF(PLANPRODUCCION[[#This Row],[PLANEADO]]="si",IF(PLANPRODUCCION[[#This Row],[PERSONAS PLAN]]=PLANPRODUCCION[[#This Row],[PERSONAS REAL]],"P","Ñ"),"Ñ"),"X")</calculatedColumnFormula>
    </tableColumn>
    <tableColumn id="26" xr3:uid="{2B991179-2B87-4ACF-BCFC-224DD17B4251}" name="PLAN EFICAZ HORARIO" dataDxfId="28" totalsRowDxfId="27">
      <calculatedColumnFormula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calculatedColumnFormula>
    </tableColumn>
    <tableColumn id="27" xr3:uid="{EADB6566-4133-44DA-8F3C-E2804B5CBA6E}" name="PLAN EFICAZ CANTIDAD" dataDxfId="26" totalsRowDxfId="25">
      <calculatedColumnFormula>IF(PLANPRODUCCION[[#This Row],[PIEZAS REAL]]&gt;0,IF(PLANPRODUCCION[[#This Row],[PLANEADO]]="si",IF(PLANPRODUCCION[[#This Row],[PIEZAS PLANEADAS]]=PLANPRODUCCION[[#This Row],[PIEZAS REAL]],"P","Ñ"),"Ñ"),"X")</calculatedColumnFormula>
    </tableColumn>
    <tableColumn id="28" xr3:uid="{F525B8CE-5EA6-49C1-8360-0B170C6C58E8}" name="CUMPLIMIENTO" dataDxfId="24" totalsRowDxfId="23" dataCellStyle="Porcentaje">
      <calculatedColumnFormula>IF(PLANPRODUCCION[[#This Row],[PIEZAS REAL]]&gt;0,PLANPRODUCCION[[#This Row],[PIEZAS REAL]]/PLANPRODUCCION[[#This Row],[PIEZAS ACTUALIZADO]],)</calculatedColumnFormula>
    </tableColumn>
    <tableColumn id="29" xr3:uid="{39F20799-95BE-4FA9-99A7-3445F674776B}" name="ALERTA PLANEADO" dataDxfId="22">
      <calculatedColumnFormula>PLANPRODUCCION[[#This Row],[INGRESO PLANEADO]]&lt;PLANPRODUCCION[[#This Row],[COSTO PLANEADO]]</calculatedColumnFormula>
    </tableColumn>
    <tableColumn id="31" xr3:uid="{D9A24009-88A6-44E7-928E-67839717F231}" name="ID REGISTRO" dataDxfId="21" totalsRowDxfId="20"/>
    <tableColumn id="30" xr3:uid="{7B48BFC9-CF61-4098-B37B-114AB7C40A6B}" name="OBSERVACIONES"/>
    <tableColumn id="32" xr3:uid="{CCCF096D-591F-4A35-A00C-2C70A5F96A45}" name="DESTACAR" totalsRowFunction="count" dataDxfId="19">
      <calculatedColumnFormula>IF(COUNTIF(PLANPRODUCCION[[#This Row],[OBSERVACIONES]],"NO APLICA BONO*")&gt;0,TRUE,FALSE)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373D4FF-470F-484B-81CE-948AC4DC46CE}" name="RENDIMIENTO" displayName="RENDIMIENTO" ref="A1:D2485" totalsRowShown="0" headerRowDxfId="17">
  <autoFilter ref="A1:D2485" xr:uid="{5373D4FF-470F-484B-81CE-948AC4DC46CE}"/>
  <sortState xmlns:xlrd2="http://schemas.microsoft.com/office/spreadsheetml/2017/richdata2" ref="A2:D2485">
    <sortCondition ref="A1:A2485"/>
  </sortState>
  <tableColumns count="4">
    <tableColumn id="1" xr3:uid="{4F47A878-BDE9-45E8-821D-956E557DE97D}" name="ID"/>
    <tableColumn id="2" xr3:uid="{FAB2ABF9-EC80-4381-86A3-F35C5273C46C}" name="MAQUILADOR"/>
    <tableColumn id="3" xr3:uid="{815EE337-BA1F-44D3-80A2-1D6E50DC41DB}" name="RENDIMIENTO" dataCellStyle="Porcentaje"/>
    <tableColumn id="4" xr3:uid="{55190A54-0C81-4CEF-BFAC-270568AE7AD6}" name="ACTIVO" dataDxfId="16" dataCellStyle="Porcentaje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5EB6930-12E2-405B-BC9C-BB46E57CEC8D}" name="RES_RENDIMIENTO" displayName="RES_RENDIMIENTO" ref="F1:J49" totalsRowShown="0" headerRowDxfId="15" dataDxfId="14" dataCellStyle="Porcentaje">
  <autoFilter ref="F1:J49" xr:uid="{F5EB6930-12E2-405B-BC9C-BB46E57CEC8D}"/>
  <sortState xmlns:xlrd2="http://schemas.microsoft.com/office/spreadsheetml/2017/richdata2" ref="F2:J49">
    <sortCondition descending="1" ref="G1:G49"/>
  </sortState>
  <tableColumns count="5">
    <tableColumn id="1" xr3:uid="{2C1F557B-3553-445B-9BE8-4E09107C3163}" name="MAQUILADOR"/>
    <tableColumn id="2" xr3:uid="{0FA8AFE6-B82B-4942-9C72-74C19DD14880}" name="RENDIMIENTO PROMEDIO" dataDxfId="13" dataCellStyle="Porcentaje">
      <calculatedColumnFormula>SUMIF(RENDIMIENTO[MAQUILADOR],F2,RENDIMIENTO[RENDIMIENTO])/COUNTIF(RENDIMIENTO[MAQUILADOR],F2)</calculatedColumnFormula>
    </tableColumn>
    <tableColumn id="3" xr3:uid="{D7922727-F332-44BF-8E7B-5C938C373ABC}" name="CANTIDAD DE TRABAJOS" dataDxfId="12">
      <calculatedColumnFormula>COUNTIF(RENDIMIENTO[MAQUILADOR],F2)</calculatedColumnFormula>
    </tableColumn>
    <tableColumn id="4" xr3:uid="{90D9378A-1979-4C88-B837-73ECBC46CD0B}" name="RENDIMIENTO MINIMO" dataDxfId="11" dataCellStyle="Porcentaje">
      <calculatedColumnFormula array="1">MIN(_xlfn._xlws.FILTER(RENDIMIENTO[[MAQUILADOR]:[RENDIMIENTO]],RENDIMIENTO[MAQUILADOR]=F2,"N/A"))</calculatedColumnFormula>
    </tableColumn>
    <tableColumn id="5" xr3:uid="{C406B192-D545-407A-B15A-88B6A4BC0C54}" name="RENDIMIENTO MAXIMO" dataDxfId="10" dataCellStyle="Porcentaje">
      <calculatedColumnFormula array="1">MAX(_xlfn._xlws.FILTER(RENDIMIENTO[[MAQUILADOR]:[RENDIMIENTO]],RENDIMIENTO[MAQUILADOR]=F2,"N/A"))</calculatedColumnFormula>
    </tableColumn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CF216A-66E0-4DD8-89CB-D1EF76A22F0C}" name="MAQUILADORES" displayName="MAQUILADORES" ref="A1:D135" totalsRowShown="0">
  <autoFilter ref="A1:D135" xr:uid="{11CF216A-66E0-4DD8-89CB-D1EF76A22F0C}"/>
  <sortState xmlns:xlrd2="http://schemas.microsoft.com/office/spreadsheetml/2017/richdata2" ref="A2:D135">
    <sortCondition ref="A1:A135"/>
  </sortState>
  <tableColumns count="4">
    <tableColumn id="1" xr3:uid="{D26FC89D-72EF-48BB-B0ED-5E86A164FE23}" name="NOMBRE"/>
    <tableColumn id="2" xr3:uid="{3E2A0D94-BD7F-4FD7-970B-79F3281CFF59}" name="TURNO"/>
    <tableColumn id="3" xr3:uid="{0F342A03-A27E-46DF-8CE4-C3F7F0E30C90}" name="ACTIVO"/>
    <tableColumn id="4" xr3:uid="{AB02E9DA-BE56-4C49-8911-8F5DD41494EA}" name="FECHA BAJA" dataDxfId="9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33F5B3-5F78-4764-AB91-71AB8655991A}" name="PAGOSEMANAL" displayName="PAGOSEMANAL" ref="A1:E5" totalsRowShown="0">
  <autoFilter ref="A1:E5" xr:uid="{7033F5B3-5F78-4764-AB91-71AB8655991A}"/>
  <tableColumns count="5">
    <tableColumn id="1" xr3:uid="{CFB1B8D2-6308-4B4A-9062-6837DCDD6C0C}" name="SEMANA">
      <calculatedColumnFormula>IF(PAGOSEMANAL[[#This Row],[FECHA INICIO]]="","",UPPER(_xlfn.CONCAT("SEMANA DEL ",DAY(PAGOSEMANAL[[#This Row],[FECHA INICIO]]),IF(MONTH(PAGOSEMANAL[[#This Row],[FECHA INICIO]])=MONTH(PAGOSEMANAL[[#This Row],[FECHA FIN]]),_xlfn.CONCAT(" AL ",DAY(PAGOSEMANAL[[#This Row],[FECHA FIN]])," DE ",TEXT(PAGOSEMANAL[[#This Row],[FECHA FIN]],"MMMM")),_xlfn.CONCAT(" DE ",TEXT(PAGOSEMANAL[[#This Row],[FECHA INICIO]],"MMMM")," AL ",DAY(PAGOSEMANAL[[#This Row],[FECHA FIN]])," DE ",TEXT(PAGOSEMANAL[[#This Row],[FECHA FIN]],"MMMM"))))))</calculatedColumnFormula>
    </tableColumn>
    <tableColumn id="2" xr3:uid="{02D49BA9-EDC9-4B43-8A22-21C99B8F8ADF}" name="FECHA INICIO" dataDxfId="8"/>
    <tableColumn id="3" xr3:uid="{56852435-2163-4D7E-AE0B-F8BAA5CD7F5A}" name="FECHA FIN" dataDxfId="7"/>
    <tableColumn id="4" xr3:uid="{699230E9-9E4D-4876-BE37-6840963957D3}" name="TIMBRADO" dataCellStyle="Moneda"/>
    <tableColumn id="5" xr3:uid="{8BF208C3-7AF5-44CF-BC21-58243B812CF5}" name="OTROS" dataCellStyle="Moneda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6B280A-C2CC-48ED-82F9-7FA5B61D740D}" name="FEC_2025" displayName="FEC_2025" ref="A1:A366" totalsRowShown="0">
  <autoFilter ref="A1:A366" xr:uid="{D16B280A-C2CC-48ED-82F9-7FA5B61D740D}"/>
  <tableColumns count="1">
    <tableColumn id="1" xr3:uid="{E3DD2360-E3B1-4285-8ADC-E85188857AE4}" name="FECHAS" dataDxfId="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1349932-8DA3-42E2-A8CE-566DF816E3E3}" name="TURNOS" displayName="TURNOS" ref="C1:I6" totalsRowShown="0">
  <autoFilter ref="C1:I6" xr:uid="{81349932-8DA3-42E2-A8CE-566DF816E3E3}"/>
  <tableColumns count="7">
    <tableColumn id="1" xr3:uid="{E3E4FD05-C991-46AA-84C9-45C0B8E9A613}" name="TURNO"/>
    <tableColumn id="2" xr3:uid="{8CF64753-2678-43B4-80FF-847CE9C4EB35}" name="INICIO" dataDxfId="5"/>
    <tableColumn id="3" xr3:uid="{5E25715E-FB72-4384-896B-00E0690CE1D5}" name="FIN" dataDxfId="4"/>
    <tableColumn id="4" xr3:uid="{B6DAFF25-362B-4944-95C8-3A5289F3EB6A}" name="HORARIO" dataDxfId="3"/>
    <tableColumn id="5" xr3:uid="{56994180-B056-4ACD-81E0-3E71A5C28967}" name="HORAS" dataDxfId="2"/>
    <tableColumn id="6" xr3:uid="{859C0833-F485-4D3A-849B-FF57E60B5D55}" name="SALARIO POR DIA" dataDxfId="1" dataCellStyle="Moneda"/>
    <tableColumn id="7" xr3:uid="{A6654B17-06BB-428C-9B29-9803F745CE28}" name="SALARIO POR HORA" dataDxfId="0" dataCellStyle="Moneda">
      <calculatedColumnFormula>H2/G2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4CC72B-F9FC-40DB-8BC2-4AA434E9ADD4}" name="UDM" displayName="UDM" ref="K1:K7" totalsRowShown="0">
  <autoFilter ref="K1:K7" xr:uid="{CB4CC72B-F9FC-40DB-8BC2-4AA434E9ADD4}"/>
  <tableColumns count="1">
    <tableColumn id="1" xr3:uid="{5368C653-61A8-4BB4-8DC0-79F61093F2B8}" name="UNIDAD_MEDIDA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C0AD2-FB61-4526-B884-0D06F5D7547A}">
  <sheetPr codeName="Hoja6"/>
  <dimension ref="A1:J32"/>
  <sheetViews>
    <sheetView workbookViewId="0">
      <selection activeCell="H10" sqref="H10"/>
    </sheetView>
  </sheetViews>
  <sheetFormatPr baseColWidth="10" defaultColWidth="11.42578125" defaultRowHeight="15" x14ac:dyDescent="0.25"/>
  <cols>
    <col min="1" max="1" width="22.28515625" bestFit="1" customWidth="1"/>
    <col min="2" max="2" width="15.42578125" bestFit="1" customWidth="1"/>
    <col min="7" max="7" width="20.5703125" bestFit="1" customWidth="1"/>
    <col min="8" max="8" width="14.5703125" bestFit="1" customWidth="1"/>
    <col min="10" max="10" width="15.5703125" bestFit="1" customWidth="1"/>
  </cols>
  <sheetData>
    <row r="1" spans="1:10" x14ac:dyDescent="0.25">
      <c r="A1" cm="1">
        <f t="array" ref="A1">_xlfn._xlws.PY(0,0,PLANPRODUCCION[[#Headers],[#Data]],H1,H2)</f>
        <v>6</v>
      </c>
      <c r="G1" t="s">
        <v>0</v>
      </c>
      <c r="H1" s="1">
        <f>VLOOKUP('RESUMEN SEMANAL'!$AM$3,PAGOSEMANAL[#Data],2,FALSE)</f>
        <v>45703</v>
      </c>
      <c r="J1" t="str" cm="1">
        <f t="array" ref="J1:J32">_xlfn._xlws.PY(1,0)</f>
        <v>ID</v>
      </c>
    </row>
    <row r="2" spans="1:10" x14ac:dyDescent="0.25">
      <c r="G2" t="s">
        <v>1</v>
      </c>
      <c r="H2" s="1">
        <f>H1+6</f>
        <v>45709</v>
      </c>
      <c r="J2" t="str">
        <v>FECHA</v>
      </c>
    </row>
    <row r="3" spans="1:10" x14ac:dyDescent="0.25">
      <c r="J3" t="str">
        <v>MAQUILA_P</v>
      </c>
    </row>
    <row r="4" spans="1:10" x14ac:dyDescent="0.25">
      <c r="G4" t="s">
        <v>2</v>
      </c>
      <c r="H4" cm="1">
        <f t="array" ref="H4">_xlfn._xlws.PY(2,0)</f>
        <v>73</v>
      </c>
      <c r="J4" t="str">
        <v>MESA</v>
      </c>
    </row>
    <row r="5" spans="1:10" x14ac:dyDescent="0.25">
      <c r="G5" t="s">
        <v>3</v>
      </c>
      <c r="H5" cm="1">
        <f t="array" ref="H5">_xlfn._xlws.PY(3,0)</f>
        <v>69</v>
      </c>
      <c r="J5" t="str">
        <v>TURNO</v>
      </c>
    </row>
    <row r="6" spans="1:10" x14ac:dyDescent="0.25">
      <c r="G6" t="s">
        <v>4</v>
      </c>
      <c r="H6" cm="1">
        <f t="array" ref="H6">_xlfn._xlws.PY(4,0)</f>
        <v>4</v>
      </c>
      <c r="J6" t="str">
        <v>HR_INI_P</v>
      </c>
    </row>
    <row r="7" spans="1:10" x14ac:dyDescent="0.25">
      <c r="G7" t="s">
        <v>5</v>
      </c>
      <c r="H7" cm="1">
        <f t="array" ref="H7">_xlfn._xlws.PY(5,0)</f>
        <v>14</v>
      </c>
      <c r="J7" t="str">
        <v>HR_FIN_P</v>
      </c>
    </row>
    <row r="8" spans="1:10" x14ac:dyDescent="0.25">
      <c r="G8" t="s">
        <v>6</v>
      </c>
      <c r="H8" cm="1">
        <f t="array" ref="H8">_xlfn._xlws.PY(6,0)</f>
        <v>14</v>
      </c>
      <c r="J8" t="str">
        <v>OP</v>
      </c>
    </row>
    <row r="9" spans="1:10" x14ac:dyDescent="0.25">
      <c r="J9" t="str">
        <v>PRODUCTO</v>
      </c>
    </row>
    <row r="10" spans="1:10" x14ac:dyDescent="0.25">
      <c r="G10" t="s">
        <v>7</v>
      </c>
      <c r="H10" cm="1">
        <f t="array" ref="H10">_xlfn._xlws.PY(7,0)</f>
        <v>38</v>
      </c>
      <c r="J10" t="str">
        <v>TRABAJO</v>
      </c>
    </row>
    <row r="11" spans="1:10" x14ac:dyDescent="0.25">
      <c r="G11" t="s">
        <v>8</v>
      </c>
      <c r="H11" cm="1">
        <f t="array" ref="H11">_xlfn._xlws.PY(8,0)</f>
        <v>42</v>
      </c>
      <c r="J11" t="str">
        <v>PIEZAS_P</v>
      </c>
    </row>
    <row r="12" spans="1:10" x14ac:dyDescent="0.25">
      <c r="G12" t="s">
        <v>9</v>
      </c>
      <c r="H12" cm="1">
        <f t="array" ref="H12">_xlfn._xlws.PY(9,0)</f>
        <v>6</v>
      </c>
      <c r="J12" t="str">
        <v>UDM</v>
      </c>
    </row>
    <row r="13" spans="1:10" x14ac:dyDescent="0.25">
      <c r="J13" t="str">
        <v>PRECIO</v>
      </c>
    </row>
    <row r="14" spans="1:10" x14ac:dyDescent="0.25">
      <c r="J14" t="str">
        <v>INGRESO_P</v>
      </c>
    </row>
    <row r="15" spans="1:10" x14ac:dyDescent="0.25">
      <c r="J15" t="str">
        <v>MAQUILA_R</v>
      </c>
    </row>
    <row r="16" spans="1:10" x14ac:dyDescent="0.25">
      <c r="J16" t="str">
        <v>HR_INI_R</v>
      </c>
    </row>
    <row r="17" spans="10:10" x14ac:dyDescent="0.25">
      <c r="J17" t="str">
        <v>HR_FIN_R</v>
      </c>
    </row>
    <row r="18" spans="10:10" x14ac:dyDescent="0.25">
      <c r="J18" t="str">
        <v>PIEZAS_R</v>
      </c>
    </row>
    <row r="19" spans="10:10" x14ac:dyDescent="0.25">
      <c r="J19" t="str">
        <v>INGRESO_R</v>
      </c>
    </row>
    <row r="20" spans="10:10" x14ac:dyDescent="0.25">
      <c r="J20" t="str">
        <v>PIEZAS_A</v>
      </c>
    </row>
    <row r="21" spans="10:10" x14ac:dyDescent="0.25">
      <c r="J21" t="str">
        <v>COSTO_P</v>
      </c>
    </row>
    <row r="22" spans="10:10" x14ac:dyDescent="0.25">
      <c r="J22" t="str">
        <v>COSTO_R</v>
      </c>
    </row>
    <row r="23" spans="10:10" x14ac:dyDescent="0.25">
      <c r="J23" t="str">
        <v>UTILIDAD</v>
      </c>
    </row>
    <row r="24" spans="10:10" x14ac:dyDescent="0.25">
      <c r="J24" t="str">
        <v>PLANEADO</v>
      </c>
    </row>
    <row r="25" spans="10:10" x14ac:dyDescent="0.25">
      <c r="J25" t="str">
        <v>PE_MAQUILA</v>
      </c>
    </row>
    <row r="26" spans="10:10" x14ac:dyDescent="0.25">
      <c r="J26" t="str">
        <v>PE_HORARIO</v>
      </c>
    </row>
    <row r="27" spans="10:10" x14ac:dyDescent="0.25">
      <c r="J27" t="str">
        <v>PE_CANTIDAD</v>
      </c>
    </row>
    <row r="28" spans="10:10" x14ac:dyDescent="0.25">
      <c r="J28" t="str">
        <v>CUMPLIMIENTO</v>
      </c>
    </row>
    <row r="29" spans="10:10" x14ac:dyDescent="0.25">
      <c r="J29" t="str">
        <v>ALERTA_P</v>
      </c>
    </row>
    <row r="30" spans="10:10" x14ac:dyDescent="0.25">
      <c r="J30" t="str">
        <v>ID_REG</v>
      </c>
    </row>
    <row r="31" spans="10:10" x14ac:dyDescent="0.25">
      <c r="J31" t="str">
        <v>OBSERVACIONES</v>
      </c>
    </row>
    <row r="32" spans="10:10" x14ac:dyDescent="0.25">
      <c r="J32" t="str">
        <v>DESTACAR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10AC9-102A-4F8A-9C72-7E619BAAB24D}">
  <sheetPr codeName="Hoja5"/>
  <dimension ref="A1:BO30"/>
  <sheetViews>
    <sheetView topLeftCell="AM3" workbookViewId="0">
      <selection activeCell="AM3" sqref="AM3:BJ3"/>
    </sheetView>
  </sheetViews>
  <sheetFormatPr baseColWidth="10" defaultColWidth="11.42578125" defaultRowHeight="15" x14ac:dyDescent="0.25"/>
  <cols>
    <col min="1" max="345" width="1.7109375" customWidth="1"/>
  </cols>
  <sheetData>
    <row r="1" spans="1:67" ht="18.75" x14ac:dyDescent="0.3">
      <c r="A1" s="16" t="s">
        <v>10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67" ht="18.75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</row>
    <row r="3" spans="1:67" ht="18.75" x14ac:dyDescent="0.3">
      <c r="A3" s="16"/>
      <c r="B3" s="16" t="s">
        <v>11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70" t="s">
        <v>12</v>
      </c>
      <c r="AN3" s="70"/>
      <c r="AO3" s="70"/>
      <c r="AP3" s="70"/>
      <c r="AQ3" s="70"/>
      <c r="AR3" s="70"/>
      <c r="AS3" s="70"/>
      <c r="AT3" s="70"/>
      <c r="AU3" s="70"/>
      <c r="AV3" s="70"/>
      <c r="AW3" s="70"/>
      <c r="AX3" s="70"/>
      <c r="AY3" s="70"/>
      <c r="AZ3" s="70"/>
      <c r="BA3" s="70"/>
      <c r="BB3" s="70"/>
      <c r="BC3" s="70"/>
      <c r="BD3" s="70"/>
      <c r="BE3" s="70"/>
      <c r="BF3" s="70"/>
      <c r="BG3" s="70"/>
      <c r="BH3" s="70"/>
      <c r="BI3" s="70"/>
      <c r="BJ3" s="70"/>
      <c r="BK3" s="16"/>
      <c r="BL3" s="16"/>
      <c r="BM3" s="16"/>
      <c r="BN3" s="16"/>
      <c r="BO3" s="16"/>
    </row>
    <row r="4" spans="1:67" ht="18.75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</row>
    <row r="5" spans="1:67" ht="18.75" x14ac:dyDescent="0.3">
      <c r="A5" s="17" t="s">
        <v>13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6"/>
      <c r="AE5" s="16"/>
      <c r="AF5" s="16"/>
      <c r="AG5" s="16"/>
      <c r="AH5" s="16"/>
      <c r="AI5" s="16"/>
      <c r="AJ5" s="16"/>
      <c r="AK5" s="16"/>
      <c r="AL5" s="16"/>
      <c r="AM5" s="71">
        <f>SUM(SUMIF(PLANPRODUCCION[FECHA],VLOOKUP($AM$3,PAGOSEMANAL[#Data],2,FALSE),PLANPRODUCCION[GANANCIA ASSEMBLED]),SUMIF(PLANPRODUCCION[FECHA],VLOOKUP($AM$3,PAGOSEMANAL[#Data],2,FALSE)+1,PLANPRODUCCION[GANANCIA ASSEMBLED]),SUMIF(PLANPRODUCCION[FECHA],VLOOKUP($AM$3,PAGOSEMANAL[#Data],2,FALSE)+2,PLANPRODUCCION[GANANCIA ASSEMBLED]),SUMIF(PLANPRODUCCION[FECHA],VLOOKUP($AM$3,PAGOSEMANAL[#Data],2,FALSE)+3,PLANPRODUCCION[GANANCIA ASSEMBLED]),SUMIF(PLANPRODUCCION[FECHA],VLOOKUP($AM$3,PAGOSEMANAL[#Data],2,FALSE)+4,PLANPRODUCCION[GANANCIA ASSEMBLED]),SUMIF(PLANPRODUCCION[FECHA],VLOOKUP($AM$3,PAGOSEMANAL[#Data],2,FALSE)+5,PLANPRODUCCION[GANANCIA ASSEMBLED]),SUMIF(PLANPRODUCCION[FECHA],VLOOKUP($AM$3,PAGOSEMANAL[#Data],2,FALSE)+6,PLANPRODUCCION[GANANCIA ASSEMBLED]))</f>
        <v>7653.8888888888878</v>
      </c>
      <c r="AN5" s="71"/>
      <c r="AO5" s="71"/>
      <c r="AP5" s="71"/>
      <c r="AQ5" s="71"/>
      <c r="AR5" s="71"/>
      <c r="AS5" s="71"/>
      <c r="AT5" s="71"/>
      <c r="AU5" s="71"/>
      <c r="AV5" s="71"/>
      <c r="AW5" s="18"/>
      <c r="AX5" s="72">
        <f>AM5/AM7</f>
        <v>6.7313268829466366E-2</v>
      </c>
      <c r="AY5" s="72"/>
      <c r="AZ5" s="72"/>
      <c r="BA5" s="72"/>
      <c r="BB5" s="18"/>
      <c r="BC5" s="18"/>
      <c r="BD5" s="18"/>
    </row>
    <row r="6" spans="1:67" ht="18.75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</row>
    <row r="7" spans="1:67" ht="18.75" x14ac:dyDescent="0.3">
      <c r="A7" s="16"/>
      <c r="B7" s="16" t="s">
        <v>14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71">
        <f>SUM(SUMIF(PLANPRODUCCION[FECHA],VLOOKUP($AM$3,PAGOSEMANAL[#Data],2,FALSE),PLANPRODUCCION[INGRESO REAL]),SUMIF(PLANPRODUCCION[FECHA],VLOOKUP($AM$3,PAGOSEMANAL[#Data],2,FALSE)+1,PLANPRODUCCION[INGRESO REAL]),SUMIF(PLANPRODUCCION[FECHA],VLOOKUP($AM$3,PAGOSEMANAL[#Data],2,FALSE)+2,PLANPRODUCCION[INGRESO REAL]),SUMIF(PLANPRODUCCION[FECHA],VLOOKUP($AM$3,PAGOSEMANAL[#Data],2,FALSE)+3,PLANPRODUCCION[INGRESO REAL]),SUMIF(PLANPRODUCCION[FECHA],VLOOKUP($AM$3,PAGOSEMANAL[#Data],2,FALSE)+4,PLANPRODUCCION[INGRESO REAL]),SUMIF(PLANPRODUCCION[FECHA],VLOOKUP($AM$3,PAGOSEMANAL[#Data],2,FALSE)+5,PLANPRODUCCION[INGRESO REAL]),SUMIF(PLANPRODUCCION[FECHA],VLOOKUP($AM$3,PAGOSEMANAL[#Data],2,FALSE)+6,PLANPRODUCCION[INGRESO REAL]))</f>
        <v>113705.5</v>
      </c>
      <c r="AN7" s="71"/>
      <c r="AO7" s="71"/>
      <c r="AP7" s="71"/>
      <c r="AQ7" s="71"/>
      <c r="AR7" s="71"/>
      <c r="AS7" s="71"/>
      <c r="AT7" s="71"/>
      <c r="AU7" s="71"/>
      <c r="AV7" s="71"/>
      <c r="AW7" s="16"/>
      <c r="AX7" s="16"/>
      <c r="AY7" s="16"/>
      <c r="AZ7" s="16"/>
      <c r="BA7" s="16"/>
      <c r="BB7" s="16"/>
      <c r="BC7" s="16"/>
      <c r="BD7" s="16"/>
    </row>
    <row r="8" spans="1:67" ht="18.75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</row>
    <row r="9" spans="1:67" ht="18.75" x14ac:dyDescent="0.3">
      <c r="A9" s="16"/>
      <c r="B9" s="16" t="s">
        <v>15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71">
        <f>SUM(SUMIF(PLANPRODUCCION[FECHA],VLOOKUP($AM$3,PAGOSEMANAL[#Data],2,FALSE),PLANPRODUCCION[COSTO REAL]),SUMIF(PLANPRODUCCION[FECHA],VLOOKUP($AM$3,PAGOSEMANAL[#Data],2,FALSE)+1,PLANPRODUCCION[COSTO REAL]),SUMIF(PLANPRODUCCION[FECHA],VLOOKUP($AM$3,PAGOSEMANAL[#Data],2,FALSE)+2,PLANPRODUCCION[COSTO REAL]),SUMIF(PLANPRODUCCION[FECHA],VLOOKUP($AM$3,PAGOSEMANAL[#Data],2,FALSE)+3,PLANPRODUCCION[COSTO REAL]),SUMIF(PLANPRODUCCION[FECHA],VLOOKUP($AM$3,PAGOSEMANAL[#Data],2,FALSE)+4,PLANPRODUCCION[COSTO REAL]),SUMIF(PLANPRODUCCION[FECHA],VLOOKUP($AM$3,PAGOSEMANAL[#Data],2,FALSE)+5,PLANPRODUCCION[COSTO REAL]),SUMIF(PLANPRODUCCION[FECHA],VLOOKUP($AM$3,PAGOSEMANAL[#Data],2,FALSE)+6,PLANPRODUCCION[COSTO REAL]))</f>
        <v>110834.61111111111</v>
      </c>
      <c r="AN9" s="71"/>
      <c r="AO9" s="71"/>
      <c r="AP9" s="71"/>
      <c r="AQ9" s="71"/>
      <c r="AR9" s="71"/>
      <c r="AS9" s="71"/>
      <c r="AT9" s="71"/>
      <c r="AU9" s="71"/>
      <c r="AV9" s="71"/>
      <c r="AW9" s="16"/>
      <c r="AX9" s="16"/>
      <c r="AY9" s="16"/>
      <c r="AZ9" s="16"/>
      <c r="BA9" s="16"/>
      <c r="BB9" s="16"/>
      <c r="BC9" s="16"/>
      <c r="BD9" s="16"/>
    </row>
    <row r="10" spans="1:67" ht="18.75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</row>
    <row r="11" spans="1:67" ht="18.75" x14ac:dyDescent="0.3">
      <c r="A11" s="16"/>
      <c r="B11" s="16" t="s">
        <v>16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71">
        <f>SUM(SUMIF(PLANPRODUCCION[FECHA],VLOOKUP($AM$3,PAGOSEMANAL[#Data],2,FALSE),PLANPRODUCCION[INGRESO PLANEADO]),SUMIF(PLANPRODUCCION[FECHA],VLOOKUP($AM$3,PAGOSEMANAL[#Data],2,FALSE)+1,PLANPRODUCCION[INGRESO PLANEADO]),SUMIF(PLANPRODUCCION[FECHA],VLOOKUP($AM$3,PAGOSEMANAL[#Data],2,FALSE)+2,PLANPRODUCCION[INGRESO PLANEADO]),SUMIF(PLANPRODUCCION[FECHA],VLOOKUP($AM$3,PAGOSEMANAL[#Data],2,FALSE)+3,PLANPRODUCCION[INGRESO PLANEADO]),SUMIF(PLANPRODUCCION[FECHA],VLOOKUP($AM$3,PAGOSEMANAL[#Data],2,FALSE)+4,PLANPRODUCCION[INGRESO PLANEADO]),SUMIF(PLANPRODUCCION[FECHA],VLOOKUP($AM$3,PAGOSEMANAL[#Data],2,FALSE)+5,PLANPRODUCCION[INGRESO PLANEADO]),SUMIF(PLANPRODUCCION[FECHA],VLOOKUP($AM$3,PAGOSEMANAL[#Data],2,FALSE)+6,PLANPRODUCCION[INGRESO PLANEADO]))</f>
        <v>191418.9</v>
      </c>
      <c r="AN11" s="71"/>
      <c r="AO11" s="71"/>
      <c r="AP11" s="71"/>
      <c r="AQ11" s="71"/>
      <c r="AR11" s="71"/>
      <c r="AS11" s="71"/>
      <c r="AT11" s="71"/>
      <c r="AU11" s="71"/>
      <c r="AV11" s="71"/>
      <c r="AW11" s="16"/>
      <c r="AX11" s="16"/>
      <c r="AY11" s="16"/>
      <c r="AZ11" s="16"/>
      <c r="BA11" s="16"/>
      <c r="BB11" s="16"/>
      <c r="BC11" s="16"/>
      <c r="BD11" s="16"/>
    </row>
    <row r="12" spans="1:67" ht="18.75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</row>
    <row r="13" spans="1:67" ht="18.75" x14ac:dyDescent="0.3">
      <c r="A13" s="16"/>
      <c r="B13" s="16" t="s">
        <v>17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71">
        <f>SUM(SUMIF(PLANPRODUCCION[FECHA],VLOOKUP($AM$3,PAGOSEMANAL[#Data],2,FALSE),PLANPRODUCCION[COSTO PLANEADO]),SUMIF(PLANPRODUCCION[FECHA],VLOOKUP($AM$3,PAGOSEMANAL[#Data],2,FALSE)+1,PLANPRODUCCION[COSTO PLANEADO]),SUMIF(PLANPRODUCCION[FECHA],VLOOKUP($AM$3,PAGOSEMANAL[#Data],2,FALSE)+2,PLANPRODUCCION[COSTO PLANEADO]),SUMIF(PLANPRODUCCION[FECHA],VLOOKUP($AM$3,PAGOSEMANAL[#Data],2,FALSE)+3,PLANPRODUCCION[COSTO PLANEADO]),SUMIF(PLANPRODUCCION[FECHA],VLOOKUP($AM$3,PAGOSEMANAL[#Data],2,FALSE)+4,PLANPRODUCCION[COSTO PLANEADO]),SUMIF(PLANPRODUCCION[FECHA],VLOOKUP($AM$3,PAGOSEMANAL[#Data],2,FALSE)+5,PLANPRODUCCION[COSTO PLANEADO]),SUMIF(PLANPRODUCCION[FECHA],VLOOKUP($AM$3,PAGOSEMANAL[#Data],2,FALSE)+6,PLANPRODUCCION[COSTO PLANEADO]))</f>
        <v>119970.5</v>
      </c>
      <c r="AN13" s="71"/>
      <c r="AO13" s="71"/>
      <c r="AP13" s="71"/>
      <c r="AQ13" s="71"/>
      <c r="AR13" s="71"/>
      <c r="AS13" s="71"/>
      <c r="AT13" s="71"/>
      <c r="AU13" s="71"/>
      <c r="AV13" s="71"/>
      <c r="AW13" s="16"/>
      <c r="AX13" s="16"/>
      <c r="AY13" s="16"/>
      <c r="AZ13" s="16"/>
      <c r="BA13" s="16"/>
      <c r="BB13" s="16"/>
      <c r="BC13" s="16"/>
      <c r="BD13" s="16"/>
    </row>
    <row r="14" spans="1:67" ht="18.75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</row>
    <row r="15" spans="1:67" ht="18.75" x14ac:dyDescent="0.3">
      <c r="A15" s="16"/>
      <c r="B15" s="16" t="s">
        <v>18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71">
        <f>AM11-AM13</f>
        <v>71448.399999999994</v>
      </c>
      <c r="AN15" s="71"/>
      <c r="AO15" s="71"/>
      <c r="AP15" s="71"/>
      <c r="AQ15" s="71"/>
      <c r="AR15" s="71"/>
      <c r="AS15" s="71"/>
      <c r="AT15" s="71"/>
      <c r="AU15" s="71"/>
      <c r="AV15" s="71"/>
      <c r="AW15" s="16"/>
      <c r="AX15" s="72">
        <f>AM15/AM11</f>
        <v>0.3732567682710537</v>
      </c>
      <c r="AY15" s="72"/>
      <c r="AZ15" s="72"/>
      <c r="BA15" s="72"/>
      <c r="BB15" s="16"/>
      <c r="BC15" s="16"/>
      <c r="BD15" s="16"/>
    </row>
    <row r="16" spans="1:67" ht="18.75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</row>
    <row r="17" spans="1:56" ht="18.75" x14ac:dyDescent="0.3">
      <c r="A17" s="16" t="s">
        <v>19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69">
        <f>CODIGO_PYTHO!H8/(CODIGO_PYTHO!H4-CODIGO_PYTHO!H7)</f>
        <v>0.23728813559322035</v>
      </c>
      <c r="AN17" s="69"/>
      <c r="AO17" s="69"/>
      <c r="AP17" s="69"/>
      <c r="AQ17" s="69"/>
      <c r="AR17" s="69"/>
      <c r="AS17" s="69"/>
      <c r="AT17" s="69"/>
      <c r="AU17" s="69"/>
      <c r="AV17" s="69"/>
      <c r="AW17" s="16"/>
      <c r="AX17" s="16"/>
      <c r="AY17" s="16"/>
      <c r="AZ17" s="16"/>
      <c r="BA17" s="16"/>
      <c r="BB17" s="16"/>
      <c r="BC17" s="16"/>
      <c r="BD17" s="16"/>
    </row>
    <row r="18" spans="1:56" ht="18.75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</row>
    <row r="19" spans="1:56" ht="18.75" x14ac:dyDescent="0.3">
      <c r="A19" s="16" t="s">
        <v>20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69">
        <f>1-((CODIGO_PYTHO!H6+CODIGO_PYTHO!H7)/CODIGO_PYTHO!H4)</f>
        <v>0.75342465753424659</v>
      </c>
      <c r="AN19" s="69"/>
      <c r="AO19" s="69"/>
      <c r="AP19" s="69"/>
      <c r="AQ19" s="69"/>
      <c r="AR19" s="69"/>
      <c r="AS19" s="69"/>
      <c r="AT19" s="69"/>
      <c r="AU19" s="69"/>
      <c r="AV19" s="69"/>
      <c r="AW19" s="16"/>
      <c r="AX19" s="16"/>
      <c r="AY19" s="16"/>
      <c r="AZ19" s="16"/>
      <c r="BA19" s="16"/>
      <c r="BB19" s="16"/>
      <c r="BC19" s="16"/>
      <c r="BD19" s="16"/>
    </row>
    <row r="20" spans="1:56" ht="18.75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</row>
    <row r="21" spans="1:56" ht="18.75" x14ac:dyDescent="0.3">
      <c r="A21" s="16"/>
      <c r="B21" s="16" t="s">
        <v>21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69">
        <f>CODIGO_PYTHO!H10/(CODIGO_PYTHO!H4-CODIGO_PYTHO!H7)</f>
        <v>0.64406779661016944</v>
      </c>
      <c r="AN21" s="69"/>
      <c r="AO21" s="69"/>
      <c r="AP21" s="69"/>
      <c r="AQ21" s="69"/>
      <c r="AR21" s="69"/>
      <c r="AS21" s="69"/>
      <c r="AT21" s="69"/>
      <c r="AU21" s="69"/>
      <c r="AV21" s="69"/>
      <c r="AW21" s="16"/>
      <c r="AX21" s="16"/>
      <c r="AY21" s="16"/>
      <c r="AZ21" s="16"/>
      <c r="BA21" s="16"/>
      <c r="BB21" s="16"/>
      <c r="BC21" s="16"/>
      <c r="BD21" s="16"/>
    </row>
    <row r="22" spans="1:56" ht="18.75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</row>
    <row r="23" spans="1:56" ht="18.75" x14ac:dyDescent="0.3">
      <c r="A23" s="16"/>
      <c r="B23" s="16" t="s">
        <v>22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69">
        <f>CODIGO_PYTHO!H11/(CODIGO_PYTHO!H4-CODIGO_PYTHO!H7)</f>
        <v>0.71186440677966101</v>
      </c>
      <c r="AN23" s="69"/>
      <c r="AO23" s="69"/>
      <c r="AP23" s="69"/>
      <c r="AQ23" s="69"/>
      <c r="AR23" s="69"/>
      <c r="AS23" s="69"/>
      <c r="AT23" s="69"/>
      <c r="AU23" s="69"/>
      <c r="AV23" s="69"/>
      <c r="AW23" s="16"/>
      <c r="AX23" s="16"/>
      <c r="AY23" s="16"/>
      <c r="AZ23" s="16"/>
      <c r="BA23" s="16"/>
      <c r="BB23" s="16"/>
      <c r="BC23" s="16"/>
      <c r="BD23" s="16"/>
    </row>
    <row r="24" spans="1:56" ht="18.75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</row>
    <row r="25" spans="1:56" ht="18.75" x14ac:dyDescent="0.3">
      <c r="A25" s="16"/>
      <c r="B25" s="16" t="s">
        <v>23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69">
        <f>CODIGO_PYTHO!H12/(CODIGO_PYTHO!H4-CODIGO_PYTHO!H7)</f>
        <v>0.10169491525423729</v>
      </c>
      <c r="AN25" s="69"/>
      <c r="AO25" s="69"/>
      <c r="AP25" s="69"/>
      <c r="AQ25" s="69"/>
      <c r="AR25" s="69"/>
      <c r="AS25" s="69"/>
      <c r="AT25" s="69"/>
      <c r="AU25" s="69"/>
      <c r="AV25" s="69"/>
      <c r="AW25" s="16"/>
      <c r="AX25" s="16"/>
      <c r="AY25" s="16"/>
      <c r="AZ25" s="16"/>
      <c r="BA25" s="16"/>
      <c r="BB25" s="16"/>
      <c r="BC25" s="16"/>
      <c r="BD25" s="16"/>
    </row>
    <row r="26" spans="1:56" ht="18.75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</row>
    <row r="30" spans="1:56" ht="18.75" x14ac:dyDescent="0.3">
      <c r="B30" s="16" t="s">
        <v>24</v>
      </c>
    </row>
  </sheetData>
  <mergeCells count="14">
    <mergeCell ref="AM3:BJ3"/>
    <mergeCell ref="AM13:AV13"/>
    <mergeCell ref="AM15:AV15"/>
    <mergeCell ref="AX15:BA15"/>
    <mergeCell ref="AX5:BA5"/>
    <mergeCell ref="AM11:AV11"/>
    <mergeCell ref="AM5:AV5"/>
    <mergeCell ref="AM7:AV7"/>
    <mergeCell ref="AM9:AV9"/>
    <mergeCell ref="AM17:AV17"/>
    <mergeCell ref="AM21:AV21"/>
    <mergeCell ref="AM23:AV23"/>
    <mergeCell ref="AM25:AV25"/>
    <mergeCell ref="AM19:AV19"/>
  </mergeCells>
  <dataValidations count="1">
    <dataValidation type="list" allowBlank="1" showInputMessage="1" showErrorMessage="1" sqref="AM3" xr:uid="{0C709B7E-B54F-4932-80CD-9A8E7F45E985}">
      <formula1>INDIRECT("PAGOSEMANAL[SEMANA]")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8B7C9-4ED4-4893-9C47-F5C3CA9913CE}">
  <sheetPr codeName="Hoja1">
    <tabColor theme="8"/>
  </sheetPr>
  <dimension ref="A1:AI837"/>
  <sheetViews>
    <sheetView tabSelected="1" topLeftCell="A808" zoomScaleNormal="100" workbookViewId="0">
      <selection activeCell="I813" sqref="I813"/>
    </sheetView>
  </sheetViews>
  <sheetFormatPr baseColWidth="10" defaultColWidth="11.42578125" defaultRowHeight="15" x14ac:dyDescent="0.25"/>
  <cols>
    <col min="1" max="1" width="14.42578125" style="5" bestFit="1" customWidth="1"/>
    <col min="2" max="2" width="16.5703125" style="39" customWidth="1"/>
    <col min="3" max="3" width="13.42578125" customWidth="1"/>
    <col min="4" max="4" width="10.5703125" customWidth="1"/>
    <col min="5" max="5" width="14.28515625" customWidth="1"/>
    <col min="6" max="6" width="11.42578125" customWidth="1"/>
    <col min="7" max="7" width="12" customWidth="1"/>
    <col min="8" max="8" width="13.140625" customWidth="1"/>
    <col min="9" max="9" width="40.85546875" customWidth="1"/>
    <col min="10" max="10" width="30.140625" customWidth="1"/>
    <col min="11" max="11" width="17.5703125" customWidth="1"/>
    <col min="12" max="12" width="14.7109375" style="5" customWidth="1"/>
    <col min="13" max="13" width="15.7109375" customWidth="1"/>
    <col min="14" max="14" width="18.28515625" customWidth="1"/>
    <col min="15" max="15" width="11.7109375" customWidth="1"/>
    <col min="16" max="16" width="13.42578125" customWidth="1"/>
    <col min="17" max="17" width="11.140625" customWidth="1"/>
    <col min="18" max="18" width="11" customWidth="1"/>
    <col min="19" max="19" width="13.140625" customWidth="1"/>
    <col min="20" max="20" width="18" customWidth="1"/>
    <col min="21" max="21" width="16.5703125" customWidth="1"/>
    <col min="22" max="22" width="16" customWidth="1"/>
    <col min="23" max="23" width="17.28515625" customWidth="1"/>
    <col min="24" max="24" width="15" customWidth="1"/>
    <col min="25" max="25" width="16" customWidth="1"/>
    <col min="26" max="26" width="15.140625" customWidth="1"/>
    <col min="27" max="27" width="14.7109375" customWidth="1"/>
    <col min="28" max="28" width="16.7109375" customWidth="1"/>
    <col min="29" max="29" width="17.28515625" customWidth="1"/>
    <col min="30" max="30" width="21.28515625" customWidth="1"/>
    <col min="31" max="31" width="44.7109375" customWidth="1"/>
    <col min="32" max="32" width="11.7109375" customWidth="1"/>
  </cols>
  <sheetData>
    <row r="1" spans="1:32" ht="30.75" customHeight="1" x14ac:dyDescent="0.25">
      <c r="A1" s="10" t="s">
        <v>25</v>
      </c>
      <c r="B1" s="38" t="s">
        <v>26</v>
      </c>
      <c r="C1" s="10" t="s">
        <v>27</v>
      </c>
      <c r="D1" s="10" t="s">
        <v>28</v>
      </c>
      <c r="E1" s="10" t="s">
        <v>29</v>
      </c>
      <c r="F1" s="10" t="s">
        <v>30</v>
      </c>
      <c r="G1" s="10" t="s">
        <v>31</v>
      </c>
      <c r="H1" s="10" t="s">
        <v>32</v>
      </c>
      <c r="I1" s="10" t="s">
        <v>33</v>
      </c>
      <c r="J1" s="10" t="s">
        <v>34</v>
      </c>
      <c r="K1" s="10" t="s">
        <v>35</v>
      </c>
      <c r="L1" s="10" t="s">
        <v>36</v>
      </c>
      <c r="M1" s="10" t="s">
        <v>37</v>
      </c>
      <c r="N1" s="10" t="s">
        <v>16</v>
      </c>
      <c r="O1" s="10" t="s">
        <v>38</v>
      </c>
      <c r="P1" s="10" t="s">
        <v>39</v>
      </c>
      <c r="Q1" s="10" t="s">
        <v>40</v>
      </c>
      <c r="R1" s="10" t="s">
        <v>41</v>
      </c>
      <c r="S1" s="10" t="s">
        <v>14</v>
      </c>
      <c r="T1" s="10" t="s">
        <v>42</v>
      </c>
      <c r="U1" s="10" t="s">
        <v>17</v>
      </c>
      <c r="V1" s="10" t="s">
        <v>15</v>
      </c>
      <c r="W1" s="10" t="s">
        <v>43</v>
      </c>
      <c r="X1" s="10" t="s">
        <v>44</v>
      </c>
      <c r="Y1" s="10" t="s">
        <v>45</v>
      </c>
      <c r="Z1" s="10" t="s">
        <v>46</v>
      </c>
      <c r="AA1" s="10" t="s">
        <v>47</v>
      </c>
      <c r="AB1" s="10" t="s">
        <v>48</v>
      </c>
      <c r="AC1" s="10" t="s">
        <v>49</v>
      </c>
      <c r="AD1" s="10" t="s">
        <v>50</v>
      </c>
      <c r="AE1" s="10" t="s">
        <v>51</v>
      </c>
      <c r="AF1" s="10" t="s">
        <v>52</v>
      </c>
    </row>
    <row r="2" spans="1:32" x14ac:dyDescent="0.25">
      <c r="A2" s="46" t="str">
        <f>UPPER(IF(PLANPRODUCCION[[#This Row],[FECHA]]&lt;=45701,_xlfn.CONCAT(TEXT(B2,"MMM"),"-",IF(ROW(A2)&lt;11,"000"&amp;ROW(A2)-1,IF(ROW(A2)&lt;101,"00"&amp;ROW(A2)-1,IF(ROW(A2)&lt;1001,"0"&amp;ROW(A2)-1,ROW(A2)-1))),"-OLD"),_xlfn.CONCAT(TEXT(B2,"MMM"),"-",IF(ROW(A2)&lt;473,"000"&amp;ROW(A2)-463,IF(ROW(A2)&lt;563,"00"&amp;ROW(A2)-463,IF(ROW(A2)&lt;1001,"0"&amp;ROW(A2)-463,ROW(A2)-463))))))</f>
        <v>ENE-0001-OLD</v>
      </c>
      <c r="B2" s="1">
        <v>45659</v>
      </c>
      <c r="C2" s="5">
        <v>3</v>
      </c>
      <c r="D2" s="5" t="s">
        <v>53</v>
      </c>
      <c r="E2" t="s">
        <v>54</v>
      </c>
      <c r="F2" s="32">
        <v>0.25</v>
      </c>
      <c r="G2" s="32">
        <v>0.66666666666666663</v>
      </c>
      <c r="H2" s="5">
        <v>1496</v>
      </c>
      <c r="I2" t="s">
        <v>55</v>
      </c>
      <c r="J2" t="s">
        <v>56</v>
      </c>
      <c r="K2" s="5">
        <v>5000</v>
      </c>
      <c r="L2" s="10" t="s">
        <v>57</v>
      </c>
      <c r="M2" s="48">
        <v>1.2</v>
      </c>
      <c r="N2" s="34">
        <f>PLANPRODUCCION[[#This Row],[PIEZAS PLANEADAS]]*PLANPRODUCCION[[#This Row],[PRECIO MAQUILAS]]</f>
        <v>6000</v>
      </c>
      <c r="O2" s="5">
        <v>3</v>
      </c>
      <c r="P2" s="2">
        <v>0.25</v>
      </c>
      <c r="Q2" s="2">
        <v>0.66666666666666663</v>
      </c>
      <c r="R2" s="24">
        <v>3690</v>
      </c>
      <c r="S2" s="35">
        <f>PLANPRODUCCION[[#This Row],[PRECIO MAQUILAS]]*PLANPRODUCCION[[#This Row],[PIEZAS REAL]]</f>
        <v>4428</v>
      </c>
      <c r="T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5000</v>
      </c>
      <c r="U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2568</v>
      </c>
      <c r="X2" s="8"/>
      <c r="Y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" s="13">
        <f>IF(PLANPRODUCCION[[#This Row],[PIEZAS REAL]]&gt;0,PLANPRODUCCION[[#This Row],[PIEZAS REAL]]/PLANPRODUCCION[[#This Row],[PIEZAS ACTUALIZADO]],)</f>
        <v>0.73799999999999999</v>
      </c>
      <c r="AC2" s="10" t="b">
        <f>PLANPRODUCCION[[#This Row],[INGRESO PLANEADO]]&lt;PLANPRODUCCION[[#This Row],[COSTO PLANEADO]]</f>
        <v>0</v>
      </c>
      <c r="AD2" s="46" t="s">
        <v>58</v>
      </c>
      <c r="AE2" s="10"/>
      <c r="AF2" s="10" t="b">
        <f>IF(COUNTIF(PLANPRODUCCION[[#This Row],[OBSERVACIONES]],"NO APLICA BONO*")&gt;0,TRUE,FALSE)</f>
        <v>0</v>
      </c>
    </row>
    <row r="3" spans="1:32" x14ac:dyDescent="0.25">
      <c r="A3" s="46" t="str">
        <f>UPPER(IF(PLANPRODUCCION[[#This Row],[FECHA]]&lt;=45701,_xlfn.CONCAT(TEXT(B3,"MMM"),"-",IF(ROW(A3)&lt;11,"000"&amp;ROW(A3)-1,IF(ROW(A3)&lt;101,"00"&amp;ROW(A3)-1,IF(ROW(A3)&lt;1001,"0"&amp;ROW(A3)-1,ROW(A3)-1))),"-OLD"),_xlfn.CONCAT(TEXT(B3,"MMM"),"-",IF(ROW(A3)&lt;473,"000"&amp;ROW(A3)-463,IF(ROW(A3)&lt;563,"00"&amp;ROW(A3)-463,IF(ROW(A3)&lt;1001,"0"&amp;ROW(A3)-463,ROW(A3)-463))))))</f>
        <v>ENE-0002-OLD</v>
      </c>
      <c r="B3" s="1">
        <v>45659</v>
      </c>
      <c r="C3" s="5">
        <v>9</v>
      </c>
      <c r="D3" s="5">
        <v>1</v>
      </c>
      <c r="E3" t="s">
        <v>54</v>
      </c>
      <c r="F3" s="32">
        <v>0.25</v>
      </c>
      <c r="G3" s="32">
        <v>0.66666666666666663</v>
      </c>
      <c r="H3" s="5">
        <v>1512</v>
      </c>
      <c r="I3" t="s">
        <v>59</v>
      </c>
      <c r="J3" t="s">
        <v>60</v>
      </c>
      <c r="K3" s="5">
        <v>2250</v>
      </c>
      <c r="L3" s="10" t="s">
        <v>57</v>
      </c>
      <c r="M3" s="49">
        <v>4</v>
      </c>
      <c r="N3" s="34">
        <f>PLANPRODUCCION[[#This Row],[PIEZAS PLANEADAS]]*PLANPRODUCCION[[#This Row],[PRECIO MAQUILAS]]</f>
        <v>9000</v>
      </c>
      <c r="O3" s="5">
        <v>9</v>
      </c>
      <c r="P3" s="2">
        <v>0.25</v>
      </c>
      <c r="Q3" s="2">
        <v>0.66666666666666663</v>
      </c>
      <c r="R3" s="24">
        <v>927</v>
      </c>
      <c r="S3" s="35">
        <f>PLANPRODUCCION[[#This Row],[PRECIO MAQUILAS]]*PLANPRODUCCION[[#This Row],[PIEZAS REAL]]</f>
        <v>3708</v>
      </c>
      <c r="T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2250</v>
      </c>
      <c r="U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5580</v>
      </c>
      <c r="V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5580</v>
      </c>
      <c r="W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-1872</v>
      </c>
      <c r="X3" s="8"/>
      <c r="Y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" s="13">
        <f>IF(PLANPRODUCCION[[#This Row],[PIEZAS REAL]]&gt;0,PLANPRODUCCION[[#This Row],[PIEZAS REAL]]/PLANPRODUCCION[[#This Row],[PIEZAS ACTUALIZADO]],)</f>
        <v>0.41199999999999998</v>
      </c>
      <c r="AC3" s="10" t="b">
        <f>PLANPRODUCCION[[#This Row],[INGRESO PLANEADO]]&lt;PLANPRODUCCION[[#This Row],[COSTO PLANEADO]]</f>
        <v>0</v>
      </c>
      <c r="AD3" s="46" t="s">
        <v>61</v>
      </c>
      <c r="AE3" s="10"/>
      <c r="AF3" s="10" t="b">
        <f>IF(COUNTIF(PLANPRODUCCION[[#This Row],[OBSERVACIONES]],"NO APLICA BONO*")&gt;0,TRUE,FALSE)</f>
        <v>0</v>
      </c>
    </row>
    <row r="4" spans="1:32" x14ac:dyDescent="0.25">
      <c r="A4" s="46" t="str">
        <f>UPPER(IF(PLANPRODUCCION[[#This Row],[FECHA]]&lt;=45701,_xlfn.CONCAT(TEXT(B4,"MMM"),"-",IF(ROW(A4)&lt;11,"000"&amp;ROW(A4)-1,IF(ROW(A4)&lt;101,"00"&amp;ROW(A4)-1,IF(ROW(A4)&lt;1001,"0"&amp;ROW(A4)-1,ROW(A4)-1))),"-OLD"),_xlfn.CONCAT(TEXT(B4,"MMM"),"-",IF(ROW(A4)&lt;473,"000"&amp;ROW(A4)-463,IF(ROW(A4)&lt;563,"00"&amp;ROW(A4)-463,IF(ROW(A4)&lt;1001,"0"&amp;ROW(A4)-463,ROW(A4)-463))))))</f>
        <v>ENE-0003-OLD</v>
      </c>
      <c r="B4" s="1">
        <v>45659</v>
      </c>
      <c r="C4" s="5">
        <v>2</v>
      </c>
      <c r="D4" s="5" t="s">
        <v>62</v>
      </c>
      <c r="E4" t="s">
        <v>54</v>
      </c>
      <c r="F4" s="32">
        <v>0.25</v>
      </c>
      <c r="G4" s="32">
        <v>0.47916666666666669</v>
      </c>
      <c r="H4" s="5">
        <v>1496</v>
      </c>
      <c r="I4" t="s">
        <v>63</v>
      </c>
      <c r="J4" t="s">
        <v>64</v>
      </c>
      <c r="K4" s="5">
        <v>2750</v>
      </c>
      <c r="L4" s="10" t="s">
        <v>65</v>
      </c>
      <c r="M4" s="49">
        <v>1.4</v>
      </c>
      <c r="N4" s="34">
        <f>PLANPRODUCCION[[#This Row],[PIEZAS PLANEADAS]]*PLANPRODUCCION[[#This Row],[PRECIO MAQUILAS]]</f>
        <v>3849.9999999999995</v>
      </c>
      <c r="O4" s="5">
        <v>2</v>
      </c>
      <c r="P4" s="2">
        <v>0.27083333333333331</v>
      </c>
      <c r="Q4" s="2">
        <v>0.5625</v>
      </c>
      <c r="R4" s="24">
        <v>2700</v>
      </c>
      <c r="S4" s="35">
        <f>PLANPRODUCCION[[#This Row],[PRECIO MAQUILAS]]*PLANPRODUCCION[[#This Row],[PIEZAS REAL]]</f>
        <v>3779.9999999999995</v>
      </c>
      <c r="T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3500</v>
      </c>
      <c r="U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682</v>
      </c>
      <c r="V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868</v>
      </c>
      <c r="W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2911.9999999999995</v>
      </c>
      <c r="X4" s="8"/>
      <c r="Y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" s="13">
        <f>IF(PLANPRODUCCION[[#This Row],[PIEZAS REAL]]&gt;0,PLANPRODUCCION[[#This Row],[PIEZAS REAL]]/PLANPRODUCCION[[#This Row],[PIEZAS ACTUALIZADO]],)</f>
        <v>0.77142857142857146</v>
      </c>
      <c r="AC4" s="10" t="b">
        <f>PLANPRODUCCION[[#This Row],[INGRESO PLANEADO]]&lt;PLANPRODUCCION[[#This Row],[COSTO PLANEADO]]</f>
        <v>0</v>
      </c>
      <c r="AD4" s="46" t="s">
        <v>66</v>
      </c>
      <c r="AE4" s="10"/>
      <c r="AF4" s="10" t="b">
        <f>IF(COUNTIF(PLANPRODUCCION[[#This Row],[OBSERVACIONES]],"NO APLICA BONO*")&gt;0,TRUE,FALSE)</f>
        <v>0</v>
      </c>
    </row>
    <row r="5" spans="1:32" x14ac:dyDescent="0.25">
      <c r="A5" s="46" t="str">
        <f>UPPER(IF(PLANPRODUCCION[[#This Row],[FECHA]]&lt;=45701,_xlfn.CONCAT(TEXT(B5,"MMM"),"-",IF(ROW(A5)&lt;11,"000"&amp;ROW(A5)-1,IF(ROW(A5)&lt;101,"00"&amp;ROW(A5)-1,IF(ROW(A5)&lt;1001,"0"&amp;ROW(A5)-1,ROW(A5)-1))),"-OLD"),_xlfn.CONCAT(TEXT(B5,"MMM"),"-",IF(ROW(A5)&lt;473,"000"&amp;ROW(A5)-463,IF(ROW(A5)&lt;563,"00"&amp;ROW(A5)-463,IF(ROW(A5)&lt;1001,"0"&amp;ROW(A5)-463,ROW(A5)-463))))))</f>
        <v>ENE-0004-OLD</v>
      </c>
      <c r="B5" s="1">
        <v>45659</v>
      </c>
      <c r="C5" s="5">
        <v>2</v>
      </c>
      <c r="D5" s="5">
        <v>2</v>
      </c>
      <c r="E5" t="s">
        <v>67</v>
      </c>
      <c r="F5" s="32">
        <v>0.33333333333333331</v>
      </c>
      <c r="G5" s="32">
        <v>0.75</v>
      </c>
      <c r="H5" s="5">
        <v>1496</v>
      </c>
      <c r="I5" t="s">
        <v>63</v>
      </c>
      <c r="J5" t="s">
        <v>68</v>
      </c>
      <c r="K5" s="5">
        <v>1500</v>
      </c>
      <c r="L5" s="10" t="s">
        <v>57</v>
      </c>
      <c r="M5" s="48">
        <v>0.84</v>
      </c>
      <c r="N5" s="34">
        <f>PLANPRODUCCION[[#This Row],[PIEZAS PLANEADAS]]*PLANPRODUCCION[[#This Row],[PRECIO MAQUILAS]]</f>
        <v>1260</v>
      </c>
      <c r="O5" s="5">
        <v>2</v>
      </c>
      <c r="P5" s="2">
        <v>0.33333333333333331</v>
      </c>
      <c r="Q5" s="2">
        <v>0.54166666666666663</v>
      </c>
      <c r="R5" s="24">
        <v>310</v>
      </c>
      <c r="S5" s="35">
        <f>PLANPRODUCCION[[#This Row],[PRECIO MAQUILAS]]*PLANPRODUCCION[[#This Row],[PIEZAS REAL]]</f>
        <v>260.39999999999998</v>
      </c>
      <c r="T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750</v>
      </c>
      <c r="U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-359.6</v>
      </c>
      <c r="X5" s="8"/>
      <c r="Y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" s="13">
        <f>IF(PLANPRODUCCION[[#This Row],[PIEZAS REAL]]&gt;0,PLANPRODUCCION[[#This Row],[PIEZAS REAL]]/PLANPRODUCCION[[#This Row],[PIEZAS ACTUALIZADO]],)</f>
        <v>0.41333333333333333</v>
      </c>
      <c r="AC5" s="10" t="b">
        <f>PLANPRODUCCION[[#This Row],[INGRESO PLANEADO]]&lt;PLANPRODUCCION[[#This Row],[COSTO PLANEADO]]</f>
        <v>0</v>
      </c>
      <c r="AD5" s="46" t="s">
        <v>69</v>
      </c>
      <c r="AE5" s="10"/>
      <c r="AF5" s="10" t="b">
        <f>IF(COUNTIF(PLANPRODUCCION[[#This Row],[OBSERVACIONES]],"NO APLICA BONO*")&gt;0,TRUE,FALSE)</f>
        <v>0</v>
      </c>
    </row>
    <row r="6" spans="1:32" x14ac:dyDescent="0.25">
      <c r="A6" s="46" t="str">
        <f>UPPER(IF(PLANPRODUCCION[[#This Row],[FECHA]]&lt;=45701,_xlfn.CONCAT(TEXT(B6,"MMM"),"-",IF(ROW(A6)&lt;11,"000"&amp;ROW(A6)-1,IF(ROW(A6)&lt;101,"00"&amp;ROW(A6)-1,IF(ROW(A6)&lt;1001,"0"&amp;ROW(A6)-1,ROW(A6)-1))),"-OLD"),_xlfn.CONCAT(TEXT(B6,"MMM"),"-",IF(ROW(A6)&lt;473,"000"&amp;ROW(A6)-463,IF(ROW(A6)&lt;563,"00"&amp;ROW(A6)-463,IF(ROW(A6)&lt;1001,"0"&amp;ROW(A6)-463,ROW(A6)-463))))))</f>
        <v>ENE-0005-OLD</v>
      </c>
      <c r="B6" s="1">
        <v>45659</v>
      </c>
      <c r="C6" s="5">
        <v>1</v>
      </c>
      <c r="D6" s="5">
        <v>3</v>
      </c>
      <c r="E6" t="s">
        <v>67</v>
      </c>
      <c r="F6" s="32">
        <v>0.54166666666666663</v>
      </c>
      <c r="G6" s="32">
        <v>0.875</v>
      </c>
      <c r="H6" s="5">
        <v>1496</v>
      </c>
      <c r="I6" t="s">
        <v>63</v>
      </c>
      <c r="J6" t="s">
        <v>68</v>
      </c>
      <c r="K6" s="5">
        <v>600</v>
      </c>
      <c r="L6" s="10" t="s">
        <v>57</v>
      </c>
      <c r="M6" s="48">
        <v>0.84</v>
      </c>
      <c r="N6" s="34">
        <f>PLANPRODUCCION[[#This Row],[PIEZAS PLANEADAS]]*PLANPRODUCCION[[#This Row],[PRECIO MAQUILAS]]</f>
        <v>504</v>
      </c>
      <c r="O6" s="5">
        <v>3</v>
      </c>
      <c r="P6" s="2">
        <v>0.54236111111111107</v>
      </c>
      <c r="Q6" s="2">
        <v>0.66666666666666663</v>
      </c>
      <c r="R6" s="24">
        <v>330</v>
      </c>
      <c r="S6" s="35">
        <f>PLANPRODUCCION[[#This Row],[PRECIO MAQUILAS]]*PLANPRODUCCION[[#This Row],[PIEZAS REAL]]</f>
        <v>277.2</v>
      </c>
      <c r="T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672</v>
      </c>
      <c r="U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496</v>
      </c>
      <c r="V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554.9</v>
      </c>
      <c r="W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-277.7</v>
      </c>
      <c r="X6" s="8"/>
      <c r="Y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" s="13">
        <f>IF(PLANPRODUCCION[[#This Row],[PIEZAS REAL]]&gt;0,PLANPRODUCCION[[#This Row],[PIEZAS REAL]]/PLANPRODUCCION[[#This Row],[PIEZAS ACTUALIZADO]],)</f>
        <v>0.49107142857142855</v>
      </c>
      <c r="AC6" s="10" t="b">
        <f>PLANPRODUCCION[[#This Row],[INGRESO PLANEADO]]&lt;PLANPRODUCCION[[#This Row],[COSTO PLANEADO]]</f>
        <v>0</v>
      </c>
      <c r="AD6" s="46" t="s">
        <v>70</v>
      </c>
      <c r="AE6" s="10"/>
      <c r="AF6" s="10" t="b">
        <f>IF(COUNTIF(PLANPRODUCCION[[#This Row],[OBSERVACIONES]],"NO APLICA BONO*")&gt;0,TRUE,FALSE)</f>
        <v>0</v>
      </c>
    </row>
    <row r="7" spans="1:32" x14ac:dyDescent="0.25">
      <c r="A7" s="46" t="str">
        <f>UPPER(IF(PLANPRODUCCION[[#This Row],[FECHA]]&lt;=45701,_xlfn.CONCAT(TEXT(B7,"MMM"),"-",IF(ROW(A7)&lt;11,"000"&amp;ROW(A7)-1,IF(ROW(A7)&lt;101,"00"&amp;ROW(A7)-1,IF(ROW(A7)&lt;1001,"0"&amp;ROW(A7)-1,ROW(A7)-1))),"-OLD"),_xlfn.CONCAT(TEXT(B7,"MMM"),"-",IF(ROW(A7)&lt;473,"000"&amp;ROW(A7)-463,IF(ROW(A7)&lt;563,"00"&amp;ROW(A7)-463,IF(ROW(A7)&lt;1001,"0"&amp;ROW(A7)-463,ROW(A7)-463))))))</f>
        <v>ENE-0006-OLD</v>
      </c>
      <c r="B7" s="1">
        <v>45659</v>
      </c>
      <c r="C7" s="5"/>
      <c r="D7" s="5"/>
      <c r="E7" t="s">
        <v>67</v>
      </c>
      <c r="F7" s="32"/>
      <c r="G7" s="32"/>
      <c r="H7" s="5">
        <v>1496</v>
      </c>
      <c r="I7" t="s">
        <v>63</v>
      </c>
      <c r="J7" t="s">
        <v>68</v>
      </c>
      <c r="K7" s="5"/>
      <c r="L7" s="10" t="s">
        <v>57</v>
      </c>
      <c r="M7" s="48">
        <v>0.84</v>
      </c>
      <c r="N7" s="34">
        <f>PLANPRODUCCION[[#This Row],[PIEZAS PLANEADAS]]*PLANPRODUCCION[[#This Row],[PRECIO MAQUILAS]]</f>
        <v>0</v>
      </c>
      <c r="O7" s="5">
        <v>3</v>
      </c>
      <c r="P7" s="2">
        <v>0.66666666666666663</v>
      </c>
      <c r="Q7" s="2">
        <v>0.75</v>
      </c>
      <c r="R7" s="24">
        <v>240</v>
      </c>
      <c r="S7" s="35">
        <f>PLANPRODUCCION[[#This Row],[PRECIO MAQUILAS]]*PLANPRODUCCION[[#This Row],[PIEZAS REAL]]</f>
        <v>201.6</v>
      </c>
      <c r="T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-170.4</v>
      </c>
      <c r="X7" s="8"/>
      <c r="Y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" s="13" t="e">
        <f>IF(PLANPRODUCCION[[#This Row],[PIEZAS REAL]]&gt;0,PLANPRODUCCION[[#This Row],[PIEZAS REAL]]/PLANPRODUCCION[[#This Row],[PIEZAS ACTUALIZADO]],)</f>
        <v>#DIV/0!</v>
      </c>
      <c r="AC7" s="10" t="b">
        <f>PLANPRODUCCION[[#This Row],[INGRESO PLANEADO]]&lt;PLANPRODUCCION[[#This Row],[COSTO PLANEADO]]</f>
        <v>0</v>
      </c>
      <c r="AD7" s="46" t="s">
        <v>71</v>
      </c>
      <c r="AE7" s="10"/>
      <c r="AF7" s="10" t="b">
        <f>IF(COUNTIF(PLANPRODUCCION[[#This Row],[OBSERVACIONES]],"NO APLICA BONO*")&gt;0,TRUE,FALSE)</f>
        <v>0</v>
      </c>
    </row>
    <row r="8" spans="1:32" x14ac:dyDescent="0.25">
      <c r="A8" s="46" t="str">
        <f>UPPER(IF(PLANPRODUCCION[[#This Row],[FECHA]]&lt;=45701,_xlfn.CONCAT(TEXT(B8,"MMM"),"-",IF(ROW(A8)&lt;11,"000"&amp;ROW(A8)-1,IF(ROW(A8)&lt;101,"00"&amp;ROW(A8)-1,IF(ROW(A8)&lt;1001,"0"&amp;ROW(A8)-1,ROW(A8)-1))),"-OLD"),_xlfn.CONCAT(TEXT(B8,"MMM"),"-",IF(ROW(A8)&lt;473,"000"&amp;ROW(A8)-463,IF(ROW(A8)&lt;563,"00"&amp;ROW(A8)-463,IF(ROW(A8)&lt;1001,"0"&amp;ROW(A8)-463,ROW(A8)-463))))))</f>
        <v>ENE-0007-OLD</v>
      </c>
      <c r="B8" s="1">
        <v>45659</v>
      </c>
      <c r="C8" s="5"/>
      <c r="D8" s="5"/>
      <c r="E8" t="s">
        <v>72</v>
      </c>
      <c r="F8" s="32"/>
      <c r="G8" s="32"/>
      <c r="H8" s="5">
        <v>1496</v>
      </c>
      <c r="I8" t="s">
        <v>63</v>
      </c>
      <c r="J8" t="s">
        <v>68</v>
      </c>
      <c r="K8" s="5"/>
      <c r="L8" s="10" t="s">
        <v>57</v>
      </c>
      <c r="M8" s="48">
        <v>0.84</v>
      </c>
      <c r="N8" s="34">
        <f>PLANPRODUCCION[[#This Row],[PIEZAS PLANEADAS]]*PLANPRODUCCION[[#This Row],[PRECIO MAQUILAS]]</f>
        <v>0</v>
      </c>
      <c r="O8" s="5">
        <v>5</v>
      </c>
      <c r="P8" s="2">
        <v>0.66666666666666663</v>
      </c>
      <c r="Q8" s="2">
        <v>0.875</v>
      </c>
      <c r="R8" s="24">
        <v>1080</v>
      </c>
      <c r="S8" s="35">
        <f>PLANPRODUCCION[[#This Row],[PRECIO MAQUILAS]]*PLANPRODUCCION[[#This Row],[PIEZAS REAL]]</f>
        <v>907.19999999999993</v>
      </c>
      <c r="T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1550</v>
      </c>
      <c r="W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-642.80000000000007</v>
      </c>
      <c r="X8" s="8"/>
      <c r="Y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" s="13" t="e">
        <f>IF(PLANPRODUCCION[[#This Row],[PIEZAS REAL]]&gt;0,PLANPRODUCCION[[#This Row],[PIEZAS REAL]]/PLANPRODUCCION[[#This Row],[PIEZAS ACTUALIZADO]],)</f>
        <v>#DIV/0!</v>
      </c>
      <c r="AC8" s="10" t="b">
        <f>PLANPRODUCCION[[#This Row],[INGRESO PLANEADO]]&lt;PLANPRODUCCION[[#This Row],[COSTO PLANEADO]]</f>
        <v>0</v>
      </c>
      <c r="AD8" s="46" t="s">
        <v>73</v>
      </c>
      <c r="AE8" s="10"/>
      <c r="AF8" s="10" t="b">
        <f>IF(COUNTIF(PLANPRODUCCION[[#This Row],[OBSERVACIONES]],"NO APLICA BONO*")&gt;0,TRUE,FALSE)</f>
        <v>0</v>
      </c>
    </row>
    <row r="9" spans="1:32" x14ac:dyDescent="0.25">
      <c r="A9" s="46" t="str">
        <f>UPPER(IF(PLANPRODUCCION[[#This Row],[FECHA]]&lt;=45701,_xlfn.CONCAT(TEXT(B9,"MMM"),"-",IF(ROW(A9)&lt;11,"000"&amp;ROW(A9)-1,IF(ROW(A9)&lt;101,"00"&amp;ROW(A9)-1,IF(ROW(A9)&lt;1001,"0"&amp;ROW(A9)-1,ROW(A9)-1))),"-OLD"),_xlfn.CONCAT(TEXT(B9,"MMM"),"-",IF(ROW(A9)&lt;473,"000"&amp;ROW(A9)-463,IF(ROW(A9)&lt;563,"00"&amp;ROW(A9)-463,IF(ROW(A9)&lt;1001,"0"&amp;ROW(A9)-463,ROW(A9)-463))))))</f>
        <v>ENE-0008-OLD</v>
      </c>
      <c r="B9" s="1">
        <v>45659</v>
      </c>
      <c r="C9" s="5"/>
      <c r="D9" s="5"/>
      <c r="E9" t="s">
        <v>72</v>
      </c>
      <c r="F9" s="32"/>
      <c r="G9" s="32"/>
      <c r="H9" s="5">
        <v>1496</v>
      </c>
      <c r="I9" t="s">
        <v>63</v>
      </c>
      <c r="J9" t="s">
        <v>68</v>
      </c>
      <c r="K9" s="5"/>
      <c r="L9" s="10" t="s">
        <v>57</v>
      </c>
      <c r="M9" s="48">
        <v>0.84</v>
      </c>
      <c r="N9" s="34">
        <f>PLANPRODUCCION[[#This Row],[PIEZAS PLANEADAS]]*PLANPRODUCCION[[#This Row],[PRECIO MAQUILAS]]</f>
        <v>0</v>
      </c>
      <c r="O9" s="5">
        <v>1</v>
      </c>
      <c r="P9" s="2">
        <v>0.75</v>
      </c>
      <c r="Q9" s="2">
        <v>0.86111111111111116</v>
      </c>
      <c r="R9" s="24">
        <v>160</v>
      </c>
      <c r="S9" s="35">
        <f>PLANPRODUCCION[[#This Row],[PRECIO MAQUILAS]]*PLANPRODUCCION[[#This Row],[PIEZAS REAL]]</f>
        <v>134.4</v>
      </c>
      <c r="T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165.33333333333334</v>
      </c>
      <c r="W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-30.933333333333337</v>
      </c>
      <c r="X9" s="8"/>
      <c r="Y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9" s="13" t="e">
        <f>IF(PLANPRODUCCION[[#This Row],[PIEZAS REAL]]&gt;0,PLANPRODUCCION[[#This Row],[PIEZAS REAL]]/PLANPRODUCCION[[#This Row],[PIEZAS ACTUALIZADO]],)</f>
        <v>#DIV/0!</v>
      </c>
      <c r="AC9" s="10" t="b">
        <f>PLANPRODUCCION[[#This Row],[INGRESO PLANEADO]]&lt;PLANPRODUCCION[[#This Row],[COSTO PLANEADO]]</f>
        <v>0</v>
      </c>
      <c r="AD9" s="46" t="s">
        <v>74</v>
      </c>
      <c r="AE9" s="10"/>
      <c r="AF9" s="10" t="b">
        <f>IF(COUNTIF(PLANPRODUCCION[[#This Row],[OBSERVACIONES]],"NO APLICA BONO*")&gt;0,TRUE,FALSE)</f>
        <v>0</v>
      </c>
    </row>
    <row r="10" spans="1:32" x14ac:dyDescent="0.25">
      <c r="A10" s="46" t="str">
        <f>UPPER(IF(PLANPRODUCCION[[#This Row],[FECHA]]&lt;=45701,_xlfn.CONCAT(TEXT(B10,"MMM"),"-",IF(ROW(A10)&lt;11,"000"&amp;ROW(A10)-1,IF(ROW(A10)&lt;101,"00"&amp;ROW(A10)-1,IF(ROW(A10)&lt;1001,"0"&amp;ROW(A10)-1,ROW(A10)-1))),"-OLD"),_xlfn.CONCAT(TEXT(B10,"MMM"),"-",IF(ROW(A10)&lt;473,"000"&amp;ROW(A10)-463,IF(ROW(A10)&lt;563,"00"&amp;ROW(A10)-463,IF(ROW(A10)&lt;1001,"0"&amp;ROW(A10)-463,ROW(A10)-463))))))</f>
        <v>ENE-0009-OLD</v>
      </c>
      <c r="B10" s="1">
        <v>45659</v>
      </c>
      <c r="C10" s="5"/>
      <c r="D10" s="5"/>
      <c r="E10" t="s">
        <v>75</v>
      </c>
      <c r="F10" s="32"/>
      <c r="G10" s="32"/>
      <c r="H10" s="5">
        <v>1496</v>
      </c>
      <c r="I10" t="s">
        <v>63</v>
      </c>
      <c r="J10" t="s">
        <v>68</v>
      </c>
      <c r="K10" s="5"/>
      <c r="L10" s="10" t="s">
        <v>57</v>
      </c>
      <c r="M10" s="48">
        <v>0.84</v>
      </c>
      <c r="N10" s="34">
        <f>PLANPRODUCCION[[#This Row],[PIEZAS PLANEADAS]]*PLANPRODUCCION[[#This Row],[PRECIO MAQUILAS]]</f>
        <v>0</v>
      </c>
      <c r="O10" s="5">
        <v>4</v>
      </c>
      <c r="P10" s="2">
        <v>0.875</v>
      </c>
      <c r="Q10" s="2">
        <v>0.25</v>
      </c>
      <c r="R10" s="24">
        <v>1600</v>
      </c>
      <c r="S10" s="35">
        <f>PLANPRODUCCION[[#This Row],[PRECIO MAQUILAS]]*PLANPRODUCCION[[#This Row],[PIEZAS REAL]]</f>
        <v>1344</v>
      </c>
      <c r="T1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3000</v>
      </c>
      <c r="W1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-1656</v>
      </c>
      <c r="X10" s="8"/>
      <c r="Y1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0" s="13" t="e">
        <f>IF(PLANPRODUCCION[[#This Row],[PIEZAS REAL]]&gt;0,PLANPRODUCCION[[#This Row],[PIEZAS REAL]]/PLANPRODUCCION[[#This Row],[PIEZAS ACTUALIZADO]],)</f>
        <v>#DIV/0!</v>
      </c>
      <c r="AC10" s="10" t="b">
        <f>PLANPRODUCCION[[#This Row],[INGRESO PLANEADO]]&lt;PLANPRODUCCION[[#This Row],[COSTO PLANEADO]]</f>
        <v>0</v>
      </c>
      <c r="AD10" s="46" t="s">
        <v>76</v>
      </c>
      <c r="AE10" s="10"/>
      <c r="AF10" s="10" t="b">
        <f>IF(COUNTIF(PLANPRODUCCION[[#This Row],[OBSERVACIONES]],"NO APLICA BONO*")&gt;0,TRUE,FALSE)</f>
        <v>0</v>
      </c>
    </row>
    <row r="11" spans="1:32" s="56" customFormat="1" x14ac:dyDescent="0.25">
      <c r="A11" s="53" t="str">
        <f>UPPER(IF(PLANPRODUCCION[[#This Row],[FECHA]]&lt;=45701,_xlfn.CONCAT(TEXT(B11,"MMM"),"-",IF(ROW(A11)&lt;11,"000"&amp;ROW(A11)-1,IF(ROW(A11)&lt;101,"00"&amp;ROW(A11)-1,IF(ROW(A11)&lt;1001,"0"&amp;ROW(A11)-1,ROW(A11)-1))),"-OLD"),_xlfn.CONCAT(TEXT(B11,"MMM"),"-",IF(ROW(A11)&lt;473,"000"&amp;ROW(A11)-463,IF(ROW(A11)&lt;563,"00"&amp;ROW(A11)-463,IF(ROW(A11)&lt;1001,"0"&amp;ROW(A11)-463,ROW(A11)-463))))))</f>
        <v>ENE-0010-OLD</v>
      </c>
      <c r="B11" s="54">
        <v>45660</v>
      </c>
      <c r="C11" s="55"/>
      <c r="D11" s="55"/>
      <c r="E11" s="56" t="s">
        <v>54</v>
      </c>
      <c r="F11" s="57"/>
      <c r="G11" s="57"/>
      <c r="H11" s="55">
        <v>1496</v>
      </c>
      <c r="I11" s="56" t="s">
        <v>55</v>
      </c>
      <c r="J11" s="56" t="s">
        <v>56</v>
      </c>
      <c r="K11" s="55"/>
      <c r="L11" s="58" t="s">
        <v>57</v>
      </c>
      <c r="M11" s="50">
        <v>1.2</v>
      </c>
      <c r="N11" s="59">
        <f>PLANPRODUCCION[[#This Row],[PIEZAS PLANEADAS]]*PLANPRODUCCION[[#This Row],[PRECIO MAQUILAS]]</f>
        <v>0</v>
      </c>
      <c r="O11" s="55">
        <v>2</v>
      </c>
      <c r="P11" s="60">
        <v>0.25</v>
      </c>
      <c r="Q11" s="60">
        <v>0.47916666666666669</v>
      </c>
      <c r="R11" s="61">
        <v>1366</v>
      </c>
      <c r="S11" s="35">
        <f>PLANPRODUCCION[[#This Row],[PRECIO MAQUILAS]]*PLANPRODUCCION[[#This Row],[PIEZAS REAL]]</f>
        <v>1639.2</v>
      </c>
      <c r="T11" s="5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1" s="62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682</v>
      </c>
      <c r="W1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957.2</v>
      </c>
      <c r="X11" s="63"/>
      <c r="Y11" s="64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1" s="64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1" s="64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1" s="65" t="e">
        <f>IF(PLANPRODUCCION[[#This Row],[PIEZAS REAL]]&gt;0,PLANPRODUCCION[[#This Row],[PIEZAS REAL]]/PLANPRODUCCION[[#This Row],[PIEZAS ACTUALIZADO]],)</f>
        <v>#DIV/0!</v>
      </c>
      <c r="AC11" s="58" t="b">
        <f>PLANPRODUCCION[[#This Row],[INGRESO PLANEADO]]&lt;PLANPRODUCCION[[#This Row],[COSTO PLANEADO]]</f>
        <v>0</v>
      </c>
      <c r="AD11" s="53" t="s">
        <v>77</v>
      </c>
      <c r="AE11" s="58"/>
      <c r="AF11" s="58" t="b">
        <f>IF(COUNTIF(PLANPRODUCCION[[#This Row],[OBSERVACIONES]],"NO APLICA BONO*")&gt;0,TRUE,FALSE)</f>
        <v>0</v>
      </c>
    </row>
    <row r="12" spans="1:32" x14ac:dyDescent="0.25">
      <c r="A12" s="46" t="str">
        <f>UPPER(IF(PLANPRODUCCION[[#This Row],[FECHA]]&lt;=45701,_xlfn.CONCAT(TEXT(B12,"MMM"),"-",IF(ROW(A12)&lt;11,"000"&amp;ROW(A12)-1,IF(ROW(A12)&lt;101,"00"&amp;ROW(A12)-1,IF(ROW(A12)&lt;1001,"0"&amp;ROW(A12)-1,ROW(A12)-1))),"-OLD"),_xlfn.CONCAT(TEXT(B12,"MMM"),"-",IF(ROW(A12)&lt;473,"000"&amp;ROW(A12)-463,IF(ROW(A12)&lt;563,"00"&amp;ROW(A12)-463,IF(ROW(A12)&lt;1001,"0"&amp;ROW(A12)-463,ROW(A12)-463))))))</f>
        <v>ENE-0011-OLD</v>
      </c>
      <c r="B12" s="1">
        <v>45660</v>
      </c>
      <c r="C12" s="5"/>
      <c r="D12" s="5"/>
      <c r="E12" t="s">
        <v>54</v>
      </c>
      <c r="F12" s="32"/>
      <c r="G12" s="32"/>
      <c r="H12" s="5">
        <v>1496</v>
      </c>
      <c r="I12" t="s">
        <v>63</v>
      </c>
      <c r="J12" t="s">
        <v>68</v>
      </c>
      <c r="K12" s="5"/>
      <c r="L12" s="10" t="s">
        <v>57</v>
      </c>
      <c r="M12" s="48">
        <v>0.8</v>
      </c>
      <c r="N12" s="34">
        <f>PLANPRODUCCION[[#This Row],[PIEZAS PLANEADAS]]*PLANPRODUCCION[[#This Row],[PRECIO MAQUILAS]]</f>
        <v>0</v>
      </c>
      <c r="O12" s="5">
        <v>3</v>
      </c>
      <c r="P12" s="2">
        <v>0.25</v>
      </c>
      <c r="Q12" s="2">
        <v>0.5625</v>
      </c>
      <c r="R12" s="24">
        <v>860</v>
      </c>
      <c r="S12" s="35">
        <f>PLANPRODUCCION[[#This Row],[PRECIO MAQUILAS]]*PLANPRODUCCION[[#This Row],[PIEZAS REAL]]</f>
        <v>688</v>
      </c>
      <c r="T1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1395</v>
      </c>
      <c r="W1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-707</v>
      </c>
      <c r="X12" s="8"/>
      <c r="Y1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2" s="13" t="e">
        <f>IF(PLANPRODUCCION[[#This Row],[PIEZAS REAL]]&gt;0,PLANPRODUCCION[[#This Row],[PIEZAS REAL]]/PLANPRODUCCION[[#This Row],[PIEZAS ACTUALIZADO]],)</f>
        <v>#DIV/0!</v>
      </c>
      <c r="AC12" s="10" t="b">
        <f>PLANPRODUCCION[[#This Row],[INGRESO PLANEADO]]&lt;PLANPRODUCCION[[#This Row],[COSTO PLANEADO]]</f>
        <v>0</v>
      </c>
      <c r="AD12" s="46" t="s">
        <v>78</v>
      </c>
      <c r="AE12" s="10"/>
      <c r="AF12" s="10" t="b">
        <f>IF(COUNTIF(PLANPRODUCCION[[#This Row],[OBSERVACIONES]],"NO APLICA BONO*")&gt;0,TRUE,FALSE)</f>
        <v>0</v>
      </c>
    </row>
    <row r="13" spans="1:32" x14ac:dyDescent="0.25">
      <c r="A13" s="46" t="str">
        <f>UPPER(IF(PLANPRODUCCION[[#This Row],[FECHA]]&lt;=45701,_xlfn.CONCAT(TEXT(B13,"MMM"),"-",IF(ROW(A13)&lt;11,"000"&amp;ROW(A13)-1,IF(ROW(A13)&lt;101,"00"&amp;ROW(A13)-1,IF(ROW(A13)&lt;1001,"0"&amp;ROW(A13)-1,ROW(A13)-1))),"-OLD"),_xlfn.CONCAT(TEXT(B13,"MMM"),"-",IF(ROW(A13)&lt;473,"000"&amp;ROW(A13)-463,IF(ROW(A13)&lt;563,"00"&amp;ROW(A13)-463,IF(ROW(A13)&lt;1001,"0"&amp;ROW(A13)-463,ROW(A13)-463))))))</f>
        <v>ENE-0012-OLD</v>
      </c>
      <c r="B13" s="1">
        <v>45660</v>
      </c>
      <c r="C13" s="5"/>
      <c r="D13" s="5"/>
      <c r="E13" t="s">
        <v>54</v>
      </c>
      <c r="F13" s="32"/>
      <c r="G13" s="32"/>
      <c r="H13" s="5">
        <v>1512</v>
      </c>
      <c r="I13" t="s">
        <v>59</v>
      </c>
      <c r="J13" t="s">
        <v>60</v>
      </c>
      <c r="K13" s="5"/>
      <c r="L13" s="10" t="s">
        <v>57</v>
      </c>
      <c r="M13" s="48">
        <v>4</v>
      </c>
      <c r="N13" s="34">
        <f>PLANPRODUCCION[[#This Row],[PIEZAS PLANEADAS]]*PLANPRODUCCION[[#This Row],[PRECIO MAQUILAS]]</f>
        <v>0</v>
      </c>
      <c r="O13" s="5">
        <v>8</v>
      </c>
      <c r="P13" s="2">
        <v>0.25</v>
      </c>
      <c r="Q13" s="2">
        <v>0.5</v>
      </c>
      <c r="R13" s="24">
        <v>1406</v>
      </c>
      <c r="S13" s="35">
        <f>PLANPRODUCCION[[#This Row],[PRECIO MAQUILAS]]*PLANPRODUCCION[[#This Row],[PIEZAS REAL]]</f>
        <v>5624</v>
      </c>
      <c r="T1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2976</v>
      </c>
      <c r="W1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2648</v>
      </c>
      <c r="X13" s="8"/>
      <c r="Y1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3" s="13" t="e">
        <f>IF(PLANPRODUCCION[[#This Row],[PIEZAS REAL]]&gt;0,PLANPRODUCCION[[#This Row],[PIEZAS REAL]]/PLANPRODUCCION[[#This Row],[PIEZAS ACTUALIZADO]],)</f>
        <v>#DIV/0!</v>
      </c>
      <c r="AC13" s="10" t="b">
        <f>PLANPRODUCCION[[#This Row],[INGRESO PLANEADO]]&lt;PLANPRODUCCION[[#This Row],[COSTO PLANEADO]]</f>
        <v>0</v>
      </c>
      <c r="AD13" s="46" t="s">
        <v>79</v>
      </c>
      <c r="AE13" s="10"/>
      <c r="AF13" s="10" t="b">
        <f>IF(COUNTIF(PLANPRODUCCION[[#This Row],[OBSERVACIONES]],"NO APLICA BONO*")&gt;0,TRUE,FALSE)</f>
        <v>0</v>
      </c>
    </row>
    <row r="14" spans="1:32" x14ac:dyDescent="0.25">
      <c r="A14" s="46" t="str">
        <f>UPPER(IF(PLANPRODUCCION[[#This Row],[FECHA]]&lt;=45701,_xlfn.CONCAT(TEXT(B14,"MMM"),"-",IF(ROW(A14)&lt;11,"000"&amp;ROW(A14)-1,IF(ROW(A14)&lt;101,"00"&amp;ROW(A14)-1,IF(ROW(A14)&lt;1001,"0"&amp;ROW(A14)-1,ROW(A14)-1))),"-OLD"),_xlfn.CONCAT(TEXT(B14,"MMM"),"-",IF(ROW(A14)&lt;473,"000"&amp;ROW(A14)-463,IF(ROW(A14)&lt;563,"00"&amp;ROW(A14)-463,IF(ROW(A14)&lt;1001,"0"&amp;ROW(A14)-463,ROW(A14)-463))))))</f>
        <v>ENE-0013-OLD</v>
      </c>
      <c r="B14" s="1">
        <v>45660</v>
      </c>
      <c r="C14" s="5"/>
      <c r="D14" s="5"/>
      <c r="E14" t="s">
        <v>54</v>
      </c>
      <c r="F14" s="32"/>
      <c r="G14" s="32"/>
      <c r="H14" s="5">
        <v>1496</v>
      </c>
      <c r="I14" t="s">
        <v>63</v>
      </c>
      <c r="J14" t="s">
        <v>68</v>
      </c>
      <c r="K14" s="5"/>
      <c r="L14" s="10" t="s">
        <v>57</v>
      </c>
      <c r="M14" s="48">
        <v>0.8</v>
      </c>
      <c r="N14" s="34">
        <f>PLANPRODUCCION[[#This Row],[PIEZAS PLANEADAS]]*PLANPRODUCCION[[#This Row],[PRECIO MAQUILAS]]</f>
        <v>0</v>
      </c>
      <c r="O14" s="5">
        <v>2</v>
      </c>
      <c r="P14" s="2">
        <v>0.5</v>
      </c>
      <c r="Q14" s="2">
        <v>0.5625</v>
      </c>
      <c r="R14" s="24">
        <v>60</v>
      </c>
      <c r="S14" s="35">
        <f>PLANPRODUCCION[[#This Row],[PRECIO MAQUILAS]]*PLANPRODUCCION[[#This Row],[PIEZAS REAL]]</f>
        <v>48</v>
      </c>
      <c r="T1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</v>
      </c>
      <c r="W1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-138</v>
      </c>
      <c r="X14" s="8"/>
      <c r="Y1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4" s="13" t="e">
        <f>IF(PLANPRODUCCION[[#This Row],[PIEZAS REAL]]&gt;0,PLANPRODUCCION[[#This Row],[PIEZAS REAL]]/PLANPRODUCCION[[#This Row],[PIEZAS ACTUALIZADO]],)</f>
        <v>#DIV/0!</v>
      </c>
      <c r="AC14" s="10" t="b">
        <f>PLANPRODUCCION[[#This Row],[INGRESO PLANEADO]]&lt;PLANPRODUCCION[[#This Row],[COSTO PLANEADO]]</f>
        <v>0</v>
      </c>
      <c r="AD14" s="46" t="s">
        <v>80</v>
      </c>
      <c r="AE14" s="10"/>
      <c r="AF14" s="10" t="b">
        <f>IF(COUNTIF(PLANPRODUCCION[[#This Row],[OBSERVACIONES]],"NO APLICA BONO*")&gt;0,TRUE,FALSE)</f>
        <v>0</v>
      </c>
    </row>
    <row r="15" spans="1:32" x14ac:dyDescent="0.25">
      <c r="A15" s="46" t="str">
        <f>UPPER(IF(PLANPRODUCCION[[#This Row],[FECHA]]&lt;=45701,_xlfn.CONCAT(TEXT(B15,"MMM"),"-",IF(ROW(A15)&lt;11,"000"&amp;ROW(A15)-1,IF(ROW(A15)&lt;101,"00"&amp;ROW(A15)-1,IF(ROW(A15)&lt;1001,"0"&amp;ROW(A15)-1,ROW(A15)-1))),"-OLD"),_xlfn.CONCAT(TEXT(B15,"MMM"),"-",IF(ROW(A15)&lt;473,"000"&amp;ROW(A15)-463,IF(ROW(A15)&lt;563,"00"&amp;ROW(A15)-463,IF(ROW(A15)&lt;1001,"0"&amp;ROW(A15)-463,ROW(A15)-463))))))</f>
        <v>ENE-0014-OLD</v>
      </c>
      <c r="B15" s="1">
        <v>45660</v>
      </c>
      <c r="C15" s="5"/>
      <c r="D15" s="5"/>
      <c r="E15" t="s">
        <v>54</v>
      </c>
      <c r="F15" s="32"/>
      <c r="G15" s="32"/>
      <c r="H15" s="5">
        <v>1509</v>
      </c>
      <c r="I15" t="s">
        <v>81</v>
      </c>
      <c r="J15" t="s">
        <v>82</v>
      </c>
      <c r="K15" s="5"/>
      <c r="L15" s="10" t="s">
        <v>83</v>
      </c>
      <c r="M15" s="48">
        <v>4.2</v>
      </c>
      <c r="N15" s="34">
        <f>PLANPRODUCCION[[#This Row],[PIEZAS PLANEADAS]]*PLANPRODUCCION[[#This Row],[PRECIO MAQUILAS]]</f>
        <v>0</v>
      </c>
      <c r="O15" s="5">
        <v>8</v>
      </c>
      <c r="P15" s="2">
        <v>0.51041666666666663</v>
      </c>
      <c r="Q15" s="2">
        <v>0.66666666666666663</v>
      </c>
      <c r="R15" s="24">
        <v>1920</v>
      </c>
      <c r="S15" s="35">
        <f>PLANPRODUCCION[[#This Row],[PRECIO MAQUILAS]]*PLANPRODUCCION[[#This Row],[PIEZAS REAL]]</f>
        <v>8064</v>
      </c>
      <c r="T1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1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6204</v>
      </c>
      <c r="X15" s="8"/>
      <c r="Y1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5" s="13" t="e">
        <f>IF(PLANPRODUCCION[[#This Row],[PIEZAS REAL]]&gt;0,PLANPRODUCCION[[#This Row],[PIEZAS REAL]]/PLANPRODUCCION[[#This Row],[PIEZAS ACTUALIZADO]],)</f>
        <v>#DIV/0!</v>
      </c>
      <c r="AC15" s="10" t="b">
        <f>PLANPRODUCCION[[#This Row],[INGRESO PLANEADO]]&lt;PLANPRODUCCION[[#This Row],[COSTO PLANEADO]]</f>
        <v>0</v>
      </c>
      <c r="AD15" s="46" t="s">
        <v>84</v>
      </c>
      <c r="AE15" s="10"/>
      <c r="AF15" s="10" t="b">
        <f>IF(COUNTIF(PLANPRODUCCION[[#This Row],[OBSERVACIONES]],"NO APLICA BONO*")&gt;0,TRUE,FALSE)</f>
        <v>0</v>
      </c>
    </row>
    <row r="16" spans="1:32" x14ac:dyDescent="0.25">
      <c r="A16" s="46" t="str">
        <f>UPPER(IF(PLANPRODUCCION[[#This Row],[FECHA]]&lt;=45701,_xlfn.CONCAT(TEXT(B16,"MMM"),"-",IF(ROW(A16)&lt;11,"000"&amp;ROW(A16)-1,IF(ROW(A16)&lt;101,"00"&amp;ROW(A16)-1,IF(ROW(A16)&lt;1001,"0"&amp;ROW(A16)-1,ROW(A16)-1))),"-OLD"),_xlfn.CONCAT(TEXT(B16,"MMM"),"-",IF(ROW(A16)&lt;473,"000"&amp;ROW(A16)-463,IF(ROW(A16)&lt;563,"00"&amp;ROW(A16)-463,IF(ROW(A16)&lt;1001,"0"&amp;ROW(A16)-463,ROW(A16)-463))))))</f>
        <v>ENE-0015-OLD</v>
      </c>
      <c r="B16" s="1">
        <v>45660</v>
      </c>
      <c r="C16" s="5"/>
      <c r="D16" s="5"/>
      <c r="E16" t="s">
        <v>54</v>
      </c>
      <c r="F16" s="32"/>
      <c r="G16" s="32"/>
      <c r="H16" s="5">
        <v>1477</v>
      </c>
      <c r="I16" t="s">
        <v>85</v>
      </c>
      <c r="J16" t="s">
        <v>86</v>
      </c>
      <c r="K16" s="5"/>
      <c r="L16" s="10" t="s">
        <v>57</v>
      </c>
      <c r="M16" s="48">
        <v>6</v>
      </c>
      <c r="N16" s="34">
        <f>PLANPRODUCCION[[#This Row],[PIEZAS PLANEADAS]]*PLANPRODUCCION[[#This Row],[PRECIO MAQUILAS]]</f>
        <v>0</v>
      </c>
      <c r="O16" s="5">
        <v>2</v>
      </c>
      <c r="P16" s="2">
        <v>0.58333333333333337</v>
      </c>
      <c r="Q16" s="2">
        <v>0.64930555555555558</v>
      </c>
      <c r="R16" s="24">
        <v>50</v>
      </c>
      <c r="S16" s="35">
        <f>PLANPRODUCCION[[#This Row],[PRECIO MAQUILAS]]*PLANPRODUCCION[[#This Row],[PIEZAS REAL]]</f>
        <v>300</v>
      </c>
      <c r="T1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196.33333333333331</v>
      </c>
      <c r="W1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103.66666666666669</v>
      </c>
      <c r="X16" s="8"/>
      <c r="Y1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6" s="13" t="e">
        <f>IF(PLANPRODUCCION[[#This Row],[PIEZAS REAL]]&gt;0,PLANPRODUCCION[[#This Row],[PIEZAS REAL]]/PLANPRODUCCION[[#This Row],[PIEZAS ACTUALIZADO]],)</f>
        <v>#DIV/0!</v>
      </c>
      <c r="AC16" s="10" t="b">
        <f>PLANPRODUCCION[[#This Row],[INGRESO PLANEADO]]&lt;PLANPRODUCCION[[#This Row],[COSTO PLANEADO]]</f>
        <v>0</v>
      </c>
      <c r="AD16" s="46" t="s">
        <v>87</v>
      </c>
      <c r="AE16" s="10"/>
      <c r="AF16" s="10" t="b">
        <f>IF(COUNTIF(PLANPRODUCCION[[#This Row],[OBSERVACIONES]],"NO APLICA BONO*")&gt;0,TRUE,FALSE)</f>
        <v>0</v>
      </c>
    </row>
    <row r="17" spans="1:32" x14ac:dyDescent="0.25">
      <c r="A17" s="46" t="str">
        <f>UPPER(IF(PLANPRODUCCION[[#This Row],[FECHA]]&lt;=45701,_xlfn.CONCAT(TEXT(B17,"MMM"),"-",IF(ROW(A17)&lt;11,"000"&amp;ROW(A17)-1,IF(ROW(A17)&lt;101,"00"&amp;ROW(A17)-1,IF(ROW(A17)&lt;1001,"0"&amp;ROW(A17)-1,ROW(A17)-1))),"-OLD"),_xlfn.CONCAT(TEXT(B17,"MMM"),"-",IF(ROW(A17)&lt;473,"000"&amp;ROW(A17)-463,IF(ROW(A17)&lt;563,"00"&amp;ROW(A17)-463,IF(ROW(A17)&lt;1001,"0"&amp;ROW(A17)-463,ROW(A17)-463))))))</f>
        <v>ENE-0016-OLD</v>
      </c>
      <c r="B17" s="1">
        <v>45660</v>
      </c>
      <c r="C17" s="5"/>
      <c r="D17" s="5"/>
      <c r="E17" t="s">
        <v>54</v>
      </c>
      <c r="F17" s="32"/>
      <c r="G17" s="32"/>
      <c r="H17" s="5">
        <v>1505</v>
      </c>
      <c r="I17" t="s">
        <v>88</v>
      </c>
      <c r="J17" t="s">
        <v>89</v>
      </c>
      <c r="K17" s="5"/>
      <c r="L17" s="10" t="s">
        <v>57</v>
      </c>
      <c r="M17" s="48">
        <v>0.75</v>
      </c>
      <c r="N17" s="34">
        <f>PLANPRODUCCION[[#This Row],[PIEZAS PLANEADAS]]*PLANPRODUCCION[[#This Row],[PRECIO MAQUILAS]]</f>
        <v>0</v>
      </c>
      <c r="O17" s="5">
        <v>2</v>
      </c>
      <c r="P17" s="2">
        <v>0.62569444444444444</v>
      </c>
      <c r="Q17" s="2">
        <v>0.66666666666666663</v>
      </c>
      <c r="R17" s="24">
        <v>274</v>
      </c>
      <c r="S17" s="35">
        <f>PLANPRODUCCION[[#This Row],[PRECIO MAQUILAS]]*PLANPRODUCCION[[#This Row],[PIEZAS REAL]]</f>
        <v>205.5</v>
      </c>
      <c r="T1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121.93333333333334</v>
      </c>
      <c r="W1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83.566666666666663</v>
      </c>
      <c r="X17" s="8"/>
      <c r="Y1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7" s="13" t="e">
        <f>IF(PLANPRODUCCION[[#This Row],[PIEZAS REAL]]&gt;0,PLANPRODUCCION[[#This Row],[PIEZAS REAL]]/PLANPRODUCCION[[#This Row],[PIEZAS ACTUALIZADO]],)</f>
        <v>#DIV/0!</v>
      </c>
      <c r="AC17" s="10" t="b">
        <f>PLANPRODUCCION[[#This Row],[INGRESO PLANEADO]]&lt;PLANPRODUCCION[[#This Row],[COSTO PLANEADO]]</f>
        <v>0</v>
      </c>
      <c r="AD17" s="46" t="s">
        <v>90</v>
      </c>
      <c r="AE17" s="10"/>
      <c r="AF17" s="10" t="b">
        <f>IF(COUNTIF(PLANPRODUCCION[[#This Row],[OBSERVACIONES]],"NO APLICA BONO*")&gt;0,TRUE,FALSE)</f>
        <v>0</v>
      </c>
    </row>
    <row r="18" spans="1:32" x14ac:dyDescent="0.25">
      <c r="A18" s="46" t="str">
        <f>UPPER(IF(PLANPRODUCCION[[#This Row],[FECHA]]&lt;=45701,_xlfn.CONCAT(TEXT(B18,"MMM"),"-",IF(ROW(A18)&lt;11,"000"&amp;ROW(A18)-1,IF(ROW(A18)&lt;101,"00"&amp;ROW(A18)-1,IF(ROW(A18)&lt;1001,"0"&amp;ROW(A18)-1,ROW(A18)-1))),"-OLD"),_xlfn.CONCAT(TEXT(B18,"MMM"),"-",IF(ROW(A18)&lt;473,"000"&amp;ROW(A18)-463,IF(ROW(A18)&lt;563,"00"&amp;ROW(A18)-463,IF(ROW(A18)&lt;1001,"0"&amp;ROW(A18)-463,ROW(A18)-463))))))</f>
        <v>ENE-0017-OLD</v>
      </c>
      <c r="B18" s="1">
        <v>45660</v>
      </c>
      <c r="C18" s="5"/>
      <c r="D18" s="5"/>
      <c r="E18" t="s">
        <v>67</v>
      </c>
      <c r="F18" s="32"/>
      <c r="G18" s="32"/>
      <c r="H18" s="5">
        <v>1496</v>
      </c>
      <c r="I18" t="s">
        <v>63</v>
      </c>
      <c r="J18" t="s">
        <v>68</v>
      </c>
      <c r="K18" s="5"/>
      <c r="L18" s="10" t="s">
        <v>57</v>
      </c>
      <c r="M18" s="48">
        <v>0.8</v>
      </c>
      <c r="N18" s="34">
        <f>PLANPRODUCCION[[#This Row],[PIEZAS PLANEADAS]]*PLANPRODUCCION[[#This Row],[PRECIO MAQUILAS]]</f>
        <v>0</v>
      </c>
      <c r="O18" s="5">
        <v>2</v>
      </c>
      <c r="P18" s="2">
        <v>0.33333333333333331</v>
      </c>
      <c r="Q18" s="2">
        <v>0.625</v>
      </c>
      <c r="R18" s="24">
        <v>980</v>
      </c>
      <c r="S18" s="35">
        <f>PLANPRODUCCION[[#This Row],[PRECIO MAQUILAS]]*PLANPRODUCCION[[#This Row],[PIEZAS REAL]]</f>
        <v>784</v>
      </c>
      <c r="T1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868</v>
      </c>
      <c r="W1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-84</v>
      </c>
      <c r="X18" s="8"/>
      <c r="Y1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8" s="13" t="e">
        <f>IF(PLANPRODUCCION[[#This Row],[PIEZAS REAL]]&gt;0,PLANPRODUCCION[[#This Row],[PIEZAS REAL]]/PLANPRODUCCION[[#This Row],[PIEZAS ACTUALIZADO]],)</f>
        <v>#DIV/0!</v>
      </c>
      <c r="AC18" s="10" t="b">
        <f>PLANPRODUCCION[[#This Row],[INGRESO PLANEADO]]&lt;PLANPRODUCCION[[#This Row],[COSTO PLANEADO]]</f>
        <v>0</v>
      </c>
      <c r="AD18" s="46" t="s">
        <v>91</v>
      </c>
      <c r="AE18" s="10"/>
      <c r="AF18" s="10" t="b">
        <f>IF(COUNTIF(PLANPRODUCCION[[#This Row],[OBSERVACIONES]],"NO APLICA BONO*")&gt;0,TRUE,FALSE)</f>
        <v>0</v>
      </c>
    </row>
    <row r="19" spans="1:32" x14ac:dyDescent="0.25">
      <c r="A19" s="46" t="str">
        <f>UPPER(IF(PLANPRODUCCION[[#This Row],[FECHA]]&lt;=45701,_xlfn.CONCAT(TEXT(B19,"MMM"),"-",IF(ROW(A19)&lt;11,"000"&amp;ROW(A19)-1,IF(ROW(A19)&lt;101,"00"&amp;ROW(A19)-1,IF(ROW(A19)&lt;1001,"0"&amp;ROW(A19)-1,ROW(A19)-1))),"-OLD"),_xlfn.CONCAT(TEXT(B19,"MMM"),"-",IF(ROW(A19)&lt;473,"000"&amp;ROW(A19)-463,IF(ROW(A19)&lt;563,"00"&amp;ROW(A19)-463,IF(ROW(A19)&lt;1001,"0"&amp;ROW(A19)-463,ROW(A19)-463))))))</f>
        <v>ENE-0018-OLD</v>
      </c>
      <c r="B19" s="1">
        <v>45660</v>
      </c>
      <c r="C19" s="5"/>
      <c r="D19" s="5"/>
      <c r="E19" t="s">
        <v>67</v>
      </c>
      <c r="F19" s="32"/>
      <c r="G19" s="32"/>
      <c r="H19" s="5">
        <v>1505</v>
      </c>
      <c r="I19" t="s">
        <v>88</v>
      </c>
      <c r="J19" t="s">
        <v>89</v>
      </c>
      <c r="K19" s="5"/>
      <c r="L19" s="10" t="s">
        <v>57</v>
      </c>
      <c r="M19" s="49">
        <v>0.75</v>
      </c>
      <c r="N19" s="34">
        <f>PLANPRODUCCION[[#This Row],[PIEZAS PLANEADAS]]*PLANPRODUCCION[[#This Row],[PRECIO MAQUILAS]]</f>
        <v>0</v>
      </c>
      <c r="O19" s="5">
        <v>3</v>
      </c>
      <c r="P19" s="2">
        <v>0.58333333333333337</v>
      </c>
      <c r="Q19" s="2">
        <v>0.64930555555555558</v>
      </c>
      <c r="R19" s="24">
        <v>720</v>
      </c>
      <c r="S19" s="35">
        <f>PLANPRODUCCION[[#This Row],[PRECIO MAQUILAS]]*PLANPRODUCCION[[#This Row],[PIEZAS REAL]]</f>
        <v>540</v>
      </c>
      <c r="T1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294.5</v>
      </c>
      <c r="W1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245.5</v>
      </c>
      <c r="X19" s="8"/>
      <c r="Y1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9" s="13" t="e">
        <f>IF(PLANPRODUCCION[[#This Row],[PIEZAS REAL]]&gt;0,PLANPRODUCCION[[#This Row],[PIEZAS REAL]]/PLANPRODUCCION[[#This Row],[PIEZAS ACTUALIZADO]],)</f>
        <v>#DIV/0!</v>
      </c>
      <c r="AC19" s="10" t="b">
        <f>PLANPRODUCCION[[#This Row],[INGRESO PLANEADO]]&lt;PLANPRODUCCION[[#This Row],[COSTO PLANEADO]]</f>
        <v>0</v>
      </c>
      <c r="AD19" s="46" t="s">
        <v>92</v>
      </c>
      <c r="AE19" s="10"/>
      <c r="AF19" s="10" t="b">
        <f>IF(COUNTIF(PLANPRODUCCION[[#This Row],[OBSERVACIONES]],"NO APLICA BONO*")&gt;0,TRUE,FALSE)</f>
        <v>0</v>
      </c>
    </row>
    <row r="20" spans="1:32" x14ac:dyDescent="0.25">
      <c r="A20" s="46" t="str">
        <f>UPPER(IF(PLANPRODUCCION[[#This Row],[FECHA]]&lt;=45701,_xlfn.CONCAT(TEXT(B20,"MMM"),"-",IF(ROW(A20)&lt;11,"000"&amp;ROW(A20)-1,IF(ROW(A20)&lt;101,"00"&amp;ROW(A20)-1,IF(ROW(A20)&lt;1001,"0"&amp;ROW(A20)-1,ROW(A20)-1))),"-OLD"),_xlfn.CONCAT(TEXT(B20,"MMM"),"-",IF(ROW(A20)&lt;473,"000"&amp;ROW(A20)-463,IF(ROW(A20)&lt;563,"00"&amp;ROW(A20)-463,IF(ROW(A20)&lt;1001,"0"&amp;ROW(A20)-463,ROW(A20)-463))))))</f>
        <v>ENE-0019-OLD</v>
      </c>
      <c r="B20" s="1">
        <v>45660</v>
      </c>
      <c r="C20" s="5"/>
      <c r="D20" s="5"/>
      <c r="E20" t="s">
        <v>67</v>
      </c>
      <c r="F20" s="32"/>
      <c r="G20" s="32"/>
      <c r="H20" s="5">
        <v>1477</v>
      </c>
      <c r="I20" t="s">
        <v>85</v>
      </c>
      <c r="J20" t="s">
        <v>86</v>
      </c>
      <c r="K20" s="5"/>
      <c r="L20" s="10" t="s">
        <v>57</v>
      </c>
      <c r="M20" s="49">
        <v>6</v>
      </c>
      <c r="N20" s="34">
        <f>PLANPRODUCCION[[#This Row],[PIEZAS PLANEADAS]]*PLANPRODUCCION[[#This Row],[PRECIO MAQUILAS]]</f>
        <v>0</v>
      </c>
      <c r="O20" s="5">
        <v>2</v>
      </c>
      <c r="P20" s="2">
        <v>0.66666666666666663</v>
      </c>
      <c r="Q20" s="2">
        <v>0.75</v>
      </c>
      <c r="R20" s="24">
        <v>40</v>
      </c>
      <c r="S20" s="35">
        <f>PLANPRODUCCION[[#This Row],[PRECIO MAQUILAS]]*PLANPRODUCCION[[#This Row],[PIEZAS REAL]]</f>
        <v>240</v>
      </c>
      <c r="T2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2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-8</v>
      </c>
      <c r="X20" s="8"/>
      <c r="Y2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0" s="13" t="e">
        <f>IF(PLANPRODUCCION[[#This Row],[PIEZAS REAL]]&gt;0,PLANPRODUCCION[[#This Row],[PIEZAS REAL]]/PLANPRODUCCION[[#This Row],[PIEZAS ACTUALIZADO]],)</f>
        <v>#DIV/0!</v>
      </c>
      <c r="AC20" s="10" t="b">
        <f>PLANPRODUCCION[[#This Row],[INGRESO PLANEADO]]&lt;PLANPRODUCCION[[#This Row],[COSTO PLANEADO]]</f>
        <v>0</v>
      </c>
      <c r="AD20" s="46" t="s">
        <v>93</v>
      </c>
      <c r="AE20" s="10"/>
      <c r="AF20" s="10" t="b">
        <f>IF(COUNTIF(PLANPRODUCCION[[#This Row],[OBSERVACIONES]],"NO APLICA BONO*")&gt;0,TRUE,FALSE)</f>
        <v>0</v>
      </c>
    </row>
    <row r="21" spans="1:32" x14ac:dyDescent="0.25">
      <c r="A21" s="46" t="str">
        <f>UPPER(IF(PLANPRODUCCION[[#This Row],[FECHA]]&lt;=45701,_xlfn.CONCAT(TEXT(B21,"MMM"),"-",IF(ROW(A21)&lt;11,"000"&amp;ROW(A21)-1,IF(ROW(A21)&lt;101,"00"&amp;ROW(A21)-1,IF(ROW(A21)&lt;1001,"0"&amp;ROW(A21)-1,ROW(A21)-1))),"-OLD"),_xlfn.CONCAT(TEXT(B21,"MMM"),"-",IF(ROW(A21)&lt;473,"000"&amp;ROW(A21)-463,IF(ROW(A21)&lt;563,"00"&amp;ROW(A21)-463,IF(ROW(A21)&lt;1001,"0"&amp;ROW(A21)-463,ROW(A21)-463))))))</f>
        <v>ENE-0020-OLD</v>
      </c>
      <c r="B21" s="1">
        <v>45660</v>
      </c>
      <c r="C21" s="5"/>
      <c r="D21" s="5"/>
      <c r="E21" t="s">
        <v>72</v>
      </c>
      <c r="F21" s="32"/>
      <c r="G21" s="32"/>
      <c r="H21" s="5">
        <v>1477</v>
      </c>
      <c r="I21" t="s">
        <v>85</v>
      </c>
      <c r="J21" t="s">
        <v>86</v>
      </c>
      <c r="K21" s="5"/>
      <c r="L21" s="10" t="s">
        <v>57</v>
      </c>
      <c r="M21" s="49">
        <v>6</v>
      </c>
      <c r="N21" s="34">
        <f>PLANPRODUCCION[[#This Row],[PIEZAS PLANEADAS]]*PLANPRODUCCION[[#This Row],[PRECIO MAQUILAS]]</f>
        <v>0</v>
      </c>
      <c r="O21" s="5">
        <v>2</v>
      </c>
      <c r="P21" s="2">
        <v>0.66666666666666663</v>
      </c>
      <c r="Q21" s="2">
        <v>0.86111111111111116</v>
      </c>
      <c r="R21" s="24">
        <v>200</v>
      </c>
      <c r="S21" s="35">
        <f>PLANPRODUCCION[[#This Row],[PRECIO MAQUILAS]]*PLANPRODUCCION[[#This Row],[PIEZAS REAL]]</f>
        <v>1200</v>
      </c>
      <c r="T2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578.66666666666663</v>
      </c>
      <c r="W2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621.33333333333337</v>
      </c>
      <c r="X21" s="8"/>
      <c r="Y2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1" s="13" t="e">
        <f>IF(PLANPRODUCCION[[#This Row],[PIEZAS REAL]]&gt;0,PLANPRODUCCION[[#This Row],[PIEZAS REAL]]/PLANPRODUCCION[[#This Row],[PIEZAS ACTUALIZADO]],)</f>
        <v>#DIV/0!</v>
      </c>
      <c r="AC21" s="10" t="b">
        <f>PLANPRODUCCION[[#This Row],[INGRESO PLANEADO]]&lt;PLANPRODUCCION[[#This Row],[COSTO PLANEADO]]</f>
        <v>0</v>
      </c>
      <c r="AD21" s="46" t="s">
        <v>94</v>
      </c>
      <c r="AE21" s="10"/>
      <c r="AF21" s="10" t="b">
        <f>IF(COUNTIF(PLANPRODUCCION[[#This Row],[OBSERVACIONES]],"NO APLICA BONO*")&gt;0,TRUE,FALSE)</f>
        <v>0</v>
      </c>
    </row>
    <row r="22" spans="1:32" x14ac:dyDescent="0.25">
      <c r="A22" s="46" t="str">
        <f>UPPER(IF(PLANPRODUCCION[[#This Row],[FECHA]]&lt;=45701,_xlfn.CONCAT(TEXT(B22,"MMM"),"-",IF(ROW(A22)&lt;11,"000"&amp;ROW(A22)-1,IF(ROW(A22)&lt;101,"00"&amp;ROW(A22)-1,IF(ROW(A22)&lt;1001,"0"&amp;ROW(A22)-1,ROW(A22)-1))),"-OLD"),_xlfn.CONCAT(TEXT(B22,"MMM"),"-",IF(ROW(A22)&lt;473,"000"&amp;ROW(A22)-463,IF(ROW(A22)&lt;563,"00"&amp;ROW(A22)-463,IF(ROW(A22)&lt;1001,"0"&amp;ROW(A22)-463,ROW(A22)-463))))))</f>
        <v>ENE-0021-OLD</v>
      </c>
      <c r="B22" s="1">
        <v>45660</v>
      </c>
      <c r="C22" s="5"/>
      <c r="D22" s="5"/>
      <c r="E22" t="s">
        <v>72</v>
      </c>
      <c r="F22" s="32"/>
      <c r="G22" s="32"/>
      <c r="H22" s="5">
        <v>1477</v>
      </c>
      <c r="I22" t="s">
        <v>85</v>
      </c>
      <c r="J22" t="s">
        <v>86</v>
      </c>
      <c r="K22" s="5"/>
      <c r="L22" s="10" t="s">
        <v>57</v>
      </c>
      <c r="M22" s="49">
        <v>6</v>
      </c>
      <c r="N22" s="34">
        <f>PLANPRODUCCION[[#This Row],[PIEZAS PLANEADAS]]*PLANPRODUCCION[[#This Row],[PRECIO MAQUILAS]]</f>
        <v>0</v>
      </c>
      <c r="O22" s="5">
        <v>3</v>
      </c>
      <c r="P22" s="2">
        <v>0.66666666666666663</v>
      </c>
      <c r="Q22" s="2">
        <v>0.86111111111111116</v>
      </c>
      <c r="R22" s="24">
        <v>250</v>
      </c>
      <c r="S22" s="35">
        <f>PLANPRODUCCION[[#This Row],[PRECIO MAQUILAS]]*PLANPRODUCCION[[#This Row],[PIEZAS REAL]]</f>
        <v>1500</v>
      </c>
      <c r="T2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868</v>
      </c>
      <c r="W2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632</v>
      </c>
      <c r="X22" s="8"/>
      <c r="Y2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2" s="13" t="e">
        <f>IF(PLANPRODUCCION[[#This Row],[PIEZAS REAL]]&gt;0,PLANPRODUCCION[[#This Row],[PIEZAS REAL]]/PLANPRODUCCION[[#This Row],[PIEZAS ACTUALIZADO]],)</f>
        <v>#DIV/0!</v>
      </c>
      <c r="AC22" s="10" t="b">
        <f>PLANPRODUCCION[[#This Row],[INGRESO PLANEADO]]&lt;PLANPRODUCCION[[#This Row],[COSTO PLANEADO]]</f>
        <v>0</v>
      </c>
      <c r="AD22" s="46" t="s">
        <v>95</v>
      </c>
      <c r="AE22" s="10"/>
      <c r="AF22" s="10" t="b">
        <f>IF(COUNTIF(PLANPRODUCCION[[#This Row],[OBSERVACIONES]],"NO APLICA BONO*")&gt;0,TRUE,FALSE)</f>
        <v>0</v>
      </c>
    </row>
    <row r="23" spans="1:32" x14ac:dyDescent="0.25">
      <c r="A23" s="46" t="str">
        <f>UPPER(IF(PLANPRODUCCION[[#This Row],[FECHA]]&lt;=45701,_xlfn.CONCAT(TEXT(B23,"MMM"),"-",IF(ROW(A23)&lt;11,"000"&amp;ROW(A23)-1,IF(ROW(A23)&lt;101,"00"&amp;ROW(A23)-1,IF(ROW(A23)&lt;1001,"0"&amp;ROW(A23)-1,ROW(A23)-1))),"-OLD"),_xlfn.CONCAT(TEXT(B23,"MMM"),"-",IF(ROW(A23)&lt;473,"000"&amp;ROW(A23)-463,IF(ROW(A23)&lt;563,"00"&amp;ROW(A23)-463,IF(ROW(A23)&lt;1001,"0"&amp;ROW(A23)-463,ROW(A23)-463))))))</f>
        <v>ENE-0022-OLD</v>
      </c>
      <c r="B23" s="1">
        <v>45663</v>
      </c>
      <c r="C23" s="5"/>
      <c r="D23" s="5"/>
      <c r="E23" t="s">
        <v>54</v>
      </c>
      <c r="F23" s="32"/>
      <c r="G23" s="32"/>
      <c r="H23" s="5">
        <v>1477</v>
      </c>
      <c r="I23" t="s">
        <v>85</v>
      </c>
      <c r="J23" t="s">
        <v>96</v>
      </c>
      <c r="K23" s="5"/>
      <c r="L23" s="10" t="s">
        <v>57</v>
      </c>
      <c r="M23" s="49">
        <v>0.4</v>
      </c>
      <c r="N23" s="34">
        <f>PLANPRODUCCION[[#This Row],[PIEZAS PLANEADAS]]*PLANPRODUCCION[[#This Row],[PRECIO MAQUILAS]]</f>
        <v>0</v>
      </c>
      <c r="O23" s="5">
        <v>2</v>
      </c>
      <c r="P23" s="2">
        <v>0.25</v>
      </c>
      <c r="Q23" s="2">
        <v>0.33333333333333331</v>
      </c>
      <c r="R23" s="24">
        <v>1650</v>
      </c>
      <c r="S23" s="35">
        <f>PLANPRODUCCION[[#This Row],[PRECIO MAQUILAS]]*PLANPRODUCCION[[#This Row],[PIEZAS REAL]]</f>
        <v>660</v>
      </c>
      <c r="T2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2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412</v>
      </c>
      <c r="X23" s="8"/>
      <c r="Y2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3" s="13" t="e">
        <f>IF(PLANPRODUCCION[[#This Row],[PIEZAS REAL]]&gt;0,PLANPRODUCCION[[#This Row],[PIEZAS REAL]]/PLANPRODUCCION[[#This Row],[PIEZAS ACTUALIZADO]],)</f>
        <v>#DIV/0!</v>
      </c>
      <c r="AC23" s="10" t="b">
        <f>PLANPRODUCCION[[#This Row],[INGRESO PLANEADO]]&lt;PLANPRODUCCION[[#This Row],[COSTO PLANEADO]]</f>
        <v>0</v>
      </c>
      <c r="AD23" s="46" t="s">
        <v>97</v>
      </c>
      <c r="AE23" s="10"/>
      <c r="AF23" s="10" t="b">
        <f>IF(COUNTIF(PLANPRODUCCION[[#This Row],[OBSERVACIONES]],"NO APLICA BONO*")&gt;0,TRUE,FALSE)</f>
        <v>0</v>
      </c>
    </row>
    <row r="24" spans="1:32" x14ac:dyDescent="0.25">
      <c r="A24" s="46" t="str">
        <f>UPPER(IF(PLANPRODUCCION[[#This Row],[FECHA]]&lt;=45701,_xlfn.CONCAT(TEXT(B24,"MMM"),"-",IF(ROW(A24)&lt;11,"000"&amp;ROW(A24)-1,IF(ROW(A24)&lt;101,"00"&amp;ROW(A24)-1,IF(ROW(A24)&lt;1001,"0"&amp;ROW(A24)-1,ROW(A24)-1))),"-OLD"),_xlfn.CONCAT(TEXT(B24,"MMM"),"-",IF(ROW(A24)&lt;473,"000"&amp;ROW(A24)-463,IF(ROW(A24)&lt;563,"00"&amp;ROW(A24)-463,IF(ROW(A24)&lt;1001,"0"&amp;ROW(A24)-463,ROW(A24)-463))))))</f>
        <v>ENE-0023-OLD</v>
      </c>
      <c r="B24" s="1">
        <v>45663</v>
      </c>
      <c r="C24" s="5"/>
      <c r="D24" s="5"/>
      <c r="E24" t="s">
        <v>54</v>
      </c>
      <c r="F24" s="32"/>
      <c r="G24" s="32"/>
      <c r="H24" s="5">
        <v>1477</v>
      </c>
      <c r="I24" t="s">
        <v>85</v>
      </c>
      <c r="J24" t="s">
        <v>86</v>
      </c>
      <c r="K24" s="5"/>
      <c r="L24" s="10" t="s">
        <v>57</v>
      </c>
      <c r="M24" s="49">
        <v>6</v>
      </c>
      <c r="N24" s="34">
        <f>PLANPRODUCCION[[#This Row],[PIEZAS PLANEADAS]]*PLANPRODUCCION[[#This Row],[PRECIO MAQUILAS]]</f>
        <v>0</v>
      </c>
      <c r="O24" s="5">
        <v>3</v>
      </c>
      <c r="P24" s="2">
        <v>0.25</v>
      </c>
      <c r="Q24" s="2">
        <v>0.51388888888888884</v>
      </c>
      <c r="R24" s="24">
        <v>320</v>
      </c>
      <c r="S24" s="35">
        <f>PLANPRODUCCION[[#This Row],[PRECIO MAQUILAS]]*PLANPRODUCCION[[#This Row],[PIEZAS REAL]]</f>
        <v>1920</v>
      </c>
      <c r="T2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1178</v>
      </c>
      <c r="W2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742</v>
      </c>
      <c r="X24" s="8"/>
      <c r="Y2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4" s="13" t="e">
        <f>IF(PLANPRODUCCION[[#This Row],[PIEZAS REAL]]&gt;0,PLANPRODUCCION[[#This Row],[PIEZAS REAL]]/PLANPRODUCCION[[#This Row],[PIEZAS ACTUALIZADO]],)</f>
        <v>#DIV/0!</v>
      </c>
      <c r="AC24" s="10" t="b">
        <f>PLANPRODUCCION[[#This Row],[INGRESO PLANEADO]]&lt;PLANPRODUCCION[[#This Row],[COSTO PLANEADO]]</f>
        <v>0</v>
      </c>
      <c r="AD24" s="46" t="s">
        <v>98</v>
      </c>
      <c r="AE24" s="10"/>
      <c r="AF24" s="10" t="b">
        <f>IF(COUNTIF(PLANPRODUCCION[[#This Row],[OBSERVACIONES]],"NO APLICA BONO*")&gt;0,TRUE,FALSE)</f>
        <v>0</v>
      </c>
    </row>
    <row r="25" spans="1:32" x14ac:dyDescent="0.25">
      <c r="A25" s="46" t="str">
        <f>UPPER(IF(PLANPRODUCCION[[#This Row],[FECHA]]&lt;=45701,_xlfn.CONCAT(TEXT(B25,"MMM"),"-",IF(ROW(A25)&lt;11,"000"&amp;ROW(A25)-1,IF(ROW(A25)&lt;101,"00"&amp;ROW(A25)-1,IF(ROW(A25)&lt;1001,"0"&amp;ROW(A25)-1,ROW(A25)-1))),"-OLD"),_xlfn.CONCAT(TEXT(B25,"MMM"),"-",IF(ROW(A25)&lt;473,"000"&amp;ROW(A25)-463,IF(ROW(A25)&lt;563,"00"&amp;ROW(A25)-463,IF(ROW(A25)&lt;1001,"0"&amp;ROW(A25)-463,ROW(A25)-463))))))</f>
        <v>ENE-0024-OLD</v>
      </c>
      <c r="B25" s="1">
        <v>45663</v>
      </c>
      <c r="C25" s="5"/>
      <c r="D25" s="5"/>
      <c r="E25" t="s">
        <v>54</v>
      </c>
      <c r="F25" s="32"/>
      <c r="G25" s="32"/>
      <c r="H25" s="5">
        <v>1477</v>
      </c>
      <c r="I25" t="s">
        <v>85</v>
      </c>
      <c r="J25" t="s">
        <v>86</v>
      </c>
      <c r="K25" s="5"/>
      <c r="L25" s="10" t="s">
        <v>57</v>
      </c>
      <c r="M25" s="49">
        <v>6</v>
      </c>
      <c r="N25" s="34">
        <f>PLANPRODUCCION[[#This Row],[PIEZAS PLANEADAS]]*PLANPRODUCCION[[#This Row],[PRECIO MAQUILAS]]</f>
        <v>0</v>
      </c>
      <c r="O25" s="5">
        <v>3</v>
      </c>
      <c r="P25" s="2">
        <v>0.25</v>
      </c>
      <c r="Q25" s="2">
        <v>0.66666666666666663</v>
      </c>
      <c r="R25" s="24">
        <v>820</v>
      </c>
      <c r="S25" s="35">
        <f>PLANPRODUCCION[[#This Row],[PRECIO MAQUILAS]]*PLANPRODUCCION[[#This Row],[PIEZAS REAL]]</f>
        <v>4920</v>
      </c>
      <c r="T2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3060</v>
      </c>
      <c r="X25" s="8"/>
      <c r="Y2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5" s="13" t="e">
        <f>IF(PLANPRODUCCION[[#This Row],[PIEZAS REAL]]&gt;0,PLANPRODUCCION[[#This Row],[PIEZAS REAL]]/PLANPRODUCCION[[#This Row],[PIEZAS ACTUALIZADO]],)</f>
        <v>#DIV/0!</v>
      </c>
      <c r="AC25" s="10" t="b">
        <f>PLANPRODUCCION[[#This Row],[INGRESO PLANEADO]]&lt;PLANPRODUCCION[[#This Row],[COSTO PLANEADO]]</f>
        <v>0</v>
      </c>
      <c r="AD25" s="46" t="s">
        <v>99</v>
      </c>
      <c r="AE25" s="10"/>
      <c r="AF25" s="10" t="b">
        <f>IF(COUNTIF(PLANPRODUCCION[[#This Row],[OBSERVACIONES]],"NO APLICA BONO*")&gt;0,TRUE,FALSE)</f>
        <v>0</v>
      </c>
    </row>
    <row r="26" spans="1:32" x14ac:dyDescent="0.25">
      <c r="A26" s="46" t="str">
        <f>UPPER(IF(PLANPRODUCCION[[#This Row],[FECHA]]&lt;=45701,_xlfn.CONCAT(TEXT(B26,"MMM"),"-",IF(ROW(A26)&lt;11,"000"&amp;ROW(A26)-1,IF(ROW(A26)&lt;101,"00"&amp;ROW(A26)-1,IF(ROW(A26)&lt;1001,"0"&amp;ROW(A26)-1,ROW(A26)-1))),"-OLD"),_xlfn.CONCAT(TEXT(B26,"MMM"),"-",IF(ROW(A26)&lt;473,"000"&amp;ROW(A26)-463,IF(ROW(A26)&lt;563,"00"&amp;ROW(A26)-463,IF(ROW(A26)&lt;1001,"0"&amp;ROW(A26)-463,ROW(A26)-463))))))</f>
        <v>ENE-0025-OLD</v>
      </c>
      <c r="B26" s="1">
        <v>45663</v>
      </c>
      <c r="C26" s="5"/>
      <c r="D26" s="5"/>
      <c r="E26" t="s">
        <v>54</v>
      </c>
      <c r="F26" s="32"/>
      <c r="G26" s="32"/>
      <c r="H26" s="5">
        <v>1477</v>
      </c>
      <c r="I26" t="s">
        <v>85</v>
      </c>
      <c r="J26" t="s">
        <v>86</v>
      </c>
      <c r="K26" s="5"/>
      <c r="L26" s="10" t="s">
        <v>57</v>
      </c>
      <c r="M26" s="49">
        <v>6</v>
      </c>
      <c r="N26" s="34">
        <f>PLANPRODUCCION[[#This Row],[PIEZAS PLANEADAS]]*PLANPRODUCCION[[#This Row],[PRECIO MAQUILAS]]</f>
        <v>0</v>
      </c>
      <c r="O26" s="5">
        <v>3</v>
      </c>
      <c r="P26" s="2">
        <v>0.25</v>
      </c>
      <c r="Q26" s="2">
        <v>0.66666666666666663</v>
      </c>
      <c r="R26" s="24">
        <v>750</v>
      </c>
      <c r="S26" s="35">
        <f>PLANPRODUCCION[[#This Row],[PRECIO MAQUILAS]]*PLANPRODUCCION[[#This Row],[PIEZAS REAL]]</f>
        <v>4500</v>
      </c>
      <c r="T2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2640</v>
      </c>
      <c r="X26" s="8"/>
      <c r="Y2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6" s="13" t="e">
        <f>IF(PLANPRODUCCION[[#This Row],[PIEZAS REAL]]&gt;0,PLANPRODUCCION[[#This Row],[PIEZAS REAL]]/PLANPRODUCCION[[#This Row],[PIEZAS ACTUALIZADO]],)</f>
        <v>#DIV/0!</v>
      </c>
      <c r="AC26" s="10" t="b">
        <f>PLANPRODUCCION[[#This Row],[INGRESO PLANEADO]]&lt;PLANPRODUCCION[[#This Row],[COSTO PLANEADO]]</f>
        <v>0</v>
      </c>
      <c r="AD26" s="46" t="s">
        <v>100</v>
      </c>
      <c r="AE26" s="10"/>
      <c r="AF26" s="10" t="b">
        <f>IF(COUNTIF(PLANPRODUCCION[[#This Row],[OBSERVACIONES]],"NO APLICA BONO*")&gt;0,TRUE,FALSE)</f>
        <v>0</v>
      </c>
    </row>
    <row r="27" spans="1:32" x14ac:dyDescent="0.25">
      <c r="A27" s="46" t="str">
        <f>UPPER(IF(PLANPRODUCCION[[#This Row],[FECHA]]&lt;=45701,_xlfn.CONCAT(TEXT(B27,"MMM"),"-",IF(ROW(A27)&lt;11,"000"&amp;ROW(A27)-1,IF(ROW(A27)&lt;101,"00"&amp;ROW(A27)-1,IF(ROW(A27)&lt;1001,"0"&amp;ROW(A27)-1,ROW(A27)-1))),"-OLD"),_xlfn.CONCAT(TEXT(B27,"MMM"),"-",IF(ROW(A27)&lt;473,"000"&amp;ROW(A27)-463,IF(ROW(A27)&lt;563,"00"&amp;ROW(A27)-463,IF(ROW(A27)&lt;1001,"0"&amp;ROW(A27)-463,ROW(A27)-463))))))</f>
        <v>ENE-0026-OLD</v>
      </c>
      <c r="B27" s="1">
        <v>45663</v>
      </c>
      <c r="C27" s="5"/>
      <c r="D27" s="5"/>
      <c r="E27" t="s">
        <v>54</v>
      </c>
      <c r="F27" s="32"/>
      <c r="G27" s="32"/>
      <c r="H27" s="5">
        <v>1477</v>
      </c>
      <c r="I27" t="s">
        <v>85</v>
      </c>
      <c r="J27" t="s">
        <v>86</v>
      </c>
      <c r="K27" s="5"/>
      <c r="L27" s="10" t="s">
        <v>57</v>
      </c>
      <c r="M27" s="49">
        <v>6</v>
      </c>
      <c r="N27" s="34">
        <f>PLANPRODUCCION[[#This Row],[PIEZAS PLANEADAS]]*PLANPRODUCCION[[#This Row],[PRECIO MAQUILAS]]</f>
        <v>0</v>
      </c>
      <c r="O27" s="5">
        <v>2</v>
      </c>
      <c r="P27" s="2">
        <v>0.25</v>
      </c>
      <c r="Q27" s="2">
        <v>0.33333333333333331</v>
      </c>
      <c r="R27" s="24">
        <v>30</v>
      </c>
      <c r="S27" s="35">
        <f>PLANPRODUCCION[[#This Row],[PRECIO MAQUILAS]]*PLANPRODUCCION[[#This Row],[PIEZAS REAL]]</f>
        <v>180</v>
      </c>
      <c r="T2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2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-68</v>
      </c>
      <c r="X27" s="8"/>
      <c r="Y2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7" s="13" t="e">
        <f>IF(PLANPRODUCCION[[#This Row],[PIEZAS REAL]]&gt;0,PLANPRODUCCION[[#This Row],[PIEZAS REAL]]/PLANPRODUCCION[[#This Row],[PIEZAS ACTUALIZADO]],)</f>
        <v>#DIV/0!</v>
      </c>
      <c r="AC27" s="10" t="b">
        <f>PLANPRODUCCION[[#This Row],[INGRESO PLANEADO]]&lt;PLANPRODUCCION[[#This Row],[COSTO PLANEADO]]</f>
        <v>0</v>
      </c>
      <c r="AD27" s="46" t="s">
        <v>101</v>
      </c>
      <c r="AE27" s="10"/>
      <c r="AF27" s="10" t="b">
        <f>IF(COUNTIF(PLANPRODUCCION[[#This Row],[OBSERVACIONES]],"NO APLICA BONO*")&gt;0,TRUE,FALSE)</f>
        <v>0</v>
      </c>
    </row>
    <row r="28" spans="1:32" x14ac:dyDescent="0.25">
      <c r="A28" s="46" t="str">
        <f>UPPER(IF(PLANPRODUCCION[[#This Row],[FECHA]]&lt;=45701,_xlfn.CONCAT(TEXT(B28,"MMM"),"-",IF(ROW(A28)&lt;11,"000"&amp;ROW(A28)-1,IF(ROW(A28)&lt;101,"00"&amp;ROW(A28)-1,IF(ROW(A28)&lt;1001,"0"&amp;ROW(A28)-1,ROW(A28)-1))),"-OLD"),_xlfn.CONCAT(TEXT(B28,"MMM"),"-",IF(ROW(A28)&lt;473,"000"&amp;ROW(A28)-463,IF(ROW(A28)&lt;563,"00"&amp;ROW(A28)-463,IF(ROW(A28)&lt;1001,"0"&amp;ROW(A28)-463,ROW(A28)-463))))))</f>
        <v>ENE-0027-OLD</v>
      </c>
      <c r="B28" s="1">
        <v>45663</v>
      </c>
      <c r="C28" s="5"/>
      <c r="D28" s="5"/>
      <c r="E28" t="s">
        <v>54</v>
      </c>
      <c r="F28" s="32"/>
      <c r="G28" s="32"/>
      <c r="H28" s="5">
        <v>1505</v>
      </c>
      <c r="I28" t="s">
        <v>102</v>
      </c>
      <c r="J28" t="s">
        <v>103</v>
      </c>
      <c r="K28" s="5"/>
      <c r="L28" s="10" t="s">
        <v>57</v>
      </c>
      <c r="M28" s="49">
        <v>1.2</v>
      </c>
      <c r="N28" s="34">
        <f>PLANPRODUCCION[[#This Row],[PIEZAS PLANEADAS]]*PLANPRODUCCION[[#This Row],[PRECIO MAQUILAS]]</f>
        <v>0</v>
      </c>
      <c r="O28" s="5">
        <v>3</v>
      </c>
      <c r="P28" s="2">
        <v>0.25</v>
      </c>
      <c r="Q28" s="2">
        <v>0.66666666666666663</v>
      </c>
      <c r="R28" s="24">
        <v>3700</v>
      </c>
      <c r="S28" s="35">
        <f>PLANPRODUCCION[[#This Row],[PRECIO MAQUILAS]]*PLANPRODUCCION[[#This Row],[PIEZAS REAL]]</f>
        <v>4440</v>
      </c>
      <c r="T2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2580</v>
      </c>
      <c r="X28" s="8"/>
      <c r="Y2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8" s="13" t="e">
        <f>IF(PLANPRODUCCION[[#This Row],[PIEZAS REAL]]&gt;0,PLANPRODUCCION[[#This Row],[PIEZAS REAL]]/PLANPRODUCCION[[#This Row],[PIEZAS ACTUALIZADO]],)</f>
        <v>#DIV/0!</v>
      </c>
      <c r="AC28" s="10" t="b">
        <f>PLANPRODUCCION[[#This Row],[INGRESO PLANEADO]]&lt;PLANPRODUCCION[[#This Row],[COSTO PLANEADO]]</f>
        <v>0</v>
      </c>
      <c r="AD28" s="46" t="s">
        <v>104</v>
      </c>
      <c r="AE28" s="10"/>
      <c r="AF28" s="10" t="b">
        <f>IF(COUNTIF(PLANPRODUCCION[[#This Row],[OBSERVACIONES]],"NO APLICA BONO*")&gt;0,TRUE,FALSE)</f>
        <v>0</v>
      </c>
    </row>
    <row r="29" spans="1:32" x14ac:dyDescent="0.25">
      <c r="A29" s="46" t="str">
        <f>UPPER(IF(PLANPRODUCCION[[#This Row],[FECHA]]&lt;=45701,_xlfn.CONCAT(TEXT(B29,"MMM"),"-",IF(ROW(A29)&lt;11,"000"&amp;ROW(A29)-1,IF(ROW(A29)&lt;101,"00"&amp;ROW(A29)-1,IF(ROW(A29)&lt;1001,"0"&amp;ROW(A29)-1,ROW(A29)-1))),"-OLD"),_xlfn.CONCAT(TEXT(B29,"MMM"),"-",IF(ROW(A29)&lt;473,"000"&amp;ROW(A29)-463,IF(ROW(A29)&lt;563,"00"&amp;ROW(A29)-463,IF(ROW(A29)&lt;1001,"0"&amp;ROW(A29)-463,ROW(A29)-463))))))</f>
        <v>ENE-0028-OLD</v>
      </c>
      <c r="B29" s="1">
        <v>45663</v>
      </c>
      <c r="C29" s="5"/>
      <c r="D29" s="5"/>
      <c r="E29" t="s">
        <v>54</v>
      </c>
      <c r="F29" s="32"/>
      <c r="G29" s="32"/>
      <c r="H29" s="5">
        <v>1477</v>
      </c>
      <c r="I29" t="s">
        <v>85</v>
      </c>
      <c r="J29" t="s">
        <v>96</v>
      </c>
      <c r="K29" s="5"/>
      <c r="L29" s="10" t="s">
        <v>57</v>
      </c>
      <c r="M29" s="49">
        <v>0.4</v>
      </c>
      <c r="N29" s="34">
        <f>PLANPRODUCCION[[#This Row],[PIEZAS PLANEADAS]]*PLANPRODUCCION[[#This Row],[PRECIO MAQUILAS]]</f>
        <v>0</v>
      </c>
      <c r="O29" s="5">
        <v>3</v>
      </c>
      <c r="P29" s="2">
        <v>0.33680555555555558</v>
      </c>
      <c r="Q29" s="2">
        <v>0.66666666666666663</v>
      </c>
      <c r="R29" s="24">
        <v>10350</v>
      </c>
      <c r="S29" s="35">
        <f>PLANPRODUCCION[[#This Row],[PRECIO MAQUILAS]]*PLANPRODUCCION[[#This Row],[PIEZAS REAL]]</f>
        <v>4140</v>
      </c>
      <c r="T2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1472.5</v>
      </c>
      <c r="W2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2667.5</v>
      </c>
      <c r="X29" s="8"/>
      <c r="Y2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9" s="13" t="e">
        <f>IF(PLANPRODUCCION[[#This Row],[PIEZAS REAL]]&gt;0,PLANPRODUCCION[[#This Row],[PIEZAS REAL]]/PLANPRODUCCION[[#This Row],[PIEZAS ACTUALIZADO]],)</f>
        <v>#DIV/0!</v>
      </c>
      <c r="AC29" s="10" t="b">
        <f>PLANPRODUCCION[[#This Row],[INGRESO PLANEADO]]&lt;PLANPRODUCCION[[#This Row],[COSTO PLANEADO]]</f>
        <v>0</v>
      </c>
      <c r="AD29" s="46" t="s">
        <v>105</v>
      </c>
      <c r="AE29" s="10"/>
      <c r="AF29" s="10" t="b">
        <f>IF(COUNTIF(PLANPRODUCCION[[#This Row],[OBSERVACIONES]],"NO APLICA BONO*")&gt;0,TRUE,FALSE)</f>
        <v>0</v>
      </c>
    </row>
    <row r="30" spans="1:32" x14ac:dyDescent="0.25">
      <c r="A30" s="46" t="str">
        <f>UPPER(IF(PLANPRODUCCION[[#This Row],[FECHA]]&lt;=45701,_xlfn.CONCAT(TEXT(B30,"MMM"),"-",IF(ROW(A30)&lt;11,"000"&amp;ROW(A30)-1,IF(ROW(A30)&lt;101,"00"&amp;ROW(A30)-1,IF(ROW(A30)&lt;1001,"0"&amp;ROW(A30)-1,ROW(A30)-1))),"-OLD"),_xlfn.CONCAT(TEXT(B30,"MMM"),"-",IF(ROW(A30)&lt;473,"000"&amp;ROW(A30)-463,IF(ROW(A30)&lt;563,"00"&amp;ROW(A30)-463,IF(ROW(A30)&lt;1001,"0"&amp;ROW(A30)-463,ROW(A30)-463))))))</f>
        <v>ENE-0029-OLD</v>
      </c>
      <c r="B30" s="1">
        <v>45663</v>
      </c>
      <c r="C30" s="5"/>
      <c r="D30" s="5"/>
      <c r="E30" t="s">
        <v>54</v>
      </c>
      <c r="F30" s="32"/>
      <c r="G30" s="32"/>
      <c r="H30" s="5">
        <v>1477</v>
      </c>
      <c r="I30" t="s">
        <v>85</v>
      </c>
      <c r="J30" t="s">
        <v>86</v>
      </c>
      <c r="K30" s="5"/>
      <c r="L30" s="10" t="s">
        <v>57</v>
      </c>
      <c r="M30" s="49">
        <v>6</v>
      </c>
      <c r="N30" s="34">
        <f>PLANPRODUCCION[[#This Row],[PIEZAS PLANEADAS]]*PLANPRODUCCION[[#This Row],[PRECIO MAQUILAS]]</f>
        <v>0</v>
      </c>
      <c r="O30" s="5">
        <v>3</v>
      </c>
      <c r="P30" s="2">
        <v>0.33680555555555558</v>
      </c>
      <c r="Q30" s="2">
        <v>0.60416666666666663</v>
      </c>
      <c r="R30" s="24">
        <v>470</v>
      </c>
      <c r="S30" s="35">
        <f>PLANPRODUCCION[[#This Row],[PRECIO MAQUILAS]]*PLANPRODUCCION[[#This Row],[PIEZAS REAL]]</f>
        <v>2820</v>
      </c>
      <c r="T3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1193.5</v>
      </c>
      <c r="W3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1626.5</v>
      </c>
      <c r="X30" s="8"/>
      <c r="Y3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0" s="13" t="e">
        <f>IF(PLANPRODUCCION[[#This Row],[PIEZAS REAL]]&gt;0,PLANPRODUCCION[[#This Row],[PIEZAS REAL]]/PLANPRODUCCION[[#This Row],[PIEZAS ACTUALIZADO]],)</f>
        <v>#DIV/0!</v>
      </c>
      <c r="AC30" s="10" t="b">
        <f>PLANPRODUCCION[[#This Row],[INGRESO PLANEADO]]&lt;PLANPRODUCCION[[#This Row],[COSTO PLANEADO]]</f>
        <v>0</v>
      </c>
      <c r="AD30" s="46" t="s">
        <v>106</v>
      </c>
      <c r="AE30" s="10"/>
      <c r="AF30" s="10" t="b">
        <f>IF(COUNTIF(PLANPRODUCCION[[#This Row],[OBSERVACIONES]],"NO APLICA BONO*")&gt;0,TRUE,FALSE)</f>
        <v>0</v>
      </c>
    </row>
    <row r="31" spans="1:32" x14ac:dyDescent="0.25">
      <c r="A31" s="46" t="str">
        <f>UPPER(IF(PLANPRODUCCION[[#This Row],[FECHA]]&lt;=45701,_xlfn.CONCAT(TEXT(B31,"MMM"),"-",IF(ROW(A31)&lt;11,"000"&amp;ROW(A31)-1,IF(ROW(A31)&lt;101,"00"&amp;ROW(A31)-1,IF(ROW(A31)&lt;1001,"0"&amp;ROW(A31)-1,ROW(A31)-1))),"-OLD"),_xlfn.CONCAT(TEXT(B31,"MMM"),"-",IF(ROW(A31)&lt;473,"000"&amp;ROW(A31)-463,IF(ROW(A31)&lt;563,"00"&amp;ROW(A31)-463,IF(ROW(A31)&lt;1001,"0"&amp;ROW(A31)-463,ROW(A31)-463))))))</f>
        <v>ENE-0030-OLD</v>
      </c>
      <c r="B31" s="1">
        <v>45663</v>
      </c>
      <c r="C31" s="5"/>
      <c r="D31" s="5"/>
      <c r="E31" t="s">
        <v>54</v>
      </c>
      <c r="F31" s="32"/>
      <c r="G31" s="32"/>
      <c r="H31" s="5">
        <v>1477</v>
      </c>
      <c r="I31" t="s">
        <v>85</v>
      </c>
      <c r="J31" t="s">
        <v>86</v>
      </c>
      <c r="K31" s="5"/>
      <c r="L31" s="10" t="s">
        <v>57</v>
      </c>
      <c r="M31" s="49">
        <v>6</v>
      </c>
      <c r="N31" s="34">
        <f>PLANPRODUCCION[[#This Row],[PIEZAS PLANEADAS]]*PLANPRODUCCION[[#This Row],[PRECIO MAQUILAS]]</f>
        <v>0</v>
      </c>
      <c r="O31" s="5">
        <v>2</v>
      </c>
      <c r="P31" s="2">
        <v>0.51458333333333328</v>
      </c>
      <c r="Q31" s="2">
        <v>0.66666666666666663</v>
      </c>
      <c r="R31" s="24">
        <v>210</v>
      </c>
      <c r="S31" s="35">
        <f>PLANPRODUCCION[[#This Row],[PRECIO MAQUILAS]]*PLANPRODUCCION[[#This Row],[PIEZAS REAL]]</f>
        <v>1260</v>
      </c>
      <c r="T3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452.6</v>
      </c>
      <c r="W3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807.4</v>
      </c>
      <c r="X31" s="8"/>
      <c r="Y3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1" s="13" t="e">
        <f>IF(PLANPRODUCCION[[#This Row],[PIEZAS REAL]]&gt;0,PLANPRODUCCION[[#This Row],[PIEZAS REAL]]/PLANPRODUCCION[[#This Row],[PIEZAS ACTUALIZADO]],)</f>
        <v>#DIV/0!</v>
      </c>
      <c r="AC31" s="10" t="b">
        <f>PLANPRODUCCION[[#This Row],[INGRESO PLANEADO]]&lt;PLANPRODUCCION[[#This Row],[COSTO PLANEADO]]</f>
        <v>0</v>
      </c>
      <c r="AD31" s="46" t="s">
        <v>107</v>
      </c>
      <c r="AE31" s="10"/>
      <c r="AF31" s="10" t="b">
        <f>IF(COUNTIF(PLANPRODUCCION[[#This Row],[OBSERVACIONES]],"NO APLICA BONO*")&gt;0,TRUE,FALSE)</f>
        <v>0</v>
      </c>
    </row>
    <row r="32" spans="1:32" x14ac:dyDescent="0.25">
      <c r="A32" s="46" t="str">
        <f>UPPER(IF(PLANPRODUCCION[[#This Row],[FECHA]]&lt;=45701,_xlfn.CONCAT(TEXT(B32,"MMM"),"-",IF(ROW(A32)&lt;11,"000"&amp;ROW(A32)-1,IF(ROW(A32)&lt;101,"00"&amp;ROW(A32)-1,IF(ROW(A32)&lt;1001,"0"&amp;ROW(A32)-1,ROW(A32)-1))),"-OLD"),_xlfn.CONCAT(TEXT(B32,"MMM"),"-",IF(ROW(A32)&lt;473,"000"&amp;ROW(A32)-463,IF(ROW(A32)&lt;563,"00"&amp;ROW(A32)-463,IF(ROW(A32)&lt;1001,"0"&amp;ROW(A32)-463,ROW(A32)-463))))))</f>
        <v>ENE-0031-OLD</v>
      </c>
      <c r="B32" s="1">
        <v>45663</v>
      </c>
      <c r="C32" s="5"/>
      <c r="D32" s="5"/>
      <c r="E32" t="s">
        <v>54</v>
      </c>
      <c r="F32" s="32"/>
      <c r="G32" s="32"/>
      <c r="H32" s="5">
        <v>1477</v>
      </c>
      <c r="I32" t="s">
        <v>85</v>
      </c>
      <c r="J32" t="s">
        <v>86</v>
      </c>
      <c r="K32" s="5"/>
      <c r="L32" s="10" t="s">
        <v>57</v>
      </c>
      <c r="M32" s="49">
        <v>6</v>
      </c>
      <c r="N32" s="34">
        <f>PLANPRODUCCION[[#This Row],[PIEZAS PLANEADAS]]*PLANPRODUCCION[[#This Row],[PRECIO MAQUILAS]]</f>
        <v>0</v>
      </c>
      <c r="O32" s="5">
        <v>2</v>
      </c>
      <c r="P32" s="2">
        <v>0.60486111111111107</v>
      </c>
      <c r="Q32" s="2">
        <v>0.66666666666666663</v>
      </c>
      <c r="R32" s="24">
        <v>100</v>
      </c>
      <c r="S32" s="35">
        <f>PLANPRODUCCION[[#This Row],[PRECIO MAQUILAS]]*PLANPRODUCCION[[#This Row],[PIEZAS REAL]]</f>
        <v>600</v>
      </c>
      <c r="T3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183.93333333333334</v>
      </c>
      <c r="W3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416.06666666666666</v>
      </c>
      <c r="X32" s="8"/>
      <c r="Y3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2" s="13" t="e">
        <f>IF(PLANPRODUCCION[[#This Row],[PIEZAS REAL]]&gt;0,PLANPRODUCCION[[#This Row],[PIEZAS REAL]]/PLANPRODUCCION[[#This Row],[PIEZAS ACTUALIZADO]],)</f>
        <v>#DIV/0!</v>
      </c>
      <c r="AC32" s="10" t="b">
        <f>PLANPRODUCCION[[#This Row],[INGRESO PLANEADO]]&lt;PLANPRODUCCION[[#This Row],[COSTO PLANEADO]]</f>
        <v>0</v>
      </c>
      <c r="AD32" s="46" t="s">
        <v>108</v>
      </c>
      <c r="AE32" s="10"/>
      <c r="AF32" s="10" t="b">
        <f>IF(COUNTIF(PLANPRODUCCION[[#This Row],[OBSERVACIONES]],"NO APLICA BONO*")&gt;0,TRUE,FALSE)</f>
        <v>0</v>
      </c>
    </row>
    <row r="33" spans="1:32" x14ac:dyDescent="0.25">
      <c r="A33" s="46" t="str">
        <f>UPPER(IF(PLANPRODUCCION[[#This Row],[FECHA]]&lt;=45701,_xlfn.CONCAT(TEXT(B33,"MMM"),"-",IF(ROW(A33)&lt;11,"000"&amp;ROW(A33)-1,IF(ROW(A33)&lt;101,"00"&amp;ROW(A33)-1,IF(ROW(A33)&lt;1001,"0"&amp;ROW(A33)-1,ROW(A33)-1))),"-OLD"),_xlfn.CONCAT(TEXT(B33,"MMM"),"-",IF(ROW(A33)&lt;473,"000"&amp;ROW(A33)-463,IF(ROW(A33)&lt;563,"00"&amp;ROW(A33)-463,IF(ROW(A33)&lt;1001,"0"&amp;ROW(A33)-463,ROW(A33)-463))))))</f>
        <v>ENE-0032-OLD</v>
      </c>
      <c r="B33" s="1">
        <v>45663</v>
      </c>
      <c r="C33" s="5"/>
      <c r="D33" s="5"/>
      <c r="E33" t="s">
        <v>67</v>
      </c>
      <c r="F33" s="32"/>
      <c r="G33" s="32"/>
      <c r="H33" s="5">
        <v>1477</v>
      </c>
      <c r="I33" t="s">
        <v>85</v>
      </c>
      <c r="J33" t="s">
        <v>96</v>
      </c>
      <c r="K33" s="5"/>
      <c r="L33" s="10" t="s">
        <v>57</v>
      </c>
      <c r="M33" s="49">
        <v>0.4</v>
      </c>
      <c r="N33" s="34">
        <f>PLANPRODUCCION[[#This Row],[PIEZAS PLANEADAS]]*PLANPRODUCCION[[#This Row],[PRECIO MAQUILAS]]</f>
        <v>0</v>
      </c>
      <c r="O33" s="5">
        <v>2</v>
      </c>
      <c r="P33" s="2">
        <v>0.66666666666666663</v>
      </c>
      <c r="Q33" s="2">
        <v>0.75</v>
      </c>
      <c r="R33" s="24">
        <v>1350</v>
      </c>
      <c r="S33" s="35">
        <f>PLANPRODUCCION[[#This Row],[PRECIO MAQUILAS]]*PLANPRODUCCION[[#This Row],[PIEZAS REAL]]</f>
        <v>540</v>
      </c>
      <c r="T3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3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292</v>
      </c>
      <c r="X33" s="8"/>
      <c r="Y3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3" s="13" t="e">
        <f>IF(PLANPRODUCCION[[#This Row],[PIEZAS REAL]]&gt;0,PLANPRODUCCION[[#This Row],[PIEZAS REAL]]/PLANPRODUCCION[[#This Row],[PIEZAS ACTUALIZADO]],)</f>
        <v>#DIV/0!</v>
      </c>
      <c r="AC33" s="10" t="b">
        <f>PLANPRODUCCION[[#This Row],[INGRESO PLANEADO]]&lt;PLANPRODUCCION[[#This Row],[COSTO PLANEADO]]</f>
        <v>0</v>
      </c>
      <c r="AD33" s="46" t="s">
        <v>109</v>
      </c>
      <c r="AE33" s="10"/>
      <c r="AF33" s="10" t="b">
        <f>IF(COUNTIF(PLANPRODUCCION[[#This Row],[OBSERVACIONES]],"NO APLICA BONO*")&gt;0,TRUE,FALSE)</f>
        <v>0</v>
      </c>
    </row>
    <row r="34" spans="1:32" x14ac:dyDescent="0.25">
      <c r="A34" s="46" t="str">
        <f>UPPER(IF(PLANPRODUCCION[[#This Row],[FECHA]]&lt;=45701,_xlfn.CONCAT(TEXT(B34,"MMM"),"-",IF(ROW(A34)&lt;11,"000"&amp;ROW(A34)-1,IF(ROW(A34)&lt;101,"00"&amp;ROW(A34)-1,IF(ROW(A34)&lt;1001,"0"&amp;ROW(A34)-1,ROW(A34)-1))),"-OLD"),_xlfn.CONCAT(TEXT(B34,"MMM"),"-",IF(ROW(A34)&lt;473,"000"&amp;ROW(A34)-463,IF(ROW(A34)&lt;563,"00"&amp;ROW(A34)-463,IF(ROW(A34)&lt;1001,"0"&amp;ROW(A34)-463,ROW(A34)-463))))))</f>
        <v>ENE-0033-OLD</v>
      </c>
      <c r="B34" s="1">
        <v>45663</v>
      </c>
      <c r="C34" s="5"/>
      <c r="D34" s="5"/>
      <c r="E34" t="s">
        <v>110</v>
      </c>
      <c r="F34" s="32"/>
      <c r="G34" s="32"/>
      <c r="H34" s="5">
        <v>1477</v>
      </c>
      <c r="I34" t="s">
        <v>85</v>
      </c>
      <c r="J34" t="s">
        <v>86</v>
      </c>
      <c r="K34" s="5"/>
      <c r="L34" s="10" t="s">
        <v>57</v>
      </c>
      <c r="M34" s="49">
        <v>6</v>
      </c>
      <c r="N34" s="34">
        <f>PLANPRODUCCION[[#This Row],[PIEZAS PLANEADAS]]*PLANPRODUCCION[[#This Row],[PRECIO MAQUILAS]]</f>
        <v>0</v>
      </c>
      <c r="O34" s="5">
        <v>2</v>
      </c>
      <c r="P34" s="2">
        <v>0.54166666666666663</v>
      </c>
      <c r="Q34" s="2">
        <v>0.83680555555555558</v>
      </c>
      <c r="R34" s="24">
        <v>210</v>
      </c>
      <c r="S34" s="35">
        <f>PLANPRODUCCION[[#This Row],[PRECIO MAQUILAS]]*PLANPRODUCCION[[#This Row],[PIEZAS REAL]]</f>
        <v>1260</v>
      </c>
      <c r="T3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1097.9166666666667</v>
      </c>
      <c r="W3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162.08333333333326</v>
      </c>
      <c r="X34" s="8"/>
      <c r="Y3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4" s="13" t="e">
        <f>IF(PLANPRODUCCION[[#This Row],[PIEZAS REAL]]&gt;0,PLANPRODUCCION[[#This Row],[PIEZAS REAL]]/PLANPRODUCCION[[#This Row],[PIEZAS ACTUALIZADO]],)</f>
        <v>#DIV/0!</v>
      </c>
      <c r="AC34" s="10" t="b">
        <f>PLANPRODUCCION[[#This Row],[INGRESO PLANEADO]]&lt;PLANPRODUCCION[[#This Row],[COSTO PLANEADO]]</f>
        <v>0</v>
      </c>
      <c r="AD34" s="46" t="s">
        <v>111</v>
      </c>
      <c r="AE34" s="10"/>
      <c r="AF34" s="10" t="b">
        <f>IF(COUNTIF(PLANPRODUCCION[[#This Row],[OBSERVACIONES]],"NO APLICA BONO*")&gt;0,TRUE,FALSE)</f>
        <v>0</v>
      </c>
    </row>
    <row r="35" spans="1:32" x14ac:dyDescent="0.25">
      <c r="A35" s="46" t="str">
        <f>UPPER(IF(PLANPRODUCCION[[#This Row],[FECHA]]&lt;=45701,_xlfn.CONCAT(TEXT(B35,"MMM"),"-",IF(ROW(A35)&lt;11,"000"&amp;ROW(A35)-1,IF(ROW(A35)&lt;101,"00"&amp;ROW(A35)-1,IF(ROW(A35)&lt;1001,"0"&amp;ROW(A35)-1,ROW(A35)-1))),"-OLD"),_xlfn.CONCAT(TEXT(B35,"MMM"),"-",IF(ROW(A35)&lt;473,"000"&amp;ROW(A35)-463,IF(ROW(A35)&lt;563,"00"&amp;ROW(A35)-463,IF(ROW(A35)&lt;1001,"0"&amp;ROW(A35)-463,ROW(A35)-463))))))</f>
        <v>ENE-0034-OLD</v>
      </c>
      <c r="B35" s="1">
        <v>45663</v>
      </c>
      <c r="C35" s="5"/>
      <c r="D35" s="5"/>
      <c r="E35" t="s">
        <v>72</v>
      </c>
      <c r="F35" s="32"/>
      <c r="G35" s="32"/>
      <c r="H35" s="5">
        <v>1477</v>
      </c>
      <c r="I35" t="s">
        <v>85</v>
      </c>
      <c r="J35" t="s">
        <v>86</v>
      </c>
      <c r="K35" s="5"/>
      <c r="L35" s="10" t="s">
        <v>57</v>
      </c>
      <c r="M35" s="49">
        <v>6</v>
      </c>
      <c r="N35" s="34">
        <f>PLANPRODUCCION[[#This Row],[PIEZAS PLANEADAS]]*PLANPRODUCCION[[#This Row],[PRECIO MAQUILAS]]</f>
        <v>0</v>
      </c>
      <c r="O35" s="5">
        <v>2</v>
      </c>
      <c r="P35" s="2">
        <v>0.66666666666666663</v>
      </c>
      <c r="Q35" s="2">
        <v>0.86111111111111116</v>
      </c>
      <c r="R35" s="24">
        <v>170</v>
      </c>
      <c r="S35" s="35">
        <f>PLANPRODUCCION[[#This Row],[PRECIO MAQUILAS]]*PLANPRODUCCION[[#This Row],[PIEZAS REAL]]</f>
        <v>1020</v>
      </c>
      <c r="T3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578.66666666666663</v>
      </c>
      <c r="W3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441.33333333333337</v>
      </c>
      <c r="X35" s="8"/>
      <c r="Y3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5" s="13" t="e">
        <f>IF(PLANPRODUCCION[[#This Row],[PIEZAS REAL]]&gt;0,PLANPRODUCCION[[#This Row],[PIEZAS REAL]]/PLANPRODUCCION[[#This Row],[PIEZAS ACTUALIZADO]],)</f>
        <v>#DIV/0!</v>
      </c>
      <c r="AC35" s="10" t="b">
        <f>PLANPRODUCCION[[#This Row],[INGRESO PLANEADO]]&lt;PLANPRODUCCION[[#This Row],[COSTO PLANEADO]]</f>
        <v>0</v>
      </c>
      <c r="AD35" s="46" t="s">
        <v>112</v>
      </c>
      <c r="AE35" s="10"/>
      <c r="AF35" s="10" t="b">
        <f>IF(COUNTIF(PLANPRODUCCION[[#This Row],[OBSERVACIONES]],"NO APLICA BONO*")&gt;0,TRUE,FALSE)</f>
        <v>0</v>
      </c>
    </row>
    <row r="36" spans="1:32" x14ac:dyDescent="0.25">
      <c r="A36" s="46" t="str">
        <f>UPPER(IF(PLANPRODUCCION[[#This Row],[FECHA]]&lt;=45701,_xlfn.CONCAT(TEXT(B36,"MMM"),"-",IF(ROW(A36)&lt;11,"000"&amp;ROW(A36)-1,IF(ROW(A36)&lt;101,"00"&amp;ROW(A36)-1,IF(ROW(A36)&lt;1001,"0"&amp;ROW(A36)-1,ROW(A36)-1))),"-OLD"),_xlfn.CONCAT(TEXT(B36,"MMM"),"-",IF(ROW(A36)&lt;473,"000"&amp;ROW(A36)-463,IF(ROW(A36)&lt;563,"00"&amp;ROW(A36)-463,IF(ROW(A36)&lt;1001,"0"&amp;ROW(A36)-463,ROW(A36)-463))))))</f>
        <v>ENE-0035-OLD</v>
      </c>
      <c r="B36" s="1">
        <v>45663</v>
      </c>
      <c r="C36" s="5"/>
      <c r="D36" s="5"/>
      <c r="E36" t="s">
        <v>72</v>
      </c>
      <c r="F36" s="32"/>
      <c r="G36" s="32"/>
      <c r="H36" s="5">
        <v>1477</v>
      </c>
      <c r="I36" t="s">
        <v>85</v>
      </c>
      <c r="J36" t="s">
        <v>86</v>
      </c>
      <c r="K36" s="5"/>
      <c r="L36" s="10" t="s">
        <v>57</v>
      </c>
      <c r="M36" s="49">
        <v>6</v>
      </c>
      <c r="N36" s="34">
        <f>PLANPRODUCCION[[#This Row],[PIEZAS PLANEADAS]]*PLANPRODUCCION[[#This Row],[PRECIO MAQUILAS]]</f>
        <v>0</v>
      </c>
      <c r="O36" s="5">
        <v>1</v>
      </c>
      <c r="P36" s="2">
        <v>0.66666666666666663</v>
      </c>
      <c r="Q36" s="2">
        <v>0.86111111111111116</v>
      </c>
      <c r="R36" s="24">
        <v>80</v>
      </c>
      <c r="S36" s="35">
        <f>PLANPRODUCCION[[#This Row],[PRECIO MAQUILAS]]*PLANPRODUCCION[[#This Row],[PIEZAS REAL]]</f>
        <v>480</v>
      </c>
      <c r="T3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289.33333333333331</v>
      </c>
      <c r="W3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190.66666666666669</v>
      </c>
      <c r="X36" s="8"/>
      <c r="Y3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6" s="13" t="e">
        <f>IF(PLANPRODUCCION[[#This Row],[PIEZAS REAL]]&gt;0,PLANPRODUCCION[[#This Row],[PIEZAS REAL]]/PLANPRODUCCION[[#This Row],[PIEZAS ACTUALIZADO]],)</f>
        <v>#DIV/0!</v>
      </c>
      <c r="AC36" s="10" t="b">
        <f>PLANPRODUCCION[[#This Row],[INGRESO PLANEADO]]&lt;PLANPRODUCCION[[#This Row],[COSTO PLANEADO]]</f>
        <v>0</v>
      </c>
      <c r="AD36" s="46" t="s">
        <v>113</v>
      </c>
      <c r="AE36" s="10"/>
      <c r="AF36" s="10" t="b">
        <f>IF(COUNTIF(PLANPRODUCCION[[#This Row],[OBSERVACIONES]],"NO APLICA BONO*")&gt;0,TRUE,FALSE)</f>
        <v>0</v>
      </c>
    </row>
    <row r="37" spans="1:32" x14ac:dyDescent="0.25">
      <c r="A37" s="46" t="str">
        <f>UPPER(IF(PLANPRODUCCION[[#This Row],[FECHA]]&lt;=45701,_xlfn.CONCAT(TEXT(B37,"MMM"),"-",IF(ROW(A37)&lt;11,"000"&amp;ROW(A37)-1,IF(ROW(A37)&lt;101,"00"&amp;ROW(A37)-1,IF(ROW(A37)&lt;1001,"0"&amp;ROW(A37)-1,ROW(A37)-1))),"-OLD"),_xlfn.CONCAT(TEXT(B37,"MMM"),"-",IF(ROW(A37)&lt;473,"000"&amp;ROW(A37)-463,IF(ROW(A37)&lt;563,"00"&amp;ROW(A37)-463,IF(ROW(A37)&lt;1001,"0"&amp;ROW(A37)-463,ROW(A37)-463))))))</f>
        <v>ENE-0036-OLD</v>
      </c>
      <c r="B37" s="1">
        <v>45663</v>
      </c>
      <c r="C37" s="5"/>
      <c r="D37" s="5"/>
      <c r="E37" t="s">
        <v>72</v>
      </c>
      <c r="F37" s="32"/>
      <c r="G37" s="32"/>
      <c r="H37" s="5">
        <v>1477</v>
      </c>
      <c r="I37" t="s">
        <v>85</v>
      </c>
      <c r="J37" t="s">
        <v>86</v>
      </c>
      <c r="K37" s="5"/>
      <c r="L37" s="10" t="s">
        <v>57</v>
      </c>
      <c r="M37" s="49">
        <v>6</v>
      </c>
      <c r="N37" s="34">
        <f>PLANPRODUCCION[[#This Row],[PIEZAS PLANEADAS]]*PLANPRODUCCION[[#This Row],[PRECIO MAQUILAS]]</f>
        <v>0</v>
      </c>
      <c r="O37" s="5">
        <v>2</v>
      </c>
      <c r="P37" s="2">
        <v>0.66666666666666663</v>
      </c>
      <c r="Q37" s="2">
        <v>0.86111111111111116</v>
      </c>
      <c r="R37" s="24">
        <v>190</v>
      </c>
      <c r="S37" s="35">
        <f>PLANPRODUCCION[[#This Row],[PRECIO MAQUILAS]]*PLANPRODUCCION[[#This Row],[PIEZAS REAL]]</f>
        <v>1140</v>
      </c>
      <c r="T3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578.66666666666663</v>
      </c>
      <c r="W3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561.33333333333337</v>
      </c>
      <c r="X37" s="8"/>
      <c r="Y3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7" s="13" t="e">
        <f>IF(PLANPRODUCCION[[#This Row],[PIEZAS REAL]]&gt;0,PLANPRODUCCION[[#This Row],[PIEZAS REAL]]/PLANPRODUCCION[[#This Row],[PIEZAS ACTUALIZADO]],)</f>
        <v>#DIV/0!</v>
      </c>
      <c r="AC37" s="10" t="b">
        <f>PLANPRODUCCION[[#This Row],[INGRESO PLANEADO]]&lt;PLANPRODUCCION[[#This Row],[COSTO PLANEADO]]</f>
        <v>0</v>
      </c>
      <c r="AD37" s="46" t="s">
        <v>114</v>
      </c>
      <c r="AE37" s="10"/>
      <c r="AF37" s="10" t="b">
        <f>IF(COUNTIF(PLANPRODUCCION[[#This Row],[OBSERVACIONES]],"NO APLICA BONO*")&gt;0,TRUE,FALSE)</f>
        <v>0</v>
      </c>
    </row>
    <row r="38" spans="1:32" x14ac:dyDescent="0.25">
      <c r="A38" s="46" t="str">
        <f>UPPER(IF(PLANPRODUCCION[[#This Row],[FECHA]]&lt;=45701,_xlfn.CONCAT(TEXT(B38,"MMM"),"-",IF(ROW(A38)&lt;11,"000"&amp;ROW(A38)-1,IF(ROW(A38)&lt;101,"00"&amp;ROW(A38)-1,IF(ROW(A38)&lt;1001,"0"&amp;ROW(A38)-1,ROW(A38)-1))),"-OLD"),_xlfn.CONCAT(TEXT(B38,"MMM"),"-",IF(ROW(A38)&lt;473,"000"&amp;ROW(A38)-463,IF(ROW(A38)&lt;563,"00"&amp;ROW(A38)-463,IF(ROW(A38)&lt;1001,"0"&amp;ROW(A38)-463,ROW(A38)-463))))))</f>
        <v>ENE-0037-OLD</v>
      </c>
      <c r="B38" s="1">
        <v>45663</v>
      </c>
      <c r="C38" s="5"/>
      <c r="D38" s="5"/>
      <c r="E38" t="s">
        <v>75</v>
      </c>
      <c r="F38" s="32"/>
      <c r="G38" s="32"/>
      <c r="H38" s="5">
        <v>1505</v>
      </c>
      <c r="I38" t="s">
        <v>102</v>
      </c>
      <c r="J38" t="s">
        <v>103</v>
      </c>
      <c r="K38" s="5"/>
      <c r="L38" s="10" t="s">
        <v>57</v>
      </c>
      <c r="M38" s="49">
        <v>1.2</v>
      </c>
      <c r="N38" s="34">
        <f>PLANPRODUCCION[[#This Row],[PIEZAS PLANEADAS]]*PLANPRODUCCION[[#This Row],[PRECIO MAQUILAS]]</f>
        <v>0</v>
      </c>
      <c r="O38" s="5">
        <v>6</v>
      </c>
      <c r="P38" s="2">
        <v>0.875</v>
      </c>
      <c r="Q38" s="2">
        <v>6.25E-2</v>
      </c>
      <c r="R38" s="24">
        <v>1552</v>
      </c>
      <c r="S38" s="35">
        <f>PLANPRODUCCION[[#This Row],[PRECIO MAQUILAS]]*PLANPRODUCCION[[#This Row],[PIEZAS REAL]]</f>
        <v>1862.3999999999999</v>
      </c>
      <c r="T3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2250</v>
      </c>
      <c r="W3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-387.60000000000014</v>
      </c>
      <c r="X38" s="8"/>
      <c r="Y3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8" s="13" t="e">
        <f>IF(PLANPRODUCCION[[#This Row],[PIEZAS REAL]]&gt;0,PLANPRODUCCION[[#This Row],[PIEZAS REAL]]/PLANPRODUCCION[[#This Row],[PIEZAS ACTUALIZADO]],)</f>
        <v>#DIV/0!</v>
      </c>
      <c r="AC38" s="10" t="b">
        <f>PLANPRODUCCION[[#This Row],[INGRESO PLANEADO]]&lt;PLANPRODUCCION[[#This Row],[COSTO PLANEADO]]</f>
        <v>0</v>
      </c>
      <c r="AD38" s="46" t="s">
        <v>115</v>
      </c>
      <c r="AE38" s="10"/>
      <c r="AF38" s="10" t="b">
        <f>IF(COUNTIF(PLANPRODUCCION[[#This Row],[OBSERVACIONES]],"NO APLICA BONO*")&gt;0,TRUE,FALSE)</f>
        <v>0</v>
      </c>
    </row>
    <row r="39" spans="1:32" x14ac:dyDescent="0.25">
      <c r="A39" s="46" t="str">
        <f>UPPER(IF(PLANPRODUCCION[[#This Row],[FECHA]]&lt;=45701,_xlfn.CONCAT(TEXT(B39,"MMM"),"-",IF(ROW(A39)&lt;11,"000"&amp;ROW(A39)-1,IF(ROW(A39)&lt;101,"00"&amp;ROW(A39)-1,IF(ROW(A39)&lt;1001,"0"&amp;ROW(A39)-1,ROW(A39)-1))),"-OLD"),_xlfn.CONCAT(TEXT(B39,"MMM"),"-",IF(ROW(A39)&lt;473,"000"&amp;ROW(A39)-463,IF(ROW(A39)&lt;563,"00"&amp;ROW(A39)-463,IF(ROW(A39)&lt;1001,"0"&amp;ROW(A39)-463,ROW(A39)-463))))))</f>
        <v>ENE-0038-OLD</v>
      </c>
      <c r="B39" s="1">
        <v>45664</v>
      </c>
      <c r="C39" s="5"/>
      <c r="D39" s="5"/>
      <c r="E39" t="s">
        <v>54</v>
      </c>
      <c r="F39" s="32"/>
      <c r="G39" s="32"/>
      <c r="H39" s="5">
        <v>1477</v>
      </c>
      <c r="I39" t="s">
        <v>85</v>
      </c>
      <c r="J39" t="s">
        <v>96</v>
      </c>
      <c r="K39" s="5"/>
      <c r="L39" s="10" t="s">
        <v>57</v>
      </c>
      <c r="M39" s="49">
        <v>0.4</v>
      </c>
      <c r="N39" s="34">
        <f>PLANPRODUCCION[[#This Row],[PIEZAS PLANEADAS]]*PLANPRODUCCION[[#This Row],[PRECIO MAQUILAS]]</f>
        <v>0</v>
      </c>
      <c r="O39" s="5">
        <v>3</v>
      </c>
      <c r="P39" s="2">
        <v>0.25</v>
      </c>
      <c r="Q39" s="2">
        <v>0.31180555555555556</v>
      </c>
      <c r="R39" s="24">
        <v>3450</v>
      </c>
      <c r="S39" s="35">
        <f>PLANPRODUCCION[[#This Row],[PRECIO MAQUILAS]]*PLANPRODUCCION[[#This Row],[PIEZAS REAL]]</f>
        <v>1380</v>
      </c>
      <c r="T3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275.89999999999998</v>
      </c>
      <c r="W3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1104.0999999999999</v>
      </c>
      <c r="X39" s="8"/>
      <c r="Y3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9" s="13" t="e">
        <f>IF(PLANPRODUCCION[[#This Row],[PIEZAS REAL]]&gt;0,PLANPRODUCCION[[#This Row],[PIEZAS REAL]]/PLANPRODUCCION[[#This Row],[PIEZAS ACTUALIZADO]],)</f>
        <v>#DIV/0!</v>
      </c>
      <c r="AC39" s="10" t="b">
        <f>PLANPRODUCCION[[#This Row],[INGRESO PLANEADO]]&lt;PLANPRODUCCION[[#This Row],[COSTO PLANEADO]]</f>
        <v>0</v>
      </c>
      <c r="AD39" s="46" t="s">
        <v>116</v>
      </c>
      <c r="AE39" s="10"/>
      <c r="AF39" s="10" t="b">
        <f>IF(COUNTIF(PLANPRODUCCION[[#This Row],[OBSERVACIONES]],"NO APLICA BONO*")&gt;0,TRUE,FALSE)</f>
        <v>0</v>
      </c>
    </row>
    <row r="40" spans="1:32" x14ac:dyDescent="0.25">
      <c r="A40" s="46" t="str">
        <f>UPPER(IF(PLANPRODUCCION[[#This Row],[FECHA]]&lt;=45701,_xlfn.CONCAT(TEXT(B40,"MMM"),"-",IF(ROW(A40)&lt;11,"000"&amp;ROW(A40)-1,IF(ROW(A40)&lt;101,"00"&amp;ROW(A40)-1,IF(ROW(A40)&lt;1001,"0"&amp;ROW(A40)-1,ROW(A40)-1))),"-OLD"),_xlfn.CONCAT(TEXT(B40,"MMM"),"-",IF(ROW(A40)&lt;473,"000"&amp;ROW(A40)-463,IF(ROW(A40)&lt;563,"00"&amp;ROW(A40)-463,IF(ROW(A40)&lt;1001,"0"&amp;ROW(A40)-463,ROW(A40)-463))))))</f>
        <v>ENE-0039-OLD</v>
      </c>
      <c r="B40" s="1">
        <v>45664</v>
      </c>
      <c r="C40" s="5"/>
      <c r="D40" s="5"/>
      <c r="E40" t="s">
        <v>54</v>
      </c>
      <c r="F40" s="32"/>
      <c r="G40" s="32"/>
      <c r="H40" s="5">
        <v>1477</v>
      </c>
      <c r="I40" t="s">
        <v>85</v>
      </c>
      <c r="J40" t="s">
        <v>96</v>
      </c>
      <c r="K40" s="5"/>
      <c r="L40" s="10" t="s">
        <v>57</v>
      </c>
      <c r="M40" s="49">
        <v>0.4</v>
      </c>
      <c r="N40" s="34">
        <f>PLANPRODUCCION[[#This Row],[PIEZAS PLANEADAS]]*PLANPRODUCCION[[#This Row],[PRECIO MAQUILAS]]</f>
        <v>0</v>
      </c>
      <c r="O40" s="5">
        <v>3</v>
      </c>
      <c r="P40" s="2">
        <v>0.25</v>
      </c>
      <c r="Q40" s="2">
        <v>0.3125</v>
      </c>
      <c r="R40" s="24">
        <v>2394</v>
      </c>
      <c r="S40" s="35">
        <f>PLANPRODUCCION[[#This Row],[PRECIO MAQUILAS]]*PLANPRODUCCION[[#This Row],[PIEZAS REAL]]</f>
        <v>957.6</v>
      </c>
      <c r="T4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</v>
      </c>
      <c r="W4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678.6</v>
      </c>
      <c r="X40" s="8"/>
      <c r="Y4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0" s="13" t="e">
        <f>IF(PLANPRODUCCION[[#This Row],[PIEZAS REAL]]&gt;0,PLANPRODUCCION[[#This Row],[PIEZAS REAL]]/PLANPRODUCCION[[#This Row],[PIEZAS ACTUALIZADO]],)</f>
        <v>#DIV/0!</v>
      </c>
      <c r="AC40" s="10" t="b">
        <f>PLANPRODUCCION[[#This Row],[INGRESO PLANEADO]]&lt;PLANPRODUCCION[[#This Row],[COSTO PLANEADO]]</f>
        <v>0</v>
      </c>
      <c r="AD40" s="46" t="s">
        <v>117</v>
      </c>
      <c r="AE40" s="10"/>
      <c r="AF40" s="10" t="b">
        <f>IF(COUNTIF(PLANPRODUCCION[[#This Row],[OBSERVACIONES]],"NO APLICA BONO*")&gt;0,TRUE,FALSE)</f>
        <v>0</v>
      </c>
    </row>
    <row r="41" spans="1:32" x14ac:dyDescent="0.25">
      <c r="A41" s="46" t="str">
        <f>UPPER(IF(PLANPRODUCCION[[#This Row],[FECHA]]&lt;=45701,_xlfn.CONCAT(TEXT(B41,"MMM"),"-",IF(ROW(A41)&lt;11,"000"&amp;ROW(A41)-1,IF(ROW(A41)&lt;101,"00"&amp;ROW(A41)-1,IF(ROW(A41)&lt;1001,"0"&amp;ROW(A41)-1,ROW(A41)-1))),"-OLD"),_xlfn.CONCAT(TEXT(B41,"MMM"),"-",IF(ROW(A41)&lt;473,"000"&amp;ROW(A41)-463,IF(ROW(A41)&lt;563,"00"&amp;ROW(A41)-463,IF(ROW(A41)&lt;1001,"0"&amp;ROW(A41)-463,ROW(A41)-463))))))</f>
        <v>ENE-0040-OLD</v>
      </c>
      <c r="B41" s="1">
        <v>45664</v>
      </c>
      <c r="C41" s="5"/>
      <c r="D41" s="5"/>
      <c r="E41" t="s">
        <v>54</v>
      </c>
      <c r="F41" s="32"/>
      <c r="G41" s="32"/>
      <c r="H41" s="5">
        <v>1477</v>
      </c>
      <c r="I41" t="s">
        <v>85</v>
      </c>
      <c r="J41" t="s">
        <v>96</v>
      </c>
      <c r="K41" s="5"/>
      <c r="L41" s="10" t="s">
        <v>57</v>
      </c>
      <c r="M41" s="49">
        <v>0.4</v>
      </c>
      <c r="N41" s="34">
        <f>PLANPRODUCCION[[#This Row],[PIEZAS PLANEADAS]]*PLANPRODUCCION[[#This Row],[PRECIO MAQUILAS]]</f>
        <v>0</v>
      </c>
      <c r="O41" s="5">
        <v>3</v>
      </c>
      <c r="P41" s="2">
        <v>0.25</v>
      </c>
      <c r="Q41" s="2">
        <v>0.30902777777777779</v>
      </c>
      <c r="R41" s="24">
        <v>2325</v>
      </c>
      <c r="S41" s="35">
        <f>PLANPRODUCCION[[#This Row],[PRECIO MAQUILAS]]*PLANPRODUCCION[[#This Row],[PIEZAS REAL]]</f>
        <v>930</v>
      </c>
      <c r="T4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263.5</v>
      </c>
      <c r="W4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666.5</v>
      </c>
      <c r="X41" s="8"/>
      <c r="Y4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1" s="13" t="e">
        <f>IF(PLANPRODUCCION[[#This Row],[PIEZAS REAL]]&gt;0,PLANPRODUCCION[[#This Row],[PIEZAS REAL]]/PLANPRODUCCION[[#This Row],[PIEZAS ACTUALIZADO]],)</f>
        <v>#DIV/0!</v>
      </c>
      <c r="AC41" s="10" t="b">
        <f>PLANPRODUCCION[[#This Row],[INGRESO PLANEADO]]&lt;PLANPRODUCCION[[#This Row],[COSTO PLANEADO]]</f>
        <v>0</v>
      </c>
      <c r="AD41" s="46" t="s">
        <v>118</v>
      </c>
      <c r="AE41" s="10"/>
      <c r="AF41" s="10" t="b">
        <f>IF(COUNTIF(PLANPRODUCCION[[#This Row],[OBSERVACIONES]],"NO APLICA BONO*")&gt;0,TRUE,FALSE)</f>
        <v>0</v>
      </c>
    </row>
    <row r="42" spans="1:32" x14ac:dyDescent="0.25">
      <c r="A42" s="46" t="str">
        <f>UPPER(IF(PLANPRODUCCION[[#This Row],[FECHA]]&lt;=45701,_xlfn.CONCAT(TEXT(B42,"MMM"),"-",IF(ROW(A42)&lt;11,"000"&amp;ROW(A42)-1,IF(ROW(A42)&lt;101,"00"&amp;ROW(A42)-1,IF(ROW(A42)&lt;1001,"0"&amp;ROW(A42)-1,ROW(A42)-1))),"-OLD"),_xlfn.CONCAT(TEXT(B42,"MMM"),"-",IF(ROW(A42)&lt;473,"000"&amp;ROW(A42)-463,IF(ROW(A42)&lt;563,"00"&amp;ROW(A42)-463,IF(ROW(A42)&lt;1001,"0"&amp;ROW(A42)-463,ROW(A42)-463))))))</f>
        <v>ENE-0041-OLD</v>
      </c>
      <c r="B42" s="1">
        <v>45664</v>
      </c>
      <c r="C42" s="5"/>
      <c r="D42" s="5"/>
      <c r="E42" t="s">
        <v>54</v>
      </c>
      <c r="F42" s="32"/>
      <c r="G42" s="32"/>
      <c r="H42" s="5">
        <v>1477</v>
      </c>
      <c r="I42" t="s">
        <v>85</v>
      </c>
      <c r="J42" t="s">
        <v>96</v>
      </c>
      <c r="K42" s="5"/>
      <c r="L42" s="10" t="s">
        <v>57</v>
      </c>
      <c r="M42" s="49">
        <v>0.4</v>
      </c>
      <c r="N42" s="34">
        <f>PLANPRODUCCION[[#This Row],[PIEZAS PLANEADAS]]*PLANPRODUCCION[[#This Row],[PRECIO MAQUILAS]]</f>
        <v>0</v>
      </c>
      <c r="O42" s="5">
        <v>3</v>
      </c>
      <c r="P42" s="2">
        <v>0.25</v>
      </c>
      <c r="Q42" s="2">
        <v>0.31527777777777777</v>
      </c>
      <c r="R42" s="24">
        <v>3600</v>
      </c>
      <c r="S42" s="35">
        <f>PLANPRODUCCION[[#This Row],[PRECIO MAQUILAS]]*PLANPRODUCCION[[#This Row],[PIEZAS REAL]]</f>
        <v>1440</v>
      </c>
      <c r="T4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291.39999999999998</v>
      </c>
      <c r="W4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1148.5999999999999</v>
      </c>
      <c r="X42" s="8"/>
      <c r="Y4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2" s="13" t="e">
        <f>IF(PLANPRODUCCION[[#This Row],[PIEZAS REAL]]&gt;0,PLANPRODUCCION[[#This Row],[PIEZAS REAL]]/PLANPRODUCCION[[#This Row],[PIEZAS ACTUALIZADO]],)</f>
        <v>#DIV/0!</v>
      </c>
      <c r="AC42" s="10" t="b">
        <f>PLANPRODUCCION[[#This Row],[INGRESO PLANEADO]]&lt;PLANPRODUCCION[[#This Row],[COSTO PLANEADO]]</f>
        <v>0</v>
      </c>
      <c r="AD42" s="46" t="s">
        <v>119</v>
      </c>
      <c r="AE42" s="10"/>
      <c r="AF42" s="10" t="b">
        <f>IF(COUNTIF(PLANPRODUCCION[[#This Row],[OBSERVACIONES]],"NO APLICA BONO*")&gt;0,TRUE,FALSE)</f>
        <v>0</v>
      </c>
    </row>
    <row r="43" spans="1:32" x14ac:dyDescent="0.25">
      <c r="A43" s="46" t="str">
        <f>UPPER(IF(PLANPRODUCCION[[#This Row],[FECHA]]&lt;=45701,_xlfn.CONCAT(TEXT(B43,"MMM"),"-",IF(ROW(A43)&lt;11,"000"&amp;ROW(A43)-1,IF(ROW(A43)&lt;101,"00"&amp;ROW(A43)-1,IF(ROW(A43)&lt;1001,"0"&amp;ROW(A43)-1,ROW(A43)-1))),"-OLD"),_xlfn.CONCAT(TEXT(B43,"MMM"),"-",IF(ROW(A43)&lt;473,"000"&amp;ROW(A43)-463,IF(ROW(A43)&lt;563,"00"&amp;ROW(A43)-463,IF(ROW(A43)&lt;1001,"0"&amp;ROW(A43)-463,ROW(A43)-463))))))</f>
        <v>ENE-0042-OLD</v>
      </c>
      <c r="B43" s="1">
        <v>45664</v>
      </c>
      <c r="C43" s="5"/>
      <c r="D43" s="5"/>
      <c r="E43" t="s">
        <v>54</v>
      </c>
      <c r="F43" s="32"/>
      <c r="G43" s="32"/>
      <c r="H43" s="5">
        <v>1477</v>
      </c>
      <c r="I43" t="s">
        <v>85</v>
      </c>
      <c r="J43" t="s">
        <v>96</v>
      </c>
      <c r="K43" s="5"/>
      <c r="L43" s="10" t="s">
        <v>57</v>
      </c>
      <c r="M43" s="49">
        <v>0.4</v>
      </c>
      <c r="N43" s="34">
        <f>PLANPRODUCCION[[#This Row],[PIEZAS PLANEADAS]]*PLANPRODUCCION[[#This Row],[PRECIO MAQUILAS]]</f>
        <v>0</v>
      </c>
      <c r="O43" s="5">
        <v>3</v>
      </c>
      <c r="P43" s="2">
        <v>0.25</v>
      </c>
      <c r="Q43" s="2">
        <v>0.30555555555555558</v>
      </c>
      <c r="R43" s="24">
        <v>2281</v>
      </c>
      <c r="S43" s="35">
        <f>PLANPRODUCCION[[#This Row],[PRECIO MAQUILAS]]*PLANPRODUCCION[[#This Row],[PIEZAS REAL]]</f>
        <v>912.40000000000009</v>
      </c>
      <c r="T4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4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664.40000000000009</v>
      </c>
      <c r="X43" s="8"/>
      <c r="Y4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3" s="13" t="e">
        <f>IF(PLANPRODUCCION[[#This Row],[PIEZAS REAL]]&gt;0,PLANPRODUCCION[[#This Row],[PIEZAS REAL]]/PLANPRODUCCION[[#This Row],[PIEZAS ACTUALIZADO]],)</f>
        <v>#DIV/0!</v>
      </c>
      <c r="AC43" s="10" t="b">
        <f>PLANPRODUCCION[[#This Row],[INGRESO PLANEADO]]&lt;PLANPRODUCCION[[#This Row],[COSTO PLANEADO]]</f>
        <v>0</v>
      </c>
      <c r="AD43" s="46" t="s">
        <v>120</v>
      </c>
      <c r="AE43" s="10"/>
      <c r="AF43" s="10" t="b">
        <f>IF(COUNTIF(PLANPRODUCCION[[#This Row],[OBSERVACIONES]],"NO APLICA BONO*")&gt;0,TRUE,FALSE)</f>
        <v>0</v>
      </c>
    </row>
    <row r="44" spans="1:32" x14ac:dyDescent="0.25">
      <c r="A44" s="46" t="str">
        <f>UPPER(IF(PLANPRODUCCION[[#This Row],[FECHA]]&lt;=45701,_xlfn.CONCAT(TEXT(B44,"MMM"),"-",IF(ROW(A44)&lt;11,"000"&amp;ROW(A44)-1,IF(ROW(A44)&lt;101,"00"&amp;ROW(A44)-1,IF(ROW(A44)&lt;1001,"0"&amp;ROW(A44)-1,ROW(A44)-1))),"-OLD"),_xlfn.CONCAT(TEXT(B44,"MMM"),"-",IF(ROW(A44)&lt;473,"000"&amp;ROW(A44)-463,IF(ROW(A44)&lt;563,"00"&amp;ROW(A44)-463,IF(ROW(A44)&lt;1001,"0"&amp;ROW(A44)-463,ROW(A44)-463))))))</f>
        <v>ENE-0043-OLD</v>
      </c>
      <c r="B44" s="1">
        <v>45664</v>
      </c>
      <c r="C44" s="5"/>
      <c r="D44" s="5"/>
      <c r="E44" t="s">
        <v>54</v>
      </c>
      <c r="F44" s="32"/>
      <c r="G44" s="32"/>
      <c r="H44" s="5">
        <v>1477</v>
      </c>
      <c r="I44" t="s">
        <v>85</v>
      </c>
      <c r="J44" t="s">
        <v>96</v>
      </c>
      <c r="K44" s="5"/>
      <c r="L44" s="10" t="s">
        <v>57</v>
      </c>
      <c r="M44" s="49">
        <v>0.4</v>
      </c>
      <c r="N44" s="34">
        <f>PLANPRODUCCION[[#This Row],[PIEZAS PLANEADAS]]*PLANPRODUCCION[[#This Row],[PRECIO MAQUILAS]]</f>
        <v>0</v>
      </c>
      <c r="O44" s="5">
        <v>2</v>
      </c>
      <c r="P44" s="2">
        <v>0.33333333333333331</v>
      </c>
      <c r="Q44" s="2">
        <v>0.35416666666666669</v>
      </c>
      <c r="R44" s="24">
        <v>408</v>
      </c>
      <c r="S44" s="35">
        <f>PLANPRODUCCION[[#This Row],[PRECIO MAQUILAS]]*PLANPRODUCCION[[#This Row],[PIEZAS REAL]]</f>
        <v>163.20000000000002</v>
      </c>
      <c r="T4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</v>
      </c>
      <c r="W4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101.20000000000002</v>
      </c>
      <c r="X44" s="8"/>
      <c r="Y4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4" s="13" t="e">
        <f>IF(PLANPRODUCCION[[#This Row],[PIEZAS REAL]]&gt;0,PLANPRODUCCION[[#This Row],[PIEZAS REAL]]/PLANPRODUCCION[[#This Row],[PIEZAS ACTUALIZADO]],)</f>
        <v>#DIV/0!</v>
      </c>
      <c r="AC44" s="10" t="b">
        <f>PLANPRODUCCION[[#This Row],[INGRESO PLANEADO]]&lt;PLANPRODUCCION[[#This Row],[COSTO PLANEADO]]</f>
        <v>0</v>
      </c>
      <c r="AD44" s="46" t="s">
        <v>121</v>
      </c>
      <c r="AE44" s="10"/>
      <c r="AF44" s="10" t="b">
        <f>IF(COUNTIF(PLANPRODUCCION[[#This Row],[OBSERVACIONES]],"NO APLICA BONO*")&gt;0,TRUE,FALSE)</f>
        <v>0</v>
      </c>
    </row>
    <row r="45" spans="1:32" x14ac:dyDescent="0.25">
      <c r="A45" s="46" t="str">
        <f>UPPER(IF(PLANPRODUCCION[[#This Row],[FECHA]]&lt;=45701,_xlfn.CONCAT(TEXT(B45,"MMM"),"-",IF(ROW(A45)&lt;11,"000"&amp;ROW(A45)-1,IF(ROW(A45)&lt;101,"00"&amp;ROW(A45)-1,IF(ROW(A45)&lt;1001,"0"&amp;ROW(A45)-1,ROW(A45)-1))),"-OLD"),_xlfn.CONCAT(TEXT(B45,"MMM"),"-",IF(ROW(A45)&lt;473,"000"&amp;ROW(A45)-463,IF(ROW(A45)&lt;563,"00"&amp;ROW(A45)-463,IF(ROW(A45)&lt;1001,"0"&amp;ROW(A45)-463,ROW(A45)-463))))))</f>
        <v>ENE-0044-OLD</v>
      </c>
      <c r="B45" s="1">
        <v>45664</v>
      </c>
      <c r="C45" s="5"/>
      <c r="D45" s="5"/>
      <c r="E45" t="s">
        <v>54</v>
      </c>
      <c r="F45" s="32"/>
      <c r="G45" s="32"/>
      <c r="H45" s="5">
        <v>1515</v>
      </c>
      <c r="I45" t="s">
        <v>81</v>
      </c>
      <c r="J45" t="s">
        <v>82</v>
      </c>
      <c r="K45" s="5"/>
      <c r="L45" s="10" t="s">
        <v>83</v>
      </c>
      <c r="M45" s="49">
        <v>4.2</v>
      </c>
      <c r="N45" s="34">
        <f>PLANPRODUCCION[[#This Row],[PIEZAS PLANEADAS]]*PLANPRODUCCION[[#This Row],[PRECIO MAQUILAS]]</f>
        <v>0</v>
      </c>
      <c r="O45" s="5">
        <v>3</v>
      </c>
      <c r="P45" s="2">
        <v>0.33333333333333331</v>
      </c>
      <c r="Q45" s="2">
        <v>0.39583333333333331</v>
      </c>
      <c r="R45" s="24">
        <v>384</v>
      </c>
      <c r="S45" s="35">
        <f>PLANPRODUCCION[[#This Row],[PRECIO MAQUILAS]]*PLANPRODUCCION[[#This Row],[PIEZAS REAL]]</f>
        <v>1612.8000000000002</v>
      </c>
      <c r="T4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</v>
      </c>
      <c r="W4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1333.8000000000002</v>
      </c>
      <c r="X45" s="8"/>
      <c r="Y4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5" s="13" t="e">
        <f>IF(PLANPRODUCCION[[#This Row],[PIEZAS REAL]]&gt;0,PLANPRODUCCION[[#This Row],[PIEZAS REAL]]/PLANPRODUCCION[[#This Row],[PIEZAS ACTUALIZADO]],)</f>
        <v>#DIV/0!</v>
      </c>
      <c r="AC45" s="10" t="b">
        <f>PLANPRODUCCION[[#This Row],[INGRESO PLANEADO]]&lt;PLANPRODUCCION[[#This Row],[COSTO PLANEADO]]</f>
        <v>0</v>
      </c>
      <c r="AD45" s="46" t="s">
        <v>122</v>
      </c>
      <c r="AE45" s="10"/>
      <c r="AF45" s="10" t="b">
        <f>IF(COUNTIF(PLANPRODUCCION[[#This Row],[OBSERVACIONES]],"NO APLICA BONO*")&gt;0,TRUE,FALSE)</f>
        <v>0</v>
      </c>
    </row>
    <row r="46" spans="1:32" x14ac:dyDescent="0.25">
      <c r="A46" s="46" t="str">
        <f>UPPER(IF(PLANPRODUCCION[[#This Row],[FECHA]]&lt;=45701,_xlfn.CONCAT(TEXT(B46,"MMM"),"-",IF(ROW(A46)&lt;11,"000"&amp;ROW(A46)-1,IF(ROW(A46)&lt;101,"00"&amp;ROW(A46)-1,IF(ROW(A46)&lt;1001,"0"&amp;ROW(A46)-1,ROW(A46)-1))),"-OLD"),_xlfn.CONCAT(TEXT(B46,"MMM"),"-",IF(ROW(A46)&lt;473,"000"&amp;ROW(A46)-463,IF(ROW(A46)&lt;563,"00"&amp;ROW(A46)-463,IF(ROW(A46)&lt;1001,"0"&amp;ROW(A46)-463,ROW(A46)-463))))))</f>
        <v>ENE-0045-OLD</v>
      </c>
      <c r="B46" s="1">
        <v>45664</v>
      </c>
      <c r="C46" s="5"/>
      <c r="D46" s="5"/>
      <c r="E46" t="s">
        <v>54</v>
      </c>
      <c r="F46" s="32"/>
      <c r="G46" s="32"/>
      <c r="H46" s="5">
        <v>1515</v>
      </c>
      <c r="I46" t="s">
        <v>81</v>
      </c>
      <c r="J46" t="s">
        <v>82</v>
      </c>
      <c r="K46" s="5"/>
      <c r="L46" s="10" t="s">
        <v>83</v>
      </c>
      <c r="M46" s="49">
        <v>4.2</v>
      </c>
      <c r="N46" s="34">
        <f>PLANPRODUCCION[[#This Row],[PIEZAS PLANEADAS]]*PLANPRODUCCION[[#This Row],[PRECIO MAQUILAS]]</f>
        <v>0</v>
      </c>
      <c r="O46" s="5">
        <v>3</v>
      </c>
      <c r="P46" s="2">
        <v>0.33333333333333331</v>
      </c>
      <c r="Q46" s="2">
        <v>0.39583333333333331</v>
      </c>
      <c r="R46" s="24">
        <v>384</v>
      </c>
      <c r="S46" s="35">
        <f>PLANPRODUCCION[[#This Row],[PRECIO MAQUILAS]]*PLANPRODUCCION[[#This Row],[PIEZAS REAL]]</f>
        <v>1612.8000000000002</v>
      </c>
      <c r="T4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</v>
      </c>
      <c r="W4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1333.8000000000002</v>
      </c>
      <c r="X46" s="8"/>
      <c r="Y4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6" s="13" t="e">
        <f>IF(PLANPRODUCCION[[#This Row],[PIEZAS REAL]]&gt;0,PLANPRODUCCION[[#This Row],[PIEZAS REAL]]/PLANPRODUCCION[[#This Row],[PIEZAS ACTUALIZADO]],)</f>
        <v>#DIV/0!</v>
      </c>
      <c r="AC46" s="10" t="b">
        <f>PLANPRODUCCION[[#This Row],[INGRESO PLANEADO]]&lt;PLANPRODUCCION[[#This Row],[COSTO PLANEADO]]</f>
        <v>0</v>
      </c>
      <c r="AD46" s="46" t="s">
        <v>123</v>
      </c>
      <c r="AE46" s="10"/>
      <c r="AF46" s="10" t="b">
        <f>IF(COUNTIF(PLANPRODUCCION[[#This Row],[OBSERVACIONES]],"NO APLICA BONO*")&gt;0,TRUE,FALSE)</f>
        <v>0</v>
      </c>
    </row>
    <row r="47" spans="1:32" x14ac:dyDescent="0.25">
      <c r="A47" s="46" t="str">
        <f>UPPER(IF(PLANPRODUCCION[[#This Row],[FECHA]]&lt;=45701,_xlfn.CONCAT(TEXT(B47,"MMM"),"-",IF(ROW(A47)&lt;11,"000"&amp;ROW(A47)-1,IF(ROW(A47)&lt;101,"00"&amp;ROW(A47)-1,IF(ROW(A47)&lt;1001,"0"&amp;ROW(A47)-1,ROW(A47)-1))),"-OLD"),_xlfn.CONCAT(TEXT(B47,"MMM"),"-",IF(ROW(A47)&lt;473,"000"&amp;ROW(A47)-463,IF(ROW(A47)&lt;563,"00"&amp;ROW(A47)-463,IF(ROW(A47)&lt;1001,"0"&amp;ROW(A47)-463,ROW(A47)-463))))))</f>
        <v>ENE-0046-OLD</v>
      </c>
      <c r="B47" s="1">
        <v>45664</v>
      </c>
      <c r="C47" s="5"/>
      <c r="D47" s="5"/>
      <c r="E47" t="s">
        <v>54</v>
      </c>
      <c r="F47" s="32"/>
      <c r="G47" s="32"/>
      <c r="H47" s="5">
        <v>1515</v>
      </c>
      <c r="I47" t="s">
        <v>81</v>
      </c>
      <c r="J47" t="s">
        <v>82</v>
      </c>
      <c r="K47" s="5"/>
      <c r="L47" s="10" t="s">
        <v>83</v>
      </c>
      <c r="M47" s="49">
        <v>4.2</v>
      </c>
      <c r="N47" s="34">
        <f>PLANPRODUCCION[[#This Row],[PIEZAS PLANEADAS]]*PLANPRODUCCION[[#This Row],[PRECIO MAQUILAS]]</f>
        <v>0</v>
      </c>
      <c r="O47" s="5">
        <v>3</v>
      </c>
      <c r="P47" s="2">
        <v>0.33333333333333331</v>
      </c>
      <c r="Q47" s="2">
        <v>0.39583333333333331</v>
      </c>
      <c r="R47" s="24">
        <v>384</v>
      </c>
      <c r="S47" s="35">
        <f>PLANPRODUCCION[[#This Row],[PRECIO MAQUILAS]]*PLANPRODUCCION[[#This Row],[PIEZAS REAL]]</f>
        <v>1612.8000000000002</v>
      </c>
      <c r="T4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</v>
      </c>
      <c r="W4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1333.8000000000002</v>
      </c>
      <c r="X47" s="8"/>
      <c r="Y4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7" s="13" t="e">
        <f>IF(PLANPRODUCCION[[#This Row],[PIEZAS REAL]]&gt;0,PLANPRODUCCION[[#This Row],[PIEZAS REAL]]/PLANPRODUCCION[[#This Row],[PIEZAS ACTUALIZADO]],)</f>
        <v>#DIV/0!</v>
      </c>
      <c r="AC47" s="10" t="b">
        <f>PLANPRODUCCION[[#This Row],[INGRESO PLANEADO]]&lt;PLANPRODUCCION[[#This Row],[COSTO PLANEADO]]</f>
        <v>0</v>
      </c>
      <c r="AD47" s="46" t="s">
        <v>124</v>
      </c>
      <c r="AE47" s="10"/>
      <c r="AF47" s="10" t="b">
        <f>IF(COUNTIF(PLANPRODUCCION[[#This Row],[OBSERVACIONES]],"NO APLICA BONO*")&gt;0,TRUE,FALSE)</f>
        <v>0</v>
      </c>
    </row>
    <row r="48" spans="1:32" x14ac:dyDescent="0.25">
      <c r="A48" s="46" t="str">
        <f>UPPER(IF(PLANPRODUCCION[[#This Row],[FECHA]]&lt;=45701,_xlfn.CONCAT(TEXT(B48,"MMM"),"-",IF(ROW(A48)&lt;11,"000"&amp;ROW(A48)-1,IF(ROW(A48)&lt;101,"00"&amp;ROW(A48)-1,IF(ROW(A48)&lt;1001,"0"&amp;ROW(A48)-1,ROW(A48)-1))),"-OLD"),_xlfn.CONCAT(TEXT(B48,"MMM"),"-",IF(ROW(A48)&lt;473,"000"&amp;ROW(A48)-463,IF(ROW(A48)&lt;563,"00"&amp;ROW(A48)-463,IF(ROW(A48)&lt;1001,"0"&amp;ROW(A48)-463,ROW(A48)-463))))))</f>
        <v>ENE-0047-OLD</v>
      </c>
      <c r="B48" s="1">
        <v>45664</v>
      </c>
      <c r="C48" s="5"/>
      <c r="D48" s="5"/>
      <c r="E48" t="s">
        <v>54</v>
      </c>
      <c r="F48" s="32"/>
      <c r="G48" s="32"/>
      <c r="H48" s="5">
        <v>1515</v>
      </c>
      <c r="I48" t="s">
        <v>81</v>
      </c>
      <c r="J48" t="s">
        <v>82</v>
      </c>
      <c r="K48" s="5"/>
      <c r="L48" s="10" t="s">
        <v>83</v>
      </c>
      <c r="M48" s="49">
        <v>4.2</v>
      </c>
      <c r="N48" s="34">
        <f>PLANPRODUCCION[[#This Row],[PIEZAS PLANEADAS]]*PLANPRODUCCION[[#This Row],[PRECIO MAQUILAS]]</f>
        <v>0</v>
      </c>
      <c r="O48" s="5">
        <v>3</v>
      </c>
      <c r="P48" s="2">
        <v>0.33333333333333331</v>
      </c>
      <c r="Q48" s="2">
        <v>0.39583333333333331</v>
      </c>
      <c r="R48" s="24">
        <v>384</v>
      </c>
      <c r="S48" s="35">
        <f>PLANPRODUCCION[[#This Row],[PRECIO MAQUILAS]]*PLANPRODUCCION[[#This Row],[PIEZAS REAL]]</f>
        <v>1612.8000000000002</v>
      </c>
      <c r="T4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</v>
      </c>
      <c r="W4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1333.8000000000002</v>
      </c>
      <c r="X48" s="8"/>
      <c r="Y4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8" s="13" t="e">
        <f>IF(PLANPRODUCCION[[#This Row],[PIEZAS REAL]]&gt;0,PLANPRODUCCION[[#This Row],[PIEZAS REAL]]/PLANPRODUCCION[[#This Row],[PIEZAS ACTUALIZADO]],)</f>
        <v>#DIV/0!</v>
      </c>
      <c r="AC48" s="10" t="b">
        <f>PLANPRODUCCION[[#This Row],[INGRESO PLANEADO]]&lt;PLANPRODUCCION[[#This Row],[COSTO PLANEADO]]</f>
        <v>0</v>
      </c>
      <c r="AD48" s="46" t="s">
        <v>125</v>
      </c>
      <c r="AE48" s="10"/>
      <c r="AF48" s="10" t="b">
        <f>IF(COUNTIF(PLANPRODUCCION[[#This Row],[OBSERVACIONES]],"NO APLICA BONO*")&gt;0,TRUE,FALSE)</f>
        <v>0</v>
      </c>
    </row>
    <row r="49" spans="1:32" x14ac:dyDescent="0.25">
      <c r="A49" s="46" t="str">
        <f>UPPER(IF(PLANPRODUCCION[[#This Row],[FECHA]]&lt;=45701,_xlfn.CONCAT(TEXT(B49,"MMM"),"-",IF(ROW(A49)&lt;11,"000"&amp;ROW(A49)-1,IF(ROW(A49)&lt;101,"00"&amp;ROW(A49)-1,IF(ROW(A49)&lt;1001,"0"&amp;ROW(A49)-1,ROW(A49)-1))),"-OLD"),_xlfn.CONCAT(TEXT(B49,"MMM"),"-",IF(ROW(A49)&lt;473,"000"&amp;ROW(A49)-463,IF(ROW(A49)&lt;563,"00"&amp;ROW(A49)-463,IF(ROW(A49)&lt;1001,"0"&amp;ROW(A49)-463,ROW(A49)-463))))))</f>
        <v>ENE-0048-OLD</v>
      </c>
      <c r="B49" s="1">
        <v>45664</v>
      </c>
      <c r="C49" s="5"/>
      <c r="D49" s="5"/>
      <c r="E49" t="s">
        <v>54</v>
      </c>
      <c r="F49" s="32"/>
      <c r="G49" s="32"/>
      <c r="H49" s="5">
        <v>1515</v>
      </c>
      <c r="I49" t="s">
        <v>81</v>
      </c>
      <c r="J49" t="s">
        <v>82</v>
      </c>
      <c r="K49" s="5"/>
      <c r="L49" s="10" t="s">
        <v>83</v>
      </c>
      <c r="M49" s="49">
        <v>4.2</v>
      </c>
      <c r="N49" s="34">
        <f>PLANPRODUCCION[[#This Row],[PIEZAS PLANEADAS]]*PLANPRODUCCION[[#This Row],[PRECIO MAQUILAS]]</f>
        <v>0</v>
      </c>
      <c r="O49" s="5">
        <v>3</v>
      </c>
      <c r="P49" s="2">
        <v>0.33333333333333331</v>
      </c>
      <c r="Q49" s="2">
        <v>0.39583333333333331</v>
      </c>
      <c r="R49" s="24">
        <v>384</v>
      </c>
      <c r="S49" s="35">
        <f>PLANPRODUCCION[[#This Row],[PRECIO MAQUILAS]]*PLANPRODUCCION[[#This Row],[PIEZAS REAL]]</f>
        <v>1612.8000000000002</v>
      </c>
      <c r="T4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</v>
      </c>
      <c r="W4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1333.8000000000002</v>
      </c>
      <c r="X49" s="8"/>
      <c r="Y4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9" s="13" t="e">
        <f>IF(PLANPRODUCCION[[#This Row],[PIEZAS REAL]]&gt;0,PLANPRODUCCION[[#This Row],[PIEZAS REAL]]/PLANPRODUCCION[[#This Row],[PIEZAS ACTUALIZADO]],)</f>
        <v>#DIV/0!</v>
      </c>
      <c r="AC49" s="10" t="b">
        <f>PLANPRODUCCION[[#This Row],[INGRESO PLANEADO]]&lt;PLANPRODUCCION[[#This Row],[COSTO PLANEADO]]</f>
        <v>0</v>
      </c>
      <c r="AD49" s="46" t="s">
        <v>126</v>
      </c>
      <c r="AE49" s="10"/>
      <c r="AF49" s="10" t="b">
        <f>IF(COUNTIF(PLANPRODUCCION[[#This Row],[OBSERVACIONES]],"NO APLICA BONO*")&gt;0,TRUE,FALSE)</f>
        <v>0</v>
      </c>
    </row>
    <row r="50" spans="1:32" x14ac:dyDescent="0.25">
      <c r="A50" s="46" t="str">
        <f>UPPER(IF(PLANPRODUCCION[[#This Row],[FECHA]]&lt;=45701,_xlfn.CONCAT(TEXT(B50,"MMM"),"-",IF(ROW(A50)&lt;11,"000"&amp;ROW(A50)-1,IF(ROW(A50)&lt;101,"00"&amp;ROW(A50)-1,IF(ROW(A50)&lt;1001,"0"&amp;ROW(A50)-1,ROW(A50)-1))),"-OLD"),_xlfn.CONCAT(TEXT(B50,"MMM"),"-",IF(ROW(A50)&lt;473,"000"&amp;ROW(A50)-463,IF(ROW(A50)&lt;563,"00"&amp;ROW(A50)-463,IF(ROW(A50)&lt;1001,"0"&amp;ROW(A50)-463,ROW(A50)-463))))))</f>
        <v>ENE-0049-OLD</v>
      </c>
      <c r="B50" s="1">
        <v>45664</v>
      </c>
      <c r="C50" s="5"/>
      <c r="D50" s="5"/>
      <c r="E50" t="s">
        <v>54</v>
      </c>
      <c r="F50" s="32"/>
      <c r="G50" s="32"/>
      <c r="H50" s="5">
        <v>1477</v>
      </c>
      <c r="I50" t="s">
        <v>85</v>
      </c>
      <c r="J50" t="s">
        <v>86</v>
      </c>
      <c r="K50" s="5"/>
      <c r="L50" s="10" t="s">
        <v>57</v>
      </c>
      <c r="M50" s="49">
        <v>6</v>
      </c>
      <c r="N50" s="34">
        <f>PLANPRODUCCION[[#This Row],[PIEZAS PLANEADAS]]*PLANPRODUCCION[[#This Row],[PRECIO MAQUILAS]]</f>
        <v>0</v>
      </c>
      <c r="O50" s="5">
        <v>2</v>
      </c>
      <c r="P50" s="2">
        <v>0.3576388888888889</v>
      </c>
      <c r="Q50" s="2">
        <v>0.5</v>
      </c>
      <c r="R50" s="24">
        <v>241</v>
      </c>
      <c r="S50" s="35">
        <f>PLANPRODUCCION[[#This Row],[PRECIO MAQUILAS]]*PLANPRODUCCION[[#This Row],[PIEZAS REAL]]</f>
        <v>1446</v>
      </c>
      <c r="T5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5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423.66666666666669</v>
      </c>
      <c r="W5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1022.3333333333333</v>
      </c>
      <c r="X50" s="8"/>
      <c r="Y5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0" s="13" t="e">
        <f>IF(PLANPRODUCCION[[#This Row],[PIEZAS REAL]]&gt;0,PLANPRODUCCION[[#This Row],[PIEZAS REAL]]/PLANPRODUCCION[[#This Row],[PIEZAS ACTUALIZADO]],)</f>
        <v>#DIV/0!</v>
      </c>
      <c r="AC50" s="10" t="b">
        <f>PLANPRODUCCION[[#This Row],[INGRESO PLANEADO]]&lt;PLANPRODUCCION[[#This Row],[COSTO PLANEADO]]</f>
        <v>0</v>
      </c>
      <c r="AD50" s="46" t="s">
        <v>127</v>
      </c>
      <c r="AE50" s="10"/>
      <c r="AF50" s="10" t="b">
        <f>IF(COUNTIF(PLANPRODUCCION[[#This Row],[OBSERVACIONES]],"NO APLICA BONO*")&gt;0,TRUE,FALSE)</f>
        <v>0</v>
      </c>
    </row>
    <row r="51" spans="1:32" x14ac:dyDescent="0.25">
      <c r="A51" s="46" t="str">
        <f>UPPER(IF(PLANPRODUCCION[[#This Row],[FECHA]]&lt;=45701,_xlfn.CONCAT(TEXT(B51,"MMM"),"-",IF(ROW(A51)&lt;11,"000"&amp;ROW(A51)-1,IF(ROW(A51)&lt;101,"00"&amp;ROW(A51)-1,IF(ROW(A51)&lt;1001,"0"&amp;ROW(A51)-1,ROW(A51)-1))),"-OLD"),_xlfn.CONCAT(TEXT(B51,"MMM"),"-",IF(ROW(A51)&lt;473,"000"&amp;ROW(A51)-463,IF(ROW(A51)&lt;563,"00"&amp;ROW(A51)-463,IF(ROW(A51)&lt;1001,"0"&amp;ROW(A51)-463,ROW(A51)-463))))))</f>
        <v>ENE-0050-OLD</v>
      </c>
      <c r="B51" s="1">
        <v>45664</v>
      </c>
      <c r="C51" s="5"/>
      <c r="D51" s="5"/>
      <c r="E51" t="s">
        <v>54</v>
      </c>
      <c r="F51" s="32"/>
      <c r="G51" s="32"/>
      <c r="H51" s="5">
        <v>1477</v>
      </c>
      <c r="I51" t="s">
        <v>85</v>
      </c>
      <c r="J51" t="s">
        <v>86</v>
      </c>
      <c r="K51" s="5"/>
      <c r="L51" s="10" t="s">
        <v>57</v>
      </c>
      <c r="M51" s="49">
        <v>6</v>
      </c>
      <c r="N51" s="34">
        <f>PLANPRODUCCION[[#This Row],[PIEZAS PLANEADAS]]*PLANPRODUCCION[[#This Row],[PRECIO MAQUILAS]]</f>
        <v>0</v>
      </c>
      <c r="O51" s="5">
        <v>3</v>
      </c>
      <c r="P51" s="2">
        <v>0.41666666666666669</v>
      </c>
      <c r="Q51" s="2">
        <v>0.5</v>
      </c>
      <c r="R51" s="24">
        <v>140</v>
      </c>
      <c r="S51" s="35">
        <f>PLANPRODUCCION[[#This Row],[PRECIO MAQUILAS]]*PLANPRODUCCION[[#This Row],[PIEZAS REAL]]</f>
        <v>840</v>
      </c>
      <c r="T5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5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5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468</v>
      </c>
      <c r="X51" s="8"/>
      <c r="Y5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1" s="13" t="e">
        <f>IF(PLANPRODUCCION[[#This Row],[PIEZAS REAL]]&gt;0,PLANPRODUCCION[[#This Row],[PIEZAS REAL]]/PLANPRODUCCION[[#This Row],[PIEZAS ACTUALIZADO]],)</f>
        <v>#DIV/0!</v>
      </c>
      <c r="AC51" s="10" t="b">
        <f>PLANPRODUCCION[[#This Row],[INGRESO PLANEADO]]&lt;PLANPRODUCCION[[#This Row],[COSTO PLANEADO]]</f>
        <v>0</v>
      </c>
      <c r="AD51" s="46" t="s">
        <v>128</v>
      </c>
      <c r="AE51" s="10"/>
      <c r="AF51" s="10" t="b">
        <f>IF(COUNTIF(PLANPRODUCCION[[#This Row],[OBSERVACIONES]],"NO APLICA BONO*")&gt;0,TRUE,FALSE)</f>
        <v>0</v>
      </c>
    </row>
    <row r="52" spans="1:32" x14ac:dyDescent="0.25">
      <c r="A52" s="46" t="str">
        <f>UPPER(IF(PLANPRODUCCION[[#This Row],[FECHA]]&lt;=45701,_xlfn.CONCAT(TEXT(B52,"MMM"),"-",IF(ROW(A52)&lt;11,"000"&amp;ROW(A52)-1,IF(ROW(A52)&lt;101,"00"&amp;ROW(A52)-1,IF(ROW(A52)&lt;1001,"0"&amp;ROW(A52)-1,ROW(A52)-1))),"-OLD"),_xlfn.CONCAT(TEXT(B52,"MMM"),"-",IF(ROW(A52)&lt;473,"000"&amp;ROW(A52)-463,IF(ROW(A52)&lt;563,"00"&amp;ROW(A52)-463,IF(ROW(A52)&lt;1001,"0"&amp;ROW(A52)-463,ROW(A52)-463))))))</f>
        <v>ENE-0051-OLD</v>
      </c>
      <c r="B52" s="1">
        <v>45664</v>
      </c>
      <c r="C52" s="5"/>
      <c r="D52" s="5"/>
      <c r="E52" t="s">
        <v>54</v>
      </c>
      <c r="F52" s="32"/>
      <c r="G52" s="32"/>
      <c r="H52" s="5">
        <v>1477</v>
      </c>
      <c r="I52" t="s">
        <v>85</v>
      </c>
      <c r="J52" t="s">
        <v>86</v>
      </c>
      <c r="K52" s="5"/>
      <c r="L52" s="10" t="s">
        <v>57</v>
      </c>
      <c r="M52" s="49">
        <v>6</v>
      </c>
      <c r="N52" s="34">
        <f>PLANPRODUCCION[[#This Row],[PIEZAS PLANEADAS]]*PLANPRODUCCION[[#This Row],[PRECIO MAQUILAS]]</f>
        <v>0</v>
      </c>
      <c r="O52" s="5">
        <v>3</v>
      </c>
      <c r="P52" s="2">
        <v>0.41666666666666669</v>
      </c>
      <c r="Q52" s="2">
        <v>0.5</v>
      </c>
      <c r="R52" s="24">
        <v>133</v>
      </c>
      <c r="S52" s="35">
        <f>PLANPRODUCCION[[#This Row],[PRECIO MAQUILAS]]*PLANPRODUCCION[[#This Row],[PIEZAS REAL]]</f>
        <v>798</v>
      </c>
      <c r="T5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5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5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426</v>
      </c>
      <c r="X52" s="8"/>
      <c r="Y5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2" s="13" t="e">
        <f>IF(PLANPRODUCCION[[#This Row],[PIEZAS REAL]]&gt;0,PLANPRODUCCION[[#This Row],[PIEZAS REAL]]/PLANPRODUCCION[[#This Row],[PIEZAS ACTUALIZADO]],)</f>
        <v>#DIV/0!</v>
      </c>
      <c r="AC52" s="10" t="b">
        <f>PLANPRODUCCION[[#This Row],[INGRESO PLANEADO]]&lt;PLANPRODUCCION[[#This Row],[COSTO PLANEADO]]</f>
        <v>0</v>
      </c>
      <c r="AD52" s="46" t="s">
        <v>129</v>
      </c>
      <c r="AE52" s="10"/>
      <c r="AF52" s="10" t="b">
        <f>IF(COUNTIF(PLANPRODUCCION[[#This Row],[OBSERVACIONES]],"NO APLICA BONO*")&gt;0,TRUE,FALSE)</f>
        <v>0</v>
      </c>
    </row>
    <row r="53" spans="1:32" x14ac:dyDescent="0.25">
      <c r="A53" s="46" t="str">
        <f>UPPER(IF(PLANPRODUCCION[[#This Row],[FECHA]]&lt;=45701,_xlfn.CONCAT(TEXT(B53,"MMM"),"-",IF(ROW(A53)&lt;11,"000"&amp;ROW(A53)-1,IF(ROW(A53)&lt;101,"00"&amp;ROW(A53)-1,IF(ROW(A53)&lt;1001,"0"&amp;ROW(A53)-1,ROW(A53)-1))),"-OLD"),_xlfn.CONCAT(TEXT(B53,"MMM"),"-",IF(ROW(A53)&lt;473,"000"&amp;ROW(A53)-463,IF(ROW(A53)&lt;563,"00"&amp;ROW(A53)-463,IF(ROW(A53)&lt;1001,"0"&amp;ROW(A53)-463,ROW(A53)-463))))))</f>
        <v>ENE-0052-OLD</v>
      </c>
      <c r="B53" s="1">
        <v>45664</v>
      </c>
      <c r="C53" s="5"/>
      <c r="D53" s="5"/>
      <c r="E53" t="s">
        <v>54</v>
      </c>
      <c r="F53" s="32"/>
      <c r="G53" s="32"/>
      <c r="H53" s="5">
        <v>1510</v>
      </c>
      <c r="I53" t="s">
        <v>130</v>
      </c>
      <c r="J53" t="s">
        <v>131</v>
      </c>
      <c r="K53" s="5"/>
      <c r="L53" s="10" t="s">
        <v>65</v>
      </c>
      <c r="M53" s="49">
        <v>1.4</v>
      </c>
      <c r="N53" s="34">
        <f>PLANPRODUCCION[[#This Row],[PIEZAS PLANEADAS]]*PLANPRODUCCION[[#This Row],[PRECIO MAQUILAS]]</f>
        <v>0</v>
      </c>
      <c r="O53" s="5">
        <v>2</v>
      </c>
      <c r="P53" s="2">
        <v>0.41666666666666669</v>
      </c>
      <c r="Q53" s="2">
        <v>0.66666666666666663</v>
      </c>
      <c r="R53" s="24">
        <v>1220</v>
      </c>
      <c r="S53" s="35">
        <f>PLANPRODUCCION[[#This Row],[PRECIO MAQUILAS]]*PLANPRODUCCION[[#This Row],[PIEZAS REAL]]</f>
        <v>1708</v>
      </c>
      <c r="T5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5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5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964</v>
      </c>
      <c r="X53" s="8"/>
      <c r="Y5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3" s="13" t="e">
        <f>IF(PLANPRODUCCION[[#This Row],[PIEZAS REAL]]&gt;0,PLANPRODUCCION[[#This Row],[PIEZAS REAL]]/PLANPRODUCCION[[#This Row],[PIEZAS ACTUALIZADO]],)</f>
        <v>#DIV/0!</v>
      </c>
      <c r="AC53" s="10" t="b">
        <f>PLANPRODUCCION[[#This Row],[INGRESO PLANEADO]]&lt;PLANPRODUCCION[[#This Row],[COSTO PLANEADO]]</f>
        <v>0</v>
      </c>
      <c r="AD53" s="46" t="s">
        <v>132</v>
      </c>
      <c r="AE53" s="10"/>
      <c r="AF53" s="10" t="b">
        <f>IF(COUNTIF(PLANPRODUCCION[[#This Row],[OBSERVACIONES]],"NO APLICA BONO*")&gt;0,TRUE,FALSE)</f>
        <v>0</v>
      </c>
    </row>
    <row r="54" spans="1:32" x14ac:dyDescent="0.25">
      <c r="A54" s="46" t="str">
        <f>UPPER(IF(PLANPRODUCCION[[#This Row],[FECHA]]&lt;=45701,_xlfn.CONCAT(TEXT(B54,"MMM"),"-",IF(ROW(A54)&lt;11,"000"&amp;ROW(A54)-1,IF(ROW(A54)&lt;101,"00"&amp;ROW(A54)-1,IF(ROW(A54)&lt;1001,"0"&amp;ROW(A54)-1,ROW(A54)-1))),"-OLD"),_xlfn.CONCAT(TEXT(B54,"MMM"),"-",IF(ROW(A54)&lt;473,"000"&amp;ROW(A54)-463,IF(ROW(A54)&lt;563,"00"&amp;ROW(A54)-463,IF(ROW(A54)&lt;1001,"0"&amp;ROW(A54)-463,ROW(A54)-463))))))</f>
        <v>ENE-0053-OLD</v>
      </c>
      <c r="B54" s="1">
        <v>45664</v>
      </c>
      <c r="C54" s="5"/>
      <c r="D54" s="5"/>
      <c r="E54" t="s">
        <v>54</v>
      </c>
      <c r="F54" s="32"/>
      <c r="G54" s="32"/>
      <c r="H54" s="5">
        <v>1510</v>
      </c>
      <c r="I54" t="s">
        <v>130</v>
      </c>
      <c r="J54" t="s">
        <v>68</v>
      </c>
      <c r="K54" s="5"/>
      <c r="L54" s="10" t="s">
        <v>57</v>
      </c>
      <c r="M54" s="49">
        <v>0.75</v>
      </c>
      <c r="N54" s="34">
        <f>PLANPRODUCCION[[#This Row],[PIEZAS PLANEADAS]]*PLANPRODUCCION[[#This Row],[PRECIO MAQUILAS]]</f>
        <v>0</v>
      </c>
      <c r="O54" s="5">
        <v>5</v>
      </c>
      <c r="P54" s="2">
        <v>0.54166666666666663</v>
      </c>
      <c r="Q54" s="2">
        <v>0.66666666666666663</v>
      </c>
      <c r="R54" s="24">
        <v>1260</v>
      </c>
      <c r="S54" s="35">
        <f>PLANPRODUCCION[[#This Row],[PRECIO MAQUILAS]]*PLANPRODUCCION[[#This Row],[PIEZAS REAL]]</f>
        <v>945</v>
      </c>
      <c r="T5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5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5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15</v>
      </c>
      <c r="X54" s="8"/>
      <c r="Y5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4" s="13" t="e">
        <f>IF(PLANPRODUCCION[[#This Row],[PIEZAS REAL]]&gt;0,PLANPRODUCCION[[#This Row],[PIEZAS REAL]]/PLANPRODUCCION[[#This Row],[PIEZAS ACTUALIZADO]],)</f>
        <v>#DIV/0!</v>
      </c>
      <c r="AC54" s="10" t="b">
        <f>PLANPRODUCCION[[#This Row],[INGRESO PLANEADO]]&lt;PLANPRODUCCION[[#This Row],[COSTO PLANEADO]]</f>
        <v>0</v>
      </c>
      <c r="AD54" s="46" t="s">
        <v>133</v>
      </c>
      <c r="AE54" s="10"/>
      <c r="AF54" s="10" t="b">
        <f>IF(COUNTIF(PLANPRODUCCION[[#This Row],[OBSERVACIONES]],"NO APLICA BONO*")&gt;0,TRUE,FALSE)</f>
        <v>0</v>
      </c>
    </row>
    <row r="55" spans="1:32" x14ac:dyDescent="0.25">
      <c r="A55" s="46" t="str">
        <f>UPPER(IF(PLANPRODUCCION[[#This Row],[FECHA]]&lt;=45701,_xlfn.CONCAT(TEXT(B55,"MMM"),"-",IF(ROW(A55)&lt;11,"000"&amp;ROW(A55)-1,IF(ROW(A55)&lt;101,"00"&amp;ROW(A55)-1,IF(ROW(A55)&lt;1001,"0"&amp;ROW(A55)-1,ROW(A55)-1))),"-OLD"),_xlfn.CONCAT(TEXT(B55,"MMM"),"-",IF(ROW(A55)&lt;473,"000"&amp;ROW(A55)-463,IF(ROW(A55)&lt;563,"00"&amp;ROW(A55)-463,IF(ROW(A55)&lt;1001,"0"&amp;ROW(A55)-463,ROW(A55)-463))))))</f>
        <v>ENE-0054-OLD</v>
      </c>
      <c r="B55" s="1">
        <v>45664</v>
      </c>
      <c r="C55" s="5"/>
      <c r="D55" s="5"/>
      <c r="E55" t="s">
        <v>54</v>
      </c>
      <c r="F55" s="32"/>
      <c r="G55" s="32"/>
      <c r="H55" s="5">
        <v>1518</v>
      </c>
      <c r="I55" t="s">
        <v>134</v>
      </c>
      <c r="J55" t="s">
        <v>135</v>
      </c>
      <c r="K55" s="5"/>
      <c r="L55" s="10" t="s">
        <v>57</v>
      </c>
      <c r="M55" s="49">
        <v>2.21</v>
      </c>
      <c r="N55" s="34">
        <f>PLANPRODUCCION[[#This Row],[PIEZAS PLANEADAS]]*PLANPRODUCCION[[#This Row],[PRECIO MAQUILAS]]</f>
        <v>0</v>
      </c>
      <c r="O55" s="5">
        <v>3</v>
      </c>
      <c r="P55" s="2">
        <v>0.5625</v>
      </c>
      <c r="Q55" s="2">
        <v>0.66666666666666663</v>
      </c>
      <c r="R55" s="24">
        <v>1248</v>
      </c>
      <c r="S55" s="35">
        <f>PLANPRODUCCION[[#This Row],[PRECIO MAQUILAS]]*PLANPRODUCCION[[#This Row],[PIEZAS REAL]]</f>
        <v>2758.08</v>
      </c>
      <c r="T5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5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465</v>
      </c>
      <c r="W5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2293.08</v>
      </c>
      <c r="X55" s="8"/>
      <c r="Y5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5" s="13" t="e">
        <f>IF(PLANPRODUCCION[[#This Row],[PIEZAS REAL]]&gt;0,PLANPRODUCCION[[#This Row],[PIEZAS REAL]]/PLANPRODUCCION[[#This Row],[PIEZAS ACTUALIZADO]],)</f>
        <v>#DIV/0!</v>
      </c>
      <c r="AC55" s="10" t="b">
        <f>PLANPRODUCCION[[#This Row],[INGRESO PLANEADO]]&lt;PLANPRODUCCION[[#This Row],[COSTO PLANEADO]]</f>
        <v>0</v>
      </c>
      <c r="AD55" s="46" t="s">
        <v>136</v>
      </c>
      <c r="AE55" s="10"/>
      <c r="AF55" s="10" t="b">
        <f>IF(COUNTIF(PLANPRODUCCION[[#This Row],[OBSERVACIONES]],"NO APLICA BONO*")&gt;0,TRUE,FALSE)</f>
        <v>0</v>
      </c>
    </row>
    <row r="56" spans="1:32" x14ac:dyDescent="0.25">
      <c r="A56" s="46" t="str">
        <f>UPPER(IF(PLANPRODUCCION[[#This Row],[FECHA]]&lt;=45701,_xlfn.CONCAT(TEXT(B56,"MMM"),"-",IF(ROW(A56)&lt;11,"000"&amp;ROW(A56)-1,IF(ROW(A56)&lt;101,"00"&amp;ROW(A56)-1,IF(ROW(A56)&lt;1001,"0"&amp;ROW(A56)-1,ROW(A56)-1))),"-OLD"),_xlfn.CONCAT(TEXT(B56,"MMM"),"-",IF(ROW(A56)&lt;473,"000"&amp;ROW(A56)-463,IF(ROW(A56)&lt;563,"00"&amp;ROW(A56)-463,IF(ROW(A56)&lt;1001,"0"&amp;ROW(A56)-463,ROW(A56)-463))))))</f>
        <v>ENE-0055-OLD</v>
      </c>
      <c r="B56" s="1">
        <v>45664</v>
      </c>
      <c r="C56" s="5"/>
      <c r="D56" s="5"/>
      <c r="E56" t="s">
        <v>54</v>
      </c>
      <c r="F56" s="32"/>
      <c r="G56" s="32"/>
      <c r="H56" s="5">
        <v>1518</v>
      </c>
      <c r="I56" t="s">
        <v>134</v>
      </c>
      <c r="J56" t="s">
        <v>135</v>
      </c>
      <c r="K56" s="5"/>
      <c r="L56" s="10" t="s">
        <v>57</v>
      </c>
      <c r="M56" s="49">
        <v>2.21</v>
      </c>
      <c r="N56" s="34">
        <f>PLANPRODUCCION[[#This Row],[PIEZAS PLANEADAS]]*PLANPRODUCCION[[#This Row],[PRECIO MAQUILAS]]</f>
        <v>0</v>
      </c>
      <c r="O56" s="5">
        <v>3</v>
      </c>
      <c r="P56" s="2">
        <v>0.5625</v>
      </c>
      <c r="Q56" s="2">
        <v>0.66666666666666663</v>
      </c>
      <c r="R56" s="24">
        <v>996</v>
      </c>
      <c r="S56" s="35">
        <f>PLANPRODUCCION[[#This Row],[PRECIO MAQUILAS]]*PLANPRODUCCION[[#This Row],[PIEZAS REAL]]</f>
        <v>2201.16</v>
      </c>
      <c r="T5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5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465</v>
      </c>
      <c r="W5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1736.1599999999999</v>
      </c>
      <c r="X56" s="8"/>
      <c r="Y5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6" s="13" t="e">
        <f>IF(PLANPRODUCCION[[#This Row],[PIEZAS REAL]]&gt;0,PLANPRODUCCION[[#This Row],[PIEZAS REAL]]/PLANPRODUCCION[[#This Row],[PIEZAS ACTUALIZADO]],)</f>
        <v>#DIV/0!</v>
      </c>
      <c r="AC56" s="10" t="b">
        <f>PLANPRODUCCION[[#This Row],[INGRESO PLANEADO]]&lt;PLANPRODUCCION[[#This Row],[COSTO PLANEADO]]</f>
        <v>0</v>
      </c>
      <c r="AD56" s="46" t="s">
        <v>137</v>
      </c>
      <c r="AE56" s="10"/>
      <c r="AF56" s="10" t="b">
        <f>IF(COUNTIF(PLANPRODUCCION[[#This Row],[OBSERVACIONES]],"NO APLICA BONO*")&gt;0,TRUE,FALSE)</f>
        <v>0</v>
      </c>
    </row>
    <row r="57" spans="1:32" x14ac:dyDescent="0.25">
      <c r="A57" s="46" t="str">
        <f>UPPER(IF(PLANPRODUCCION[[#This Row],[FECHA]]&lt;=45701,_xlfn.CONCAT(TEXT(B57,"MMM"),"-",IF(ROW(A57)&lt;11,"000"&amp;ROW(A57)-1,IF(ROW(A57)&lt;101,"00"&amp;ROW(A57)-1,IF(ROW(A57)&lt;1001,"0"&amp;ROW(A57)-1,ROW(A57)-1))),"-OLD"),_xlfn.CONCAT(TEXT(B57,"MMM"),"-",IF(ROW(A57)&lt;473,"000"&amp;ROW(A57)-463,IF(ROW(A57)&lt;563,"00"&amp;ROW(A57)-463,IF(ROW(A57)&lt;1001,"0"&amp;ROW(A57)-463,ROW(A57)-463))))))</f>
        <v>ENE-0056-OLD</v>
      </c>
      <c r="B57" s="1">
        <v>45664</v>
      </c>
      <c r="C57" s="5"/>
      <c r="D57" s="5"/>
      <c r="E57" t="s">
        <v>54</v>
      </c>
      <c r="F57" s="32"/>
      <c r="G57" s="32"/>
      <c r="H57" s="5">
        <v>1518</v>
      </c>
      <c r="I57" t="s">
        <v>134</v>
      </c>
      <c r="J57" t="s">
        <v>135</v>
      </c>
      <c r="K57" s="5"/>
      <c r="L57" s="10" t="s">
        <v>57</v>
      </c>
      <c r="M57" s="49">
        <v>2.21</v>
      </c>
      <c r="N57" s="34">
        <f>PLANPRODUCCION[[#This Row],[PIEZAS PLANEADAS]]*PLANPRODUCCION[[#This Row],[PRECIO MAQUILAS]]</f>
        <v>0</v>
      </c>
      <c r="O57" s="5">
        <v>3</v>
      </c>
      <c r="P57" s="2">
        <v>0.5625</v>
      </c>
      <c r="Q57" s="2">
        <v>0.66666666666666663</v>
      </c>
      <c r="R57" s="24">
        <v>935</v>
      </c>
      <c r="S57" s="35">
        <f>PLANPRODUCCION[[#This Row],[PRECIO MAQUILAS]]*PLANPRODUCCION[[#This Row],[PIEZAS REAL]]</f>
        <v>2066.35</v>
      </c>
      <c r="T5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5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465</v>
      </c>
      <c r="W5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1601.35</v>
      </c>
      <c r="X57" s="8"/>
      <c r="Y5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7" s="13" t="e">
        <f>IF(PLANPRODUCCION[[#This Row],[PIEZAS REAL]]&gt;0,PLANPRODUCCION[[#This Row],[PIEZAS REAL]]/PLANPRODUCCION[[#This Row],[PIEZAS ACTUALIZADO]],)</f>
        <v>#DIV/0!</v>
      </c>
      <c r="AC57" s="10" t="b">
        <f>PLANPRODUCCION[[#This Row],[INGRESO PLANEADO]]&lt;PLANPRODUCCION[[#This Row],[COSTO PLANEADO]]</f>
        <v>0</v>
      </c>
      <c r="AD57" s="46" t="s">
        <v>138</v>
      </c>
      <c r="AE57" s="10"/>
      <c r="AF57" s="10" t="b">
        <f>IF(COUNTIF(PLANPRODUCCION[[#This Row],[OBSERVACIONES]],"NO APLICA BONO*")&gt;0,TRUE,FALSE)</f>
        <v>0</v>
      </c>
    </row>
    <row r="58" spans="1:32" x14ac:dyDescent="0.25">
      <c r="A58" s="46" t="str">
        <f>UPPER(IF(PLANPRODUCCION[[#This Row],[FECHA]]&lt;=45701,_xlfn.CONCAT(TEXT(B58,"MMM"),"-",IF(ROW(A58)&lt;11,"000"&amp;ROW(A58)-1,IF(ROW(A58)&lt;101,"00"&amp;ROW(A58)-1,IF(ROW(A58)&lt;1001,"0"&amp;ROW(A58)-1,ROW(A58)-1))),"-OLD"),_xlfn.CONCAT(TEXT(B58,"MMM"),"-",IF(ROW(A58)&lt;473,"000"&amp;ROW(A58)-463,IF(ROW(A58)&lt;563,"00"&amp;ROW(A58)-463,IF(ROW(A58)&lt;1001,"0"&amp;ROW(A58)-463,ROW(A58)-463))))))</f>
        <v>ENE-0057-OLD</v>
      </c>
      <c r="B58" s="1">
        <v>45664</v>
      </c>
      <c r="C58" s="5"/>
      <c r="D58" s="5"/>
      <c r="E58" t="s">
        <v>54</v>
      </c>
      <c r="F58" s="32"/>
      <c r="G58" s="32"/>
      <c r="H58" s="5">
        <v>1518</v>
      </c>
      <c r="I58" t="s">
        <v>134</v>
      </c>
      <c r="J58" t="s">
        <v>135</v>
      </c>
      <c r="K58" s="5"/>
      <c r="L58" s="10" t="s">
        <v>57</v>
      </c>
      <c r="M58" s="49">
        <v>2.21</v>
      </c>
      <c r="N58" s="34">
        <f>PLANPRODUCCION[[#This Row],[PIEZAS PLANEADAS]]*PLANPRODUCCION[[#This Row],[PRECIO MAQUILAS]]</f>
        <v>0</v>
      </c>
      <c r="O58" s="5">
        <v>4</v>
      </c>
      <c r="P58" s="2">
        <v>0.5625</v>
      </c>
      <c r="Q58" s="2">
        <v>0.66666666666666663</v>
      </c>
      <c r="R58" s="24">
        <v>1524</v>
      </c>
      <c r="S58" s="35">
        <f>PLANPRODUCCION[[#This Row],[PRECIO MAQUILAS]]*PLANPRODUCCION[[#This Row],[PIEZAS REAL]]</f>
        <v>3368.04</v>
      </c>
      <c r="T5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5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5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2748.04</v>
      </c>
      <c r="X58" s="8"/>
      <c r="Y5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8" s="13" t="e">
        <f>IF(PLANPRODUCCION[[#This Row],[PIEZAS REAL]]&gt;0,PLANPRODUCCION[[#This Row],[PIEZAS REAL]]/PLANPRODUCCION[[#This Row],[PIEZAS ACTUALIZADO]],)</f>
        <v>#DIV/0!</v>
      </c>
      <c r="AC58" s="10" t="b">
        <f>PLANPRODUCCION[[#This Row],[INGRESO PLANEADO]]&lt;PLANPRODUCCION[[#This Row],[COSTO PLANEADO]]</f>
        <v>0</v>
      </c>
      <c r="AD58" s="46" t="s">
        <v>139</v>
      </c>
      <c r="AE58" s="10"/>
      <c r="AF58" s="10" t="b">
        <f>IF(COUNTIF(PLANPRODUCCION[[#This Row],[OBSERVACIONES]],"NO APLICA BONO*")&gt;0,TRUE,FALSE)</f>
        <v>0</v>
      </c>
    </row>
    <row r="59" spans="1:32" x14ac:dyDescent="0.25">
      <c r="A59" s="46" t="str">
        <f>UPPER(IF(PLANPRODUCCION[[#This Row],[FECHA]]&lt;=45701,_xlfn.CONCAT(TEXT(B59,"MMM"),"-",IF(ROW(A59)&lt;11,"000"&amp;ROW(A59)-1,IF(ROW(A59)&lt;101,"00"&amp;ROW(A59)-1,IF(ROW(A59)&lt;1001,"0"&amp;ROW(A59)-1,ROW(A59)-1))),"-OLD"),_xlfn.CONCAT(TEXT(B59,"MMM"),"-",IF(ROW(A59)&lt;473,"000"&amp;ROW(A59)-463,IF(ROW(A59)&lt;563,"00"&amp;ROW(A59)-463,IF(ROW(A59)&lt;1001,"0"&amp;ROW(A59)-463,ROW(A59)-463))))))</f>
        <v>ENE-0058-OLD</v>
      </c>
      <c r="B59" s="1">
        <v>45664</v>
      </c>
      <c r="C59" s="5"/>
      <c r="D59" s="5"/>
      <c r="E59" t="s">
        <v>110</v>
      </c>
      <c r="F59" s="32"/>
      <c r="G59" s="32"/>
      <c r="H59" s="5">
        <v>1510</v>
      </c>
      <c r="I59" t="s">
        <v>130</v>
      </c>
      <c r="J59" t="s">
        <v>68</v>
      </c>
      <c r="K59" s="5"/>
      <c r="L59" s="10" t="s">
        <v>57</v>
      </c>
      <c r="M59" s="49">
        <v>0.75</v>
      </c>
      <c r="N59" s="34">
        <f>PLANPRODUCCION[[#This Row],[PIEZAS PLANEADAS]]*PLANPRODUCCION[[#This Row],[PRECIO MAQUILAS]]</f>
        <v>0</v>
      </c>
      <c r="O59" s="5">
        <v>3</v>
      </c>
      <c r="P59" s="2">
        <v>0.68055555555555558</v>
      </c>
      <c r="Q59" s="2">
        <v>0.72916666666666663</v>
      </c>
      <c r="R59" s="24">
        <v>251</v>
      </c>
      <c r="S59" s="35">
        <f>PLANPRODUCCION[[#This Row],[PRECIO MAQUILAS]]*PLANPRODUCCION[[#This Row],[PIEZAS REAL]]</f>
        <v>188.25</v>
      </c>
      <c r="T5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5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271.25</v>
      </c>
      <c r="W5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-83</v>
      </c>
      <c r="X59" s="8"/>
      <c r="Y5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9" s="13" t="e">
        <f>IF(PLANPRODUCCION[[#This Row],[PIEZAS REAL]]&gt;0,PLANPRODUCCION[[#This Row],[PIEZAS REAL]]/PLANPRODUCCION[[#This Row],[PIEZAS ACTUALIZADO]],)</f>
        <v>#DIV/0!</v>
      </c>
      <c r="AC59" s="10" t="b">
        <f>PLANPRODUCCION[[#This Row],[INGRESO PLANEADO]]&lt;PLANPRODUCCION[[#This Row],[COSTO PLANEADO]]</f>
        <v>0</v>
      </c>
      <c r="AD59" s="46" t="s">
        <v>140</v>
      </c>
      <c r="AE59" s="10"/>
      <c r="AF59" s="10" t="b">
        <f>IF(COUNTIF(PLANPRODUCCION[[#This Row],[OBSERVACIONES]],"NO APLICA BONO*")&gt;0,TRUE,FALSE)</f>
        <v>0</v>
      </c>
    </row>
    <row r="60" spans="1:32" x14ac:dyDescent="0.25">
      <c r="A60" s="46" t="str">
        <f>UPPER(IF(PLANPRODUCCION[[#This Row],[FECHA]]&lt;=45701,_xlfn.CONCAT(TEXT(B60,"MMM"),"-",IF(ROW(A60)&lt;11,"000"&amp;ROW(A60)-1,IF(ROW(A60)&lt;101,"00"&amp;ROW(A60)-1,IF(ROW(A60)&lt;1001,"0"&amp;ROW(A60)-1,ROW(A60)-1))),"-OLD"),_xlfn.CONCAT(TEXT(B60,"MMM"),"-",IF(ROW(A60)&lt;473,"000"&amp;ROW(A60)-463,IF(ROW(A60)&lt;563,"00"&amp;ROW(A60)-463,IF(ROW(A60)&lt;1001,"0"&amp;ROW(A60)-463,ROW(A60)-463))))))</f>
        <v>ENE-0059-OLD</v>
      </c>
      <c r="B60" s="1">
        <v>45664</v>
      </c>
      <c r="C60" s="5"/>
      <c r="D60" s="5"/>
      <c r="E60" t="s">
        <v>110</v>
      </c>
      <c r="F60" s="32"/>
      <c r="G60" s="32"/>
      <c r="H60" s="5">
        <v>1514</v>
      </c>
      <c r="I60" t="s">
        <v>141</v>
      </c>
      <c r="J60" t="s">
        <v>142</v>
      </c>
      <c r="K60" s="5"/>
      <c r="L60" s="10" t="s">
        <v>57</v>
      </c>
      <c r="M60" s="49">
        <v>0.5</v>
      </c>
      <c r="N60" s="34">
        <f>PLANPRODUCCION[[#This Row],[PIEZAS PLANEADAS]]*PLANPRODUCCION[[#This Row],[PRECIO MAQUILAS]]</f>
        <v>0</v>
      </c>
      <c r="O60" s="5">
        <v>2</v>
      </c>
      <c r="P60" s="2">
        <v>0.72916666666666663</v>
      </c>
      <c r="Q60" s="2">
        <v>0.86111111111111116</v>
      </c>
      <c r="R60" s="24">
        <v>1500</v>
      </c>
      <c r="S60" s="35">
        <f>PLANPRODUCCION[[#This Row],[PRECIO MAQUILAS]]*PLANPRODUCCION[[#This Row],[PIEZAS REAL]]</f>
        <v>750</v>
      </c>
      <c r="T6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6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490.83333333333331</v>
      </c>
      <c r="W6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259.16666666666669</v>
      </c>
      <c r="X60" s="8"/>
      <c r="Y6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0" s="13" t="e">
        <f>IF(PLANPRODUCCION[[#This Row],[PIEZAS REAL]]&gt;0,PLANPRODUCCION[[#This Row],[PIEZAS REAL]]/PLANPRODUCCION[[#This Row],[PIEZAS ACTUALIZADO]],)</f>
        <v>#DIV/0!</v>
      </c>
      <c r="AC60" s="10" t="b">
        <f>PLANPRODUCCION[[#This Row],[INGRESO PLANEADO]]&lt;PLANPRODUCCION[[#This Row],[COSTO PLANEADO]]</f>
        <v>0</v>
      </c>
      <c r="AD60" s="46" t="s">
        <v>143</v>
      </c>
      <c r="AE60" s="10"/>
      <c r="AF60" s="10" t="b">
        <f>IF(COUNTIF(PLANPRODUCCION[[#This Row],[OBSERVACIONES]],"NO APLICA BONO*")&gt;0,TRUE,FALSE)</f>
        <v>0</v>
      </c>
    </row>
    <row r="61" spans="1:32" x14ac:dyDescent="0.25">
      <c r="A61" s="46" t="str">
        <f>UPPER(IF(PLANPRODUCCION[[#This Row],[FECHA]]&lt;=45701,_xlfn.CONCAT(TEXT(B61,"MMM"),"-",IF(ROW(A61)&lt;11,"000"&amp;ROW(A61)-1,IF(ROW(A61)&lt;101,"00"&amp;ROW(A61)-1,IF(ROW(A61)&lt;1001,"0"&amp;ROW(A61)-1,ROW(A61)-1))),"-OLD"),_xlfn.CONCAT(TEXT(B61,"MMM"),"-",IF(ROW(A61)&lt;473,"000"&amp;ROW(A61)-463,IF(ROW(A61)&lt;563,"00"&amp;ROW(A61)-463,IF(ROW(A61)&lt;1001,"0"&amp;ROW(A61)-463,ROW(A61)-463))))))</f>
        <v>ENE-0060-OLD</v>
      </c>
      <c r="B61" s="1">
        <v>45664</v>
      </c>
      <c r="C61" s="5"/>
      <c r="D61" s="5"/>
      <c r="E61" t="s">
        <v>110</v>
      </c>
      <c r="F61" s="32"/>
      <c r="G61" s="32"/>
      <c r="H61" s="5">
        <v>1514</v>
      </c>
      <c r="I61" t="s">
        <v>141</v>
      </c>
      <c r="J61" t="s">
        <v>144</v>
      </c>
      <c r="K61" s="5"/>
      <c r="L61" s="10" t="s">
        <v>57</v>
      </c>
      <c r="M61" s="49">
        <v>1</v>
      </c>
      <c r="N61" s="34">
        <f>PLANPRODUCCION[[#This Row],[PIEZAS PLANEADAS]]*PLANPRODUCCION[[#This Row],[PRECIO MAQUILAS]]</f>
        <v>0</v>
      </c>
      <c r="O61" s="5">
        <v>4</v>
      </c>
      <c r="P61" s="2">
        <v>0.72916666666666663</v>
      </c>
      <c r="Q61" s="2">
        <v>0.86111111111111116</v>
      </c>
      <c r="R61" s="24">
        <v>1128</v>
      </c>
      <c r="S61" s="35">
        <f>PLANPRODUCCION[[#This Row],[PRECIO MAQUILAS]]*PLANPRODUCCION[[#This Row],[PIEZAS REAL]]</f>
        <v>1128</v>
      </c>
      <c r="T6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6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981.66666666666663</v>
      </c>
      <c r="W6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146.33333333333337</v>
      </c>
      <c r="X61" s="8"/>
      <c r="Y6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1" s="13" t="e">
        <f>IF(PLANPRODUCCION[[#This Row],[PIEZAS REAL]]&gt;0,PLANPRODUCCION[[#This Row],[PIEZAS REAL]]/PLANPRODUCCION[[#This Row],[PIEZAS ACTUALIZADO]],)</f>
        <v>#DIV/0!</v>
      </c>
      <c r="AC61" s="10" t="b">
        <f>PLANPRODUCCION[[#This Row],[INGRESO PLANEADO]]&lt;PLANPRODUCCION[[#This Row],[COSTO PLANEADO]]</f>
        <v>0</v>
      </c>
      <c r="AD61" s="46" t="s">
        <v>145</v>
      </c>
      <c r="AE61" s="10"/>
      <c r="AF61" s="10" t="b">
        <f>IF(COUNTIF(PLANPRODUCCION[[#This Row],[OBSERVACIONES]],"NO APLICA BONO*")&gt;0,TRUE,FALSE)</f>
        <v>0</v>
      </c>
    </row>
    <row r="62" spans="1:32" x14ac:dyDescent="0.25">
      <c r="A62" s="46" t="str">
        <f>UPPER(IF(PLANPRODUCCION[[#This Row],[FECHA]]&lt;=45701,_xlfn.CONCAT(TEXT(B62,"MMM"),"-",IF(ROW(A62)&lt;11,"000"&amp;ROW(A62)-1,IF(ROW(A62)&lt;101,"00"&amp;ROW(A62)-1,IF(ROW(A62)&lt;1001,"0"&amp;ROW(A62)-1,ROW(A62)-1))),"-OLD"),_xlfn.CONCAT(TEXT(B62,"MMM"),"-",IF(ROW(A62)&lt;473,"000"&amp;ROW(A62)-463,IF(ROW(A62)&lt;563,"00"&amp;ROW(A62)-463,IF(ROW(A62)&lt;1001,"0"&amp;ROW(A62)-463,ROW(A62)-463))))))</f>
        <v>ENE-0061-OLD</v>
      </c>
      <c r="B62" s="1">
        <v>45664</v>
      </c>
      <c r="C62" s="5"/>
      <c r="D62" s="5"/>
      <c r="E62" t="s">
        <v>72</v>
      </c>
      <c r="F62" s="32"/>
      <c r="G62" s="32"/>
      <c r="H62" s="5">
        <v>1514</v>
      </c>
      <c r="I62" t="s">
        <v>141</v>
      </c>
      <c r="J62" t="s">
        <v>144</v>
      </c>
      <c r="K62" s="5"/>
      <c r="L62" s="10" t="s">
        <v>57</v>
      </c>
      <c r="M62" s="49">
        <v>1</v>
      </c>
      <c r="N62" s="34">
        <f>PLANPRODUCCION[[#This Row],[PIEZAS PLANEADAS]]*PLANPRODUCCION[[#This Row],[PRECIO MAQUILAS]]</f>
        <v>0</v>
      </c>
      <c r="O62" s="5">
        <v>4</v>
      </c>
      <c r="P62" s="2">
        <v>0.66666666666666663</v>
      </c>
      <c r="Q62" s="2">
        <v>0.86111111111111116</v>
      </c>
      <c r="R62" s="24">
        <v>1872</v>
      </c>
      <c r="S62" s="35">
        <f>PLANPRODUCCION[[#This Row],[PRECIO MAQUILAS]]*PLANPRODUCCION[[#This Row],[PIEZAS REAL]]</f>
        <v>1872</v>
      </c>
      <c r="T6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6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1157.3333333333333</v>
      </c>
      <c r="W6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714.66666666666674</v>
      </c>
      <c r="X62" s="8"/>
      <c r="Y6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2" s="13" t="e">
        <f>IF(PLANPRODUCCION[[#This Row],[PIEZAS REAL]]&gt;0,PLANPRODUCCION[[#This Row],[PIEZAS REAL]]/PLANPRODUCCION[[#This Row],[PIEZAS ACTUALIZADO]],)</f>
        <v>#DIV/0!</v>
      </c>
      <c r="AC62" s="10" t="b">
        <f>PLANPRODUCCION[[#This Row],[INGRESO PLANEADO]]&lt;PLANPRODUCCION[[#This Row],[COSTO PLANEADO]]</f>
        <v>0</v>
      </c>
      <c r="AD62" s="46" t="s">
        <v>146</v>
      </c>
      <c r="AE62" s="10"/>
      <c r="AF62" s="10" t="b">
        <f>IF(COUNTIF(PLANPRODUCCION[[#This Row],[OBSERVACIONES]],"NO APLICA BONO*")&gt;0,TRUE,FALSE)</f>
        <v>0</v>
      </c>
    </row>
    <row r="63" spans="1:32" x14ac:dyDescent="0.25">
      <c r="A63" s="46" t="str">
        <f>UPPER(IF(PLANPRODUCCION[[#This Row],[FECHA]]&lt;=45701,_xlfn.CONCAT(TEXT(B63,"MMM"),"-",IF(ROW(A63)&lt;11,"000"&amp;ROW(A63)-1,IF(ROW(A63)&lt;101,"00"&amp;ROW(A63)-1,IF(ROW(A63)&lt;1001,"0"&amp;ROW(A63)-1,ROW(A63)-1))),"-OLD"),_xlfn.CONCAT(TEXT(B63,"MMM"),"-",IF(ROW(A63)&lt;473,"000"&amp;ROW(A63)-463,IF(ROW(A63)&lt;563,"00"&amp;ROW(A63)-463,IF(ROW(A63)&lt;1001,"0"&amp;ROW(A63)-463,ROW(A63)-463))))))</f>
        <v>ENE-0062-OLD</v>
      </c>
      <c r="B63" s="1">
        <v>45664</v>
      </c>
      <c r="C63" s="5"/>
      <c r="D63" s="5"/>
      <c r="E63" t="s">
        <v>75</v>
      </c>
      <c r="F63" s="32"/>
      <c r="G63" s="32"/>
      <c r="H63" s="5">
        <v>1477</v>
      </c>
      <c r="I63" t="s">
        <v>85</v>
      </c>
      <c r="J63" t="s">
        <v>86</v>
      </c>
      <c r="K63" s="5"/>
      <c r="L63" s="10" t="s">
        <v>57</v>
      </c>
      <c r="M63" s="49">
        <v>6</v>
      </c>
      <c r="N63" s="34">
        <f>PLANPRODUCCION[[#This Row],[PIEZAS PLANEADAS]]*PLANPRODUCCION[[#This Row],[PRECIO MAQUILAS]]</f>
        <v>0</v>
      </c>
      <c r="O63" s="5">
        <v>6</v>
      </c>
      <c r="P63" s="2">
        <v>6.9444444444444448E-2</v>
      </c>
      <c r="Q63" s="2">
        <v>0.22916666666666666</v>
      </c>
      <c r="R63" s="24">
        <v>380</v>
      </c>
      <c r="S63" s="35">
        <f>PLANPRODUCCION[[#This Row],[PRECIO MAQUILAS]]*PLANPRODUCCION[[#This Row],[PIEZAS REAL]]</f>
        <v>2280</v>
      </c>
      <c r="T6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6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1916.6666666666667</v>
      </c>
      <c r="W6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363.33333333333326</v>
      </c>
      <c r="X63" s="8"/>
      <c r="Y6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3" s="13" t="e">
        <f>IF(PLANPRODUCCION[[#This Row],[PIEZAS REAL]]&gt;0,PLANPRODUCCION[[#This Row],[PIEZAS REAL]]/PLANPRODUCCION[[#This Row],[PIEZAS ACTUALIZADO]],)</f>
        <v>#DIV/0!</v>
      </c>
      <c r="AC63" s="10" t="b">
        <f>PLANPRODUCCION[[#This Row],[INGRESO PLANEADO]]&lt;PLANPRODUCCION[[#This Row],[COSTO PLANEADO]]</f>
        <v>0</v>
      </c>
      <c r="AD63" s="46" t="s">
        <v>147</v>
      </c>
      <c r="AE63" s="10"/>
      <c r="AF63" s="10" t="b">
        <f>IF(COUNTIF(PLANPRODUCCION[[#This Row],[OBSERVACIONES]],"NO APLICA BONO*")&gt;0,TRUE,FALSE)</f>
        <v>0</v>
      </c>
    </row>
    <row r="64" spans="1:32" x14ac:dyDescent="0.25">
      <c r="A64" s="46" t="str">
        <f>UPPER(IF(PLANPRODUCCION[[#This Row],[FECHA]]&lt;=45701,_xlfn.CONCAT(TEXT(B64,"MMM"),"-",IF(ROW(A64)&lt;11,"000"&amp;ROW(A64)-1,IF(ROW(A64)&lt;101,"00"&amp;ROW(A64)-1,IF(ROW(A64)&lt;1001,"0"&amp;ROW(A64)-1,ROW(A64)-1))),"-OLD"),_xlfn.CONCAT(TEXT(B64,"MMM"),"-",IF(ROW(A64)&lt;473,"000"&amp;ROW(A64)-463,IF(ROW(A64)&lt;563,"00"&amp;ROW(A64)-463,IF(ROW(A64)&lt;1001,"0"&amp;ROW(A64)-463,ROW(A64)-463))))))</f>
        <v>ENE-0063-OLD</v>
      </c>
      <c r="B64" s="1">
        <v>45664</v>
      </c>
      <c r="C64" s="5"/>
      <c r="D64" s="5"/>
      <c r="E64" t="s">
        <v>75</v>
      </c>
      <c r="F64" s="32"/>
      <c r="G64" s="32"/>
      <c r="H64" s="5">
        <v>1514</v>
      </c>
      <c r="I64" t="s">
        <v>141</v>
      </c>
      <c r="J64" t="s">
        <v>148</v>
      </c>
      <c r="K64" s="5"/>
      <c r="L64" s="10" t="s">
        <v>83</v>
      </c>
      <c r="M64" s="49">
        <v>30</v>
      </c>
      <c r="N64" s="34">
        <f>PLANPRODUCCION[[#This Row],[PIEZAS PLANEADAS]]*PLANPRODUCCION[[#This Row],[PRECIO MAQUILAS]]</f>
        <v>0</v>
      </c>
      <c r="O64" s="5">
        <v>4</v>
      </c>
      <c r="P64" s="2">
        <v>0.875</v>
      </c>
      <c r="Q64" s="2">
        <v>8.3333333333333329E-2</v>
      </c>
      <c r="R64" s="24">
        <v>100</v>
      </c>
      <c r="S64" s="35">
        <f>PLANPRODUCCION[[#This Row],[PRECIO MAQUILAS]]*PLANPRODUCCION[[#This Row],[PIEZAS REAL]]</f>
        <v>3000</v>
      </c>
      <c r="T6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6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1666.6666666666665</v>
      </c>
      <c r="W6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1333.3333333333335</v>
      </c>
      <c r="X64" s="8"/>
      <c r="Y6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4" s="13" t="e">
        <f>IF(PLANPRODUCCION[[#This Row],[PIEZAS REAL]]&gt;0,PLANPRODUCCION[[#This Row],[PIEZAS REAL]]/PLANPRODUCCION[[#This Row],[PIEZAS ACTUALIZADO]],)</f>
        <v>#DIV/0!</v>
      </c>
      <c r="AC64" s="10" t="b">
        <f>PLANPRODUCCION[[#This Row],[INGRESO PLANEADO]]&lt;PLANPRODUCCION[[#This Row],[COSTO PLANEADO]]</f>
        <v>0</v>
      </c>
      <c r="AD64" s="46" t="s">
        <v>149</v>
      </c>
      <c r="AE64" s="10"/>
      <c r="AF64" s="10" t="b">
        <f>IF(COUNTIF(PLANPRODUCCION[[#This Row],[OBSERVACIONES]],"NO APLICA BONO*")&gt;0,TRUE,FALSE)</f>
        <v>0</v>
      </c>
    </row>
    <row r="65" spans="1:32" x14ac:dyDescent="0.25">
      <c r="A65" s="46" t="str">
        <f>UPPER(IF(PLANPRODUCCION[[#This Row],[FECHA]]&lt;=45701,_xlfn.CONCAT(TEXT(B65,"MMM"),"-",IF(ROW(A65)&lt;11,"000"&amp;ROW(A65)-1,IF(ROW(A65)&lt;101,"00"&amp;ROW(A65)-1,IF(ROW(A65)&lt;1001,"0"&amp;ROW(A65)-1,ROW(A65)-1))),"-OLD"),_xlfn.CONCAT(TEXT(B65,"MMM"),"-",IF(ROW(A65)&lt;473,"000"&amp;ROW(A65)-463,IF(ROW(A65)&lt;563,"00"&amp;ROW(A65)-463,IF(ROW(A65)&lt;1001,"0"&amp;ROW(A65)-463,ROW(A65)-463))))))</f>
        <v>ENE-0064-OLD</v>
      </c>
      <c r="B65" s="1">
        <v>45665</v>
      </c>
      <c r="C65" s="5"/>
      <c r="D65" s="5"/>
      <c r="E65" t="s">
        <v>54</v>
      </c>
      <c r="F65" s="32"/>
      <c r="G65" s="32"/>
      <c r="H65" s="5">
        <v>1510</v>
      </c>
      <c r="I65" t="s">
        <v>130</v>
      </c>
      <c r="J65" t="s">
        <v>131</v>
      </c>
      <c r="K65" s="5"/>
      <c r="L65" s="10" t="s">
        <v>65</v>
      </c>
      <c r="M65" s="49">
        <v>1.4</v>
      </c>
      <c r="N65" s="34">
        <f>PLANPRODUCCION[[#This Row],[PIEZAS PLANEADAS]]*PLANPRODUCCION[[#This Row],[PRECIO MAQUILAS]]</f>
        <v>0</v>
      </c>
      <c r="O65" s="5">
        <v>2</v>
      </c>
      <c r="P65" s="2">
        <v>0.25</v>
      </c>
      <c r="Q65" s="2">
        <v>0.375</v>
      </c>
      <c r="R65" s="24">
        <v>1119</v>
      </c>
      <c r="S65" s="35">
        <f>PLANPRODUCCION[[#This Row],[PRECIO MAQUILAS]]*PLANPRODUCCION[[#This Row],[PIEZAS REAL]]</f>
        <v>1566.6</v>
      </c>
      <c r="T6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6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6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1194.5999999999999</v>
      </c>
      <c r="X65" s="8"/>
      <c r="Y6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5" s="13" t="e">
        <f>IF(PLANPRODUCCION[[#This Row],[PIEZAS REAL]]&gt;0,PLANPRODUCCION[[#This Row],[PIEZAS REAL]]/PLANPRODUCCION[[#This Row],[PIEZAS ACTUALIZADO]],)</f>
        <v>#DIV/0!</v>
      </c>
      <c r="AC65" s="10" t="b">
        <f>PLANPRODUCCION[[#This Row],[INGRESO PLANEADO]]&lt;PLANPRODUCCION[[#This Row],[COSTO PLANEADO]]</f>
        <v>0</v>
      </c>
      <c r="AD65" s="46" t="s">
        <v>150</v>
      </c>
      <c r="AE65" s="10"/>
      <c r="AF65" s="10" t="b">
        <f>IF(COUNTIF(PLANPRODUCCION[[#This Row],[OBSERVACIONES]],"NO APLICA BONO*")&gt;0,TRUE,FALSE)</f>
        <v>0</v>
      </c>
    </row>
    <row r="66" spans="1:32" x14ac:dyDescent="0.25">
      <c r="A66" s="46" t="str">
        <f>UPPER(IF(PLANPRODUCCION[[#This Row],[FECHA]]&lt;=45701,_xlfn.CONCAT(TEXT(B66,"MMM"),"-",IF(ROW(A66)&lt;11,"000"&amp;ROW(A66)-1,IF(ROW(A66)&lt;101,"00"&amp;ROW(A66)-1,IF(ROW(A66)&lt;1001,"0"&amp;ROW(A66)-1,ROW(A66)-1))),"-OLD"),_xlfn.CONCAT(TEXT(B66,"MMM"),"-",IF(ROW(A66)&lt;473,"000"&amp;ROW(A66)-463,IF(ROW(A66)&lt;563,"00"&amp;ROW(A66)-463,IF(ROW(A66)&lt;1001,"0"&amp;ROW(A66)-463,ROW(A66)-463))))))</f>
        <v>ENE-0065-OLD</v>
      </c>
      <c r="B66" s="1">
        <v>45665</v>
      </c>
      <c r="C66" s="5"/>
      <c r="D66" s="5"/>
      <c r="E66" t="s">
        <v>54</v>
      </c>
      <c r="F66" s="32"/>
      <c r="G66" s="32"/>
      <c r="H66" s="5">
        <v>1514</v>
      </c>
      <c r="I66" t="s">
        <v>141</v>
      </c>
      <c r="J66" t="s">
        <v>144</v>
      </c>
      <c r="K66" s="5"/>
      <c r="L66" s="10" t="s">
        <v>57</v>
      </c>
      <c r="M66" s="49">
        <v>1</v>
      </c>
      <c r="N66" s="34">
        <f>PLANPRODUCCION[[#This Row],[PIEZAS PLANEADAS]]*PLANPRODUCCION[[#This Row],[PRECIO MAQUILAS]]</f>
        <v>0</v>
      </c>
      <c r="O66" s="5">
        <v>3</v>
      </c>
      <c r="P66" s="2">
        <v>0.25</v>
      </c>
      <c r="Q66" s="2">
        <v>0.66666666666666663</v>
      </c>
      <c r="R66" s="24">
        <v>1848</v>
      </c>
      <c r="S66" s="35">
        <f>PLANPRODUCCION[[#This Row],[PRECIO MAQUILAS]]*PLANPRODUCCION[[#This Row],[PIEZAS REAL]]</f>
        <v>1848</v>
      </c>
      <c r="T6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6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6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-12</v>
      </c>
      <c r="X66" s="8"/>
      <c r="Y6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6" s="13" t="e">
        <f>IF(PLANPRODUCCION[[#This Row],[PIEZAS REAL]]&gt;0,PLANPRODUCCION[[#This Row],[PIEZAS REAL]]/PLANPRODUCCION[[#This Row],[PIEZAS ACTUALIZADO]],)</f>
        <v>#DIV/0!</v>
      </c>
      <c r="AC66" s="10" t="b">
        <f>PLANPRODUCCION[[#This Row],[INGRESO PLANEADO]]&lt;PLANPRODUCCION[[#This Row],[COSTO PLANEADO]]</f>
        <v>0</v>
      </c>
      <c r="AD66" s="46" t="s">
        <v>151</v>
      </c>
      <c r="AE66" s="10"/>
      <c r="AF66" s="10" t="b">
        <f>IF(COUNTIF(PLANPRODUCCION[[#This Row],[OBSERVACIONES]],"NO APLICA BONO*")&gt;0,TRUE,FALSE)</f>
        <v>0</v>
      </c>
    </row>
    <row r="67" spans="1:32" x14ac:dyDescent="0.25">
      <c r="A67" s="46" t="str">
        <f>UPPER(IF(PLANPRODUCCION[[#This Row],[FECHA]]&lt;=45701,_xlfn.CONCAT(TEXT(B67,"MMM"),"-",IF(ROW(A67)&lt;11,"000"&amp;ROW(A67)-1,IF(ROW(A67)&lt;101,"00"&amp;ROW(A67)-1,IF(ROW(A67)&lt;1001,"0"&amp;ROW(A67)-1,ROW(A67)-1))),"-OLD"),_xlfn.CONCAT(TEXT(B67,"MMM"),"-",IF(ROW(A67)&lt;473,"000"&amp;ROW(A67)-463,IF(ROW(A67)&lt;563,"00"&amp;ROW(A67)-463,IF(ROW(A67)&lt;1001,"0"&amp;ROW(A67)-463,ROW(A67)-463))))))</f>
        <v>ENE-0066-OLD</v>
      </c>
      <c r="B67" s="1">
        <v>45665</v>
      </c>
      <c r="C67" s="5"/>
      <c r="D67" s="5"/>
      <c r="E67" t="s">
        <v>54</v>
      </c>
      <c r="F67" s="32"/>
      <c r="G67" s="32"/>
      <c r="H67" s="5">
        <v>1514</v>
      </c>
      <c r="I67" t="s">
        <v>141</v>
      </c>
      <c r="J67" t="s">
        <v>144</v>
      </c>
      <c r="K67" s="5"/>
      <c r="L67" s="10" t="s">
        <v>57</v>
      </c>
      <c r="M67" s="49">
        <v>1</v>
      </c>
      <c r="N67" s="34">
        <f>PLANPRODUCCION[[#This Row],[PIEZAS PLANEADAS]]*PLANPRODUCCION[[#This Row],[PRECIO MAQUILAS]]</f>
        <v>0</v>
      </c>
      <c r="O67" s="5">
        <v>2</v>
      </c>
      <c r="P67" s="2">
        <v>0.25</v>
      </c>
      <c r="Q67" s="2">
        <v>0.375</v>
      </c>
      <c r="R67" s="24">
        <v>264</v>
      </c>
      <c r="S67" s="35">
        <f>PLANPRODUCCION[[#This Row],[PRECIO MAQUILAS]]*PLANPRODUCCION[[#This Row],[PIEZAS REAL]]</f>
        <v>264</v>
      </c>
      <c r="T6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6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6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-108</v>
      </c>
      <c r="X67" s="8"/>
      <c r="Y6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7" s="13" t="e">
        <f>IF(PLANPRODUCCION[[#This Row],[PIEZAS REAL]]&gt;0,PLANPRODUCCION[[#This Row],[PIEZAS REAL]]/PLANPRODUCCION[[#This Row],[PIEZAS ACTUALIZADO]],)</f>
        <v>#DIV/0!</v>
      </c>
      <c r="AC67" s="10" t="b">
        <f>PLANPRODUCCION[[#This Row],[INGRESO PLANEADO]]&lt;PLANPRODUCCION[[#This Row],[COSTO PLANEADO]]</f>
        <v>0</v>
      </c>
      <c r="AD67" s="46" t="s">
        <v>152</v>
      </c>
      <c r="AE67" s="10"/>
      <c r="AF67" s="10" t="b">
        <f>IF(COUNTIF(PLANPRODUCCION[[#This Row],[OBSERVACIONES]],"NO APLICA BONO*")&gt;0,TRUE,FALSE)</f>
        <v>0</v>
      </c>
    </row>
    <row r="68" spans="1:32" x14ac:dyDescent="0.25">
      <c r="A68" s="46" t="str">
        <f>UPPER(IF(PLANPRODUCCION[[#This Row],[FECHA]]&lt;=45701,_xlfn.CONCAT(TEXT(B68,"MMM"),"-",IF(ROW(A68)&lt;11,"000"&amp;ROW(A68)-1,IF(ROW(A68)&lt;101,"00"&amp;ROW(A68)-1,IF(ROW(A68)&lt;1001,"0"&amp;ROW(A68)-1,ROW(A68)-1))),"-OLD"),_xlfn.CONCAT(TEXT(B68,"MMM"),"-",IF(ROW(A68)&lt;473,"000"&amp;ROW(A68)-463,IF(ROW(A68)&lt;563,"00"&amp;ROW(A68)-463,IF(ROW(A68)&lt;1001,"0"&amp;ROW(A68)-463,ROW(A68)-463))))))</f>
        <v>ENE-0067-OLD</v>
      </c>
      <c r="B68" s="1">
        <v>45665</v>
      </c>
      <c r="C68" s="5"/>
      <c r="D68" s="5"/>
      <c r="E68" t="s">
        <v>54</v>
      </c>
      <c r="F68" s="32"/>
      <c r="G68" s="32"/>
      <c r="H68" s="5">
        <v>1514</v>
      </c>
      <c r="I68" t="s">
        <v>141</v>
      </c>
      <c r="J68" t="s">
        <v>144</v>
      </c>
      <c r="K68" s="5"/>
      <c r="L68" s="10" t="s">
        <v>57</v>
      </c>
      <c r="M68" s="49">
        <v>1</v>
      </c>
      <c r="N68" s="34">
        <f>PLANPRODUCCION[[#This Row],[PIEZAS PLANEADAS]]*PLANPRODUCCION[[#This Row],[PRECIO MAQUILAS]]</f>
        <v>0</v>
      </c>
      <c r="O68" s="5">
        <v>2</v>
      </c>
      <c r="P68" s="2">
        <v>0.25</v>
      </c>
      <c r="Q68" s="2">
        <v>0.66666666666666663</v>
      </c>
      <c r="R68" s="24">
        <v>1614</v>
      </c>
      <c r="S68" s="35">
        <f>PLANPRODUCCION[[#This Row],[PRECIO MAQUILAS]]*PLANPRODUCCION[[#This Row],[PIEZAS REAL]]</f>
        <v>1614</v>
      </c>
      <c r="T6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6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6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374</v>
      </c>
      <c r="X68" s="8"/>
      <c r="Y6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8" s="13" t="e">
        <f>IF(PLANPRODUCCION[[#This Row],[PIEZAS REAL]]&gt;0,PLANPRODUCCION[[#This Row],[PIEZAS REAL]]/PLANPRODUCCION[[#This Row],[PIEZAS ACTUALIZADO]],)</f>
        <v>#DIV/0!</v>
      </c>
      <c r="AC68" s="10" t="b">
        <f>PLANPRODUCCION[[#This Row],[INGRESO PLANEADO]]&lt;PLANPRODUCCION[[#This Row],[COSTO PLANEADO]]</f>
        <v>0</v>
      </c>
      <c r="AD68" s="46" t="s">
        <v>153</v>
      </c>
      <c r="AE68" s="10"/>
      <c r="AF68" s="10" t="b">
        <f>IF(COUNTIF(PLANPRODUCCION[[#This Row],[OBSERVACIONES]],"NO APLICA BONO*")&gt;0,TRUE,FALSE)</f>
        <v>0</v>
      </c>
    </row>
    <row r="69" spans="1:32" x14ac:dyDescent="0.25">
      <c r="A69" s="46" t="str">
        <f>UPPER(IF(PLANPRODUCCION[[#This Row],[FECHA]]&lt;=45701,_xlfn.CONCAT(TEXT(B69,"MMM"),"-",IF(ROW(A69)&lt;11,"000"&amp;ROW(A69)-1,IF(ROW(A69)&lt;101,"00"&amp;ROW(A69)-1,IF(ROW(A69)&lt;1001,"0"&amp;ROW(A69)-1,ROW(A69)-1))),"-OLD"),_xlfn.CONCAT(TEXT(B69,"MMM"),"-",IF(ROW(A69)&lt;473,"000"&amp;ROW(A69)-463,IF(ROW(A69)&lt;563,"00"&amp;ROW(A69)-463,IF(ROW(A69)&lt;1001,"0"&amp;ROW(A69)-463,ROW(A69)-463))))))</f>
        <v>ENE-0068-OLD</v>
      </c>
      <c r="B69" s="1">
        <v>45665</v>
      </c>
      <c r="C69" s="5"/>
      <c r="D69" s="5"/>
      <c r="E69" t="s">
        <v>54</v>
      </c>
      <c r="F69" s="32"/>
      <c r="G69" s="32"/>
      <c r="H69" s="5">
        <v>1514</v>
      </c>
      <c r="I69" t="s">
        <v>141</v>
      </c>
      <c r="J69" t="s">
        <v>148</v>
      </c>
      <c r="K69" s="5"/>
      <c r="L69" s="10" t="s">
        <v>83</v>
      </c>
      <c r="M69" s="49">
        <v>30</v>
      </c>
      <c r="N69" s="34">
        <f>PLANPRODUCCION[[#This Row],[PIEZAS PLANEADAS]]*PLANPRODUCCION[[#This Row],[PRECIO MAQUILAS]]</f>
        <v>0</v>
      </c>
      <c r="O69" s="5">
        <v>8</v>
      </c>
      <c r="P69" s="2">
        <v>0.25</v>
      </c>
      <c r="Q69" s="2">
        <v>0.62708333333333333</v>
      </c>
      <c r="R69" s="24">
        <v>241</v>
      </c>
      <c r="S69" s="35">
        <f>PLANPRODUCCION[[#This Row],[PRECIO MAQUILAS]]*PLANPRODUCCION[[#This Row],[PIEZAS REAL]]</f>
        <v>7230</v>
      </c>
      <c r="T6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6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4488.8</v>
      </c>
      <c r="W6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2741.2</v>
      </c>
      <c r="X69" s="8"/>
      <c r="Y6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9" s="13" t="e">
        <f>IF(PLANPRODUCCION[[#This Row],[PIEZAS REAL]]&gt;0,PLANPRODUCCION[[#This Row],[PIEZAS REAL]]/PLANPRODUCCION[[#This Row],[PIEZAS ACTUALIZADO]],)</f>
        <v>#DIV/0!</v>
      </c>
      <c r="AC69" s="10" t="b">
        <f>PLANPRODUCCION[[#This Row],[INGRESO PLANEADO]]&lt;PLANPRODUCCION[[#This Row],[COSTO PLANEADO]]</f>
        <v>0</v>
      </c>
      <c r="AD69" s="46" t="s">
        <v>154</v>
      </c>
      <c r="AE69" s="10"/>
      <c r="AF69" s="10" t="b">
        <f>IF(COUNTIF(PLANPRODUCCION[[#This Row],[OBSERVACIONES]],"NO APLICA BONO*")&gt;0,TRUE,FALSE)</f>
        <v>0</v>
      </c>
    </row>
    <row r="70" spans="1:32" x14ac:dyDescent="0.25">
      <c r="A70" s="46" t="str">
        <f>UPPER(IF(PLANPRODUCCION[[#This Row],[FECHA]]&lt;=45701,_xlfn.CONCAT(TEXT(B70,"MMM"),"-",IF(ROW(A70)&lt;11,"000"&amp;ROW(A70)-1,IF(ROW(A70)&lt;101,"00"&amp;ROW(A70)-1,IF(ROW(A70)&lt;1001,"0"&amp;ROW(A70)-1,ROW(A70)-1))),"-OLD"),_xlfn.CONCAT(TEXT(B70,"MMM"),"-",IF(ROW(A70)&lt;473,"000"&amp;ROW(A70)-463,IF(ROW(A70)&lt;563,"00"&amp;ROW(A70)-463,IF(ROW(A70)&lt;1001,"0"&amp;ROW(A70)-463,ROW(A70)-463))))))</f>
        <v>ENE-0069-OLD</v>
      </c>
      <c r="B70" s="1">
        <v>45665</v>
      </c>
      <c r="C70" s="5"/>
      <c r="D70" s="5"/>
      <c r="E70" t="s">
        <v>54</v>
      </c>
      <c r="F70" s="32"/>
      <c r="G70" s="32"/>
      <c r="H70" s="5">
        <v>1517</v>
      </c>
      <c r="I70" t="s">
        <v>155</v>
      </c>
      <c r="J70" t="s">
        <v>156</v>
      </c>
      <c r="K70" s="5"/>
      <c r="L70" s="10" t="s">
        <v>57</v>
      </c>
      <c r="M70" s="49">
        <v>3</v>
      </c>
      <c r="N70" s="34">
        <f>PLANPRODUCCION[[#This Row],[PIEZAS PLANEADAS]]*PLANPRODUCCION[[#This Row],[PRECIO MAQUILAS]]</f>
        <v>0</v>
      </c>
      <c r="O70" s="5">
        <v>2</v>
      </c>
      <c r="P70" s="2">
        <v>0.39583333333333331</v>
      </c>
      <c r="Q70" s="2">
        <v>0.66666666666666663</v>
      </c>
      <c r="R70" s="24">
        <v>4886</v>
      </c>
      <c r="S70" s="35">
        <f>PLANPRODUCCION[[#This Row],[PRECIO MAQUILAS]]*PLANPRODUCCION[[#This Row],[PIEZAS REAL]]</f>
        <v>14658</v>
      </c>
      <c r="T7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7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806</v>
      </c>
      <c r="W7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13852</v>
      </c>
      <c r="X70" s="8"/>
      <c r="Y7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0" s="13" t="e">
        <f>IF(PLANPRODUCCION[[#This Row],[PIEZAS REAL]]&gt;0,PLANPRODUCCION[[#This Row],[PIEZAS REAL]]/PLANPRODUCCION[[#This Row],[PIEZAS ACTUALIZADO]],)</f>
        <v>#DIV/0!</v>
      </c>
      <c r="AC70" s="10" t="b">
        <f>PLANPRODUCCION[[#This Row],[INGRESO PLANEADO]]&lt;PLANPRODUCCION[[#This Row],[COSTO PLANEADO]]</f>
        <v>0</v>
      </c>
      <c r="AD70" s="46" t="s">
        <v>157</v>
      </c>
      <c r="AE70" s="10"/>
      <c r="AF70" s="10" t="b">
        <f>IF(COUNTIF(PLANPRODUCCION[[#This Row],[OBSERVACIONES]],"NO APLICA BONO*")&gt;0,TRUE,FALSE)</f>
        <v>0</v>
      </c>
    </row>
    <row r="71" spans="1:32" x14ac:dyDescent="0.25">
      <c r="A71" s="46" t="str">
        <f>UPPER(IF(PLANPRODUCCION[[#This Row],[FECHA]]&lt;=45701,_xlfn.CONCAT(TEXT(B71,"MMM"),"-",IF(ROW(A71)&lt;11,"000"&amp;ROW(A71)-1,IF(ROW(A71)&lt;101,"00"&amp;ROW(A71)-1,IF(ROW(A71)&lt;1001,"0"&amp;ROW(A71)-1,ROW(A71)-1))),"-OLD"),_xlfn.CONCAT(TEXT(B71,"MMM"),"-",IF(ROW(A71)&lt;473,"000"&amp;ROW(A71)-463,IF(ROW(A71)&lt;563,"00"&amp;ROW(A71)-463,IF(ROW(A71)&lt;1001,"0"&amp;ROW(A71)-463,ROW(A71)-463))))))</f>
        <v>ENE-0070-OLD</v>
      </c>
      <c r="B71" s="1">
        <v>45665</v>
      </c>
      <c r="C71" s="5"/>
      <c r="D71" s="5"/>
      <c r="E71" t="s">
        <v>67</v>
      </c>
      <c r="F71" s="32"/>
      <c r="G71" s="32"/>
      <c r="H71" s="5">
        <v>1517</v>
      </c>
      <c r="I71" t="s">
        <v>155</v>
      </c>
      <c r="J71" t="s">
        <v>158</v>
      </c>
      <c r="K71" s="5"/>
      <c r="L71" s="10" t="s">
        <v>57</v>
      </c>
      <c r="M71" s="49">
        <v>3</v>
      </c>
      <c r="N71" s="34">
        <f>PLANPRODUCCION[[#This Row],[PIEZAS PLANEADAS]]*PLANPRODUCCION[[#This Row],[PRECIO MAQUILAS]]</f>
        <v>0</v>
      </c>
      <c r="O71" s="5">
        <v>1</v>
      </c>
      <c r="P71" s="2">
        <v>0.33333333333333331</v>
      </c>
      <c r="Q71" s="2">
        <v>0.66666666666666663</v>
      </c>
      <c r="R71" s="24">
        <v>0</v>
      </c>
      <c r="S71" s="35">
        <f>PLANPRODUCCION[[#This Row],[PRECIO MAQUILAS]]*PLANPRODUCCION[[#This Row],[PIEZAS REAL]]</f>
        <v>0</v>
      </c>
      <c r="T7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7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496</v>
      </c>
      <c r="W7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-496</v>
      </c>
      <c r="X71" s="8"/>
      <c r="Y7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1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71" s="13">
        <f>IF(PLANPRODUCCION[[#This Row],[PIEZAS REAL]]&gt;0,PLANPRODUCCION[[#This Row],[PIEZAS REAL]]/PLANPRODUCCION[[#This Row],[PIEZAS ACTUALIZADO]],)</f>
        <v>0</v>
      </c>
      <c r="AC71" s="10" t="b">
        <f>PLANPRODUCCION[[#This Row],[INGRESO PLANEADO]]&lt;PLANPRODUCCION[[#This Row],[COSTO PLANEADO]]</f>
        <v>0</v>
      </c>
      <c r="AD71" s="46" t="s">
        <v>159</v>
      </c>
      <c r="AE71" s="10"/>
      <c r="AF71" s="10" t="b">
        <f>IF(COUNTIF(PLANPRODUCCION[[#This Row],[OBSERVACIONES]],"NO APLICA BONO*")&gt;0,TRUE,FALSE)</f>
        <v>0</v>
      </c>
    </row>
    <row r="72" spans="1:32" x14ac:dyDescent="0.25">
      <c r="A72" s="46" t="str">
        <f>UPPER(IF(PLANPRODUCCION[[#This Row],[FECHA]]&lt;=45701,_xlfn.CONCAT(TEXT(B72,"MMM"),"-",IF(ROW(A72)&lt;11,"000"&amp;ROW(A72)-1,IF(ROW(A72)&lt;101,"00"&amp;ROW(A72)-1,IF(ROW(A72)&lt;1001,"0"&amp;ROW(A72)-1,ROW(A72)-1))),"-OLD"),_xlfn.CONCAT(TEXT(B72,"MMM"),"-",IF(ROW(A72)&lt;473,"000"&amp;ROW(A72)-463,IF(ROW(A72)&lt;563,"00"&amp;ROW(A72)-463,IF(ROW(A72)&lt;1001,"0"&amp;ROW(A72)-463,ROW(A72)-463))))))</f>
        <v>ENE-0071-OLD</v>
      </c>
      <c r="B72" s="1">
        <v>45665</v>
      </c>
      <c r="C72" s="5"/>
      <c r="D72" s="5"/>
      <c r="E72" t="s">
        <v>67</v>
      </c>
      <c r="F72" s="32"/>
      <c r="G72" s="32"/>
      <c r="H72" s="5">
        <v>1510</v>
      </c>
      <c r="I72" t="s">
        <v>130</v>
      </c>
      <c r="J72" t="s">
        <v>68</v>
      </c>
      <c r="K72" s="5"/>
      <c r="L72" s="10" t="s">
        <v>57</v>
      </c>
      <c r="M72" s="49">
        <v>0.75</v>
      </c>
      <c r="N72" s="34">
        <f>PLANPRODUCCION[[#This Row],[PIEZAS PLANEADAS]]*PLANPRODUCCION[[#This Row],[PRECIO MAQUILAS]]</f>
        <v>0</v>
      </c>
      <c r="O72" s="5">
        <v>3</v>
      </c>
      <c r="P72" s="2">
        <v>0.54166666666666663</v>
      </c>
      <c r="Q72" s="2">
        <v>0.75</v>
      </c>
      <c r="R72" s="24">
        <v>1012</v>
      </c>
      <c r="S72" s="35">
        <f>PLANPRODUCCION[[#This Row],[PRECIO MAQUILAS]]*PLANPRODUCCION[[#This Row],[PIEZAS REAL]]</f>
        <v>759</v>
      </c>
      <c r="T7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7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7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-171</v>
      </c>
      <c r="X72" s="8"/>
      <c r="Y7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2" s="13" t="e">
        <f>IF(PLANPRODUCCION[[#This Row],[PIEZAS REAL]]&gt;0,PLANPRODUCCION[[#This Row],[PIEZAS REAL]]/PLANPRODUCCION[[#This Row],[PIEZAS ACTUALIZADO]],)</f>
        <v>#DIV/0!</v>
      </c>
      <c r="AC72" s="10" t="b">
        <f>PLANPRODUCCION[[#This Row],[INGRESO PLANEADO]]&lt;PLANPRODUCCION[[#This Row],[COSTO PLANEADO]]</f>
        <v>0</v>
      </c>
      <c r="AD72" s="46" t="s">
        <v>160</v>
      </c>
      <c r="AE72" s="10"/>
      <c r="AF72" s="10" t="b">
        <f>IF(COUNTIF(PLANPRODUCCION[[#This Row],[OBSERVACIONES]],"NO APLICA BONO*")&gt;0,TRUE,FALSE)</f>
        <v>0</v>
      </c>
    </row>
    <row r="73" spans="1:32" x14ac:dyDescent="0.25">
      <c r="A73" s="46" t="str">
        <f>UPPER(IF(PLANPRODUCCION[[#This Row],[FECHA]]&lt;=45701,_xlfn.CONCAT(TEXT(B73,"MMM"),"-",IF(ROW(A73)&lt;11,"000"&amp;ROW(A73)-1,IF(ROW(A73)&lt;101,"00"&amp;ROW(A73)-1,IF(ROW(A73)&lt;1001,"0"&amp;ROW(A73)-1,ROW(A73)-1))),"-OLD"),_xlfn.CONCAT(TEXT(B73,"MMM"),"-",IF(ROW(A73)&lt;473,"000"&amp;ROW(A73)-463,IF(ROW(A73)&lt;563,"00"&amp;ROW(A73)-463,IF(ROW(A73)&lt;1001,"0"&amp;ROW(A73)-463,ROW(A73)-463))))))</f>
        <v>ENE-0072-OLD</v>
      </c>
      <c r="B73" s="1">
        <v>45665</v>
      </c>
      <c r="C73" s="5"/>
      <c r="D73" s="5"/>
      <c r="E73" t="s">
        <v>67</v>
      </c>
      <c r="F73" s="32"/>
      <c r="G73" s="32"/>
      <c r="H73" s="5">
        <v>1514</v>
      </c>
      <c r="I73" t="s">
        <v>141</v>
      </c>
      <c r="J73" t="s">
        <v>142</v>
      </c>
      <c r="K73" s="5"/>
      <c r="L73" s="10" t="s">
        <v>57</v>
      </c>
      <c r="M73" s="49">
        <v>0.5</v>
      </c>
      <c r="N73" s="34">
        <f>PLANPRODUCCION[[#This Row],[PIEZAS PLANEADAS]]*PLANPRODUCCION[[#This Row],[PRECIO MAQUILAS]]</f>
        <v>0</v>
      </c>
      <c r="O73" s="5">
        <v>1</v>
      </c>
      <c r="P73" s="2">
        <v>0.68055555555555558</v>
      </c>
      <c r="Q73" s="2">
        <v>0.75</v>
      </c>
      <c r="R73" s="24">
        <v>288</v>
      </c>
      <c r="S73" s="35">
        <f>PLANPRODUCCION[[#This Row],[PRECIO MAQUILAS]]*PLANPRODUCCION[[#This Row],[PIEZAS REAL]]</f>
        <v>144</v>
      </c>
      <c r="T7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7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103.33333333333333</v>
      </c>
      <c r="W7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40.666666666666671</v>
      </c>
      <c r="X73" s="8"/>
      <c r="Y7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3" s="13" t="e">
        <f>IF(PLANPRODUCCION[[#This Row],[PIEZAS REAL]]&gt;0,PLANPRODUCCION[[#This Row],[PIEZAS REAL]]/PLANPRODUCCION[[#This Row],[PIEZAS ACTUALIZADO]],)</f>
        <v>#DIV/0!</v>
      </c>
      <c r="AC73" s="10" t="b">
        <f>PLANPRODUCCION[[#This Row],[INGRESO PLANEADO]]&lt;PLANPRODUCCION[[#This Row],[COSTO PLANEADO]]</f>
        <v>0</v>
      </c>
      <c r="AD73" s="46" t="s">
        <v>161</v>
      </c>
      <c r="AE73" s="10"/>
      <c r="AF73" s="10" t="b">
        <f>IF(COUNTIF(PLANPRODUCCION[[#This Row],[OBSERVACIONES]],"NO APLICA BONO*")&gt;0,TRUE,FALSE)</f>
        <v>0</v>
      </c>
    </row>
    <row r="74" spans="1:32" x14ac:dyDescent="0.25">
      <c r="A74" s="46" t="str">
        <f>UPPER(IF(PLANPRODUCCION[[#This Row],[FECHA]]&lt;=45701,_xlfn.CONCAT(TEXT(B74,"MMM"),"-",IF(ROW(A74)&lt;11,"000"&amp;ROW(A74)-1,IF(ROW(A74)&lt;101,"00"&amp;ROW(A74)-1,IF(ROW(A74)&lt;1001,"0"&amp;ROW(A74)-1,ROW(A74)-1))),"-OLD"),_xlfn.CONCAT(TEXT(B74,"MMM"),"-",IF(ROW(A74)&lt;473,"000"&amp;ROW(A74)-463,IF(ROW(A74)&lt;563,"00"&amp;ROW(A74)-463,IF(ROW(A74)&lt;1001,"0"&amp;ROW(A74)-463,ROW(A74)-463))))))</f>
        <v>ENE-0073-OLD</v>
      </c>
      <c r="B74" s="1">
        <v>45665</v>
      </c>
      <c r="C74" s="5"/>
      <c r="D74" s="5"/>
      <c r="E74" t="s">
        <v>110</v>
      </c>
      <c r="F74" s="32"/>
      <c r="G74" s="32"/>
      <c r="H74" s="5">
        <v>1514</v>
      </c>
      <c r="I74" t="s">
        <v>141</v>
      </c>
      <c r="J74" t="s">
        <v>148</v>
      </c>
      <c r="K74" s="5"/>
      <c r="L74" s="10" t="s">
        <v>83</v>
      </c>
      <c r="M74" s="49">
        <v>30</v>
      </c>
      <c r="N74" s="34">
        <f>PLANPRODUCCION[[#This Row],[PIEZAS PLANEADAS]]*PLANPRODUCCION[[#This Row],[PRECIO MAQUILAS]]</f>
        <v>0</v>
      </c>
      <c r="O74" s="5">
        <v>7</v>
      </c>
      <c r="P74" s="2">
        <v>0.70833333333333337</v>
      </c>
      <c r="Q74" s="2">
        <v>0.86111111111111116</v>
      </c>
      <c r="R74" s="24">
        <v>430</v>
      </c>
      <c r="S74" s="35">
        <f>PLANPRODUCCION[[#This Row],[PRECIO MAQUILAS]]*PLANPRODUCCION[[#This Row],[PIEZAS REAL]]</f>
        <v>12900</v>
      </c>
      <c r="T7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7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1989.1666666666667</v>
      </c>
      <c r="W7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10910.833333333334</v>
      </c>
      <c r="X74" s="8"/>
      <c r="Y7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4" s="13" t="e">
        <f>IF(PLANPRODUCCION[[#This Row],[PIEZAS REAL]]&gt;0,PLANPRODUCCION[[#This Row],[PIEZAS REAL]]/PLANPRODUCCION[[#This Row],[PIEZAS ACTUALIZADO]],)</f>
        <v>#DIV/0!</v>
      </c>
      <c r="AC74" s="10" t="b">
        <f>PLANPRODUCCION[[#This Row],[INGRESO PLANEADO]]&lt;PLANPRODUCCION[[#This Row],[COSTO PLANEADO]]</f>
        <v>0</v>
      </c>
      <c r="AD74" s="46" t="s">
        <v>162</v>
      </c>
      <c r="AE74" s="10"/>
      <c r="AF74" s="10" t="b">
        <f>IF(COUNTIF(PLANPRODUCCION[[#This Row],[OBSERVACIONES]],"NO APLICA BONO*")&gt;0,TRUE,FALSE)</f>
        <v>0</v>
      </c>
    </row>
    <row r="75" spans="1:32" x14ac:dyDescent="0.25">
      <c r="A75" s="46" t="str">
        <f>UPPER(IF(PLANPRODUCCION[[#This Row],[FECHA]]&lt;=45701,_xlfn.CONCAT(TEXT(B75,"MMM"),"-",IF(ROW(A75)&lt;11,"000"&amp;ROW(A75)-1,IF(ROW(A75)&lt;101,"00"&amp;ROW(A75)-1,IF(ROW(A75)&lt;1001,"0"&amp;ROW(A75)-1,ROW(A75)-1))),"-OLD"),_xlfn.CONCAT(TEXT(B75,"MMM"),"-",IF(ROW(A75)&lt;473,"000"&amp;ROW(A75)-463,IF(ROW(A75)&lt;563,"00"&amp;ROW(A75)-463,IF(ROW(A75)&lt;1001,"0"&amp;ROW(A75)-463,ROW(A75)-463))))))</f>
        <v>ENE-0074-OLD</v>
      </c>
      <c r="B75" s="1">
        <v>45665</v>
      </c>
      <c r="C75" s="5"/>
      <c r="D75" s="5"/>
      <c r="E75" t="s">
        <v>110</v>
      </c>
      <c r="F75" s="32"/>
      <c r="G75" s="32"/>
      <c r="H75" s="5">
        <v>1514</v>
      </c>
      <c r="I75" t="s">
        <v>141</v>
      </c>
      <c r="J75" t="s">
        <v>144</v>
      </c>
      <c r="K75" s="5"/>
      <c r="L75" s="10" t="s">
        <v>57</v>
      </c>
      <c r="M75" s="49">
        <v>1</v>
      </c>
      <c r="N75" s="34">
        <f>PLANPRODUCCION[[#This Row],[PIEZAS PLANEADAS]]*PLANPRODUCCION[[#This Row],[PRECIO MAQUILAS]]</f>
        <v>0</v>
      </c>
      <c r="O75" s="5">
        <v>3</v>
      </c>
      <c r="P75" s="2">
        <v>0.75</v>
      </c>
      <c r="Q75" s="2">
        <v>0.86111111111111116</v>
      </c>
      <c r="R75" s="24">
        <v>812</v>
      </c>
      <c r="S75" s="35">
        <f>PLANPRODUCCION[[#This Row],[PRECIO MAQUILAS]]*PLANPRODUCCION[[#This Row],[PIEZAS REAL]]</f>
        <v>812</v>
      </c>
      <c r="T7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7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7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192</v>
      </c>
      <c r="X75" s="8"/>
      <c r="Y7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5" s="13" t="e">
        <f>IF(PLANPRODUCCION[[#This Row],[PIEZAS REAL]]&gt;0,PLANPRODUCCION[[#This Row],[PIEZAS REAL]]/PLANPRODUCCION[[#This Row],[PIEZAS ACTUALIZADO]],)</f>
        <v>#DIV/0!</v>
      </c>
      <c r="AC75" s="10" t="b">
        <f>PLANPRODUCCION[[#This Row],[INGRESO PLANEADO]]&lt;PLANPRODUCCION[[#This Row],[COSTO PLANEADO]]</f>
        <v>0</v>
      </c>
      <c r="AD75" s="46" t="s">
        <v>163</v>
      </c>
      <c r="AE75" s="10"/>
      <c r="AF75" s="10" t="b">
        <f>IF(COUNTIF(PLANPRODUCCION[[#This Row],[OBSERVACIONES]],"NO APLICA BONO*")&gt;0,TRUE,FALSE)</f>
        <v>0</v>
      </c>
    </row>
    <row r="76" spans="1:32" x14ac:dyDescent="0.25">
      <c r="A76" s="46" t="str">
        <f>UPPER(IF(PLANPRODUCCION[[#This Row],[FECHA]]&lt;=45701,_xlfn.CONCAT(TEXT(B76,"MMM"),"-",IF(ROW(A76)&lt;11,"000"&amp;ROW(A76)-1,IF(ROW(A76)&lt;101,"00"&amp;ROW(A76)-1,IF(ROW(A76)&lt;1001,"0"&amp;ROW(A76)-1,ROW(A76)-1))),"-OLD"),_xlfn.CONCAT(TEXT(B76,"MMM"),"-",IF(ROW(A76)&lt;473,"000"&amp;ROW(A76)-463,IF(ROW(A76)&lt;563,"00"&amp;ROW(A76)-463,IF(ROW(A76)&lt;1001,"0"&amp;ROW(A76)-463,ROW(A76)-463))))))</f>
        <v>ENE-0075-OLD</v>
      </c>
      <c r="B76" s="1">
        <v>45665</v>
      </c>
      <c r="C76" s="5"/>
      <c r="D76" s="5"/>
      <c r="E76" t="s">
        <v>72</v>
      </c>
      <c r="F76" s="32"/>
      <c r="G76" s="32"/>
      <c r="H76" s="5">
        <v>1514</v>
      </c>
      <c r="I76" t="s">
        <v>141</v>
      </c>
      <c r="J76" t="s">
        <v>142</v>
      </c>
      <c r="K76" s="5"/>
      <c r="L76" s="10" t="s">
        <v>57</v>
      </c>
      <c r="M76" s="49">
        <v>0.5</v>
      </c>
      <c r="N76" s="34">
        <f>PLANPRODUCCION[[#This Row],[PIEZAS PLANEADAS]]*PLANPRODUCCION[[#This Row],[PRECIO MAQUILAS]]</f>
        <v>0</v>
      </c>
      <c r="O76" s="5">
        <v>2</v>
      </c>
      <c r="P76" s="2">
        <v>0.66666666666666663</v>
      </c>
      <c r="Q76" s="2">
        <v>0.70833333333333337</v>
      </c>
      <c r="R76" s="24">
        <v>550</v>
      </c>
      <c r="S76" s="35">
        <f>PLANPRODUCCION[[#This Row],[PRECIO MAQUILAS]]*PLANPRODUCCION[[#This Row],[PIEZAS REAL]]</f>
        <v>275</v>
      </c>
      <c r="T7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7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</v>
      </c>
      <c r="W7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151</v>
      </c>
      <c r="X76" s="8"/>
      <c r="Y7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6" s="13" t="e">
        <f>IF(PLANPRODUCCION[[#This Row],[PIEZAS REAL]]&gt;0,PLANPRODUCCION[[#This Row],[PIEZAS REAL]]/PLANPRODUCCION[[#This Row],[PIEZAS ACTUALIZADO]],)</f>
        <v>#DIV/0!</v>
      </c>
      <c r="AC76" s="10" t="b">
        <f>PLANPRODUCCION[[#This Row],[INGRESO PLANEADO]]&lt;PLANPRODUCCION[[#This Row],[COSTO PLANEADO]]</f>
        <v>0</v>
      </c>
      <c r="AD76" s="46" t="s">
        <v>164</v>
      </c>
      <c r="AE76" s="10"/>
      <c r="AF76" s="10" t="b">
        <f>IF(COUNTIF(PLANPRODUCCION[[#This Row],[OBSERVACIONES]],"NO APLICA BONO*")&gt;0,TRUE,FALSE)</f>
        <v>0</v>
      </c>
    </row>
    <row r="77" spans="1:32" x14ac:dyDescent="0.25">
      <c r="A77" s="46" t="str">
        <f>UPPER(IF(PLANPRODUCCION[[#This Row],[FECHA]]&lt;=45701,_xlfn.CONCAT(TEXT(B77,"MMM"),"-",IF(ROW(A77)&lt;11,"000"&amp;ROW(A77)-1,IF(ROW(A77)&lt;101,"00"&amp;ROW(A77)-1,IF(ROW(A77)&lt;1001,"0"&amp;ROW(A77)-1,ROW(A77)-1))),"-OLD"),_xlfn.CONCAT(TEXT(B77,"MMM"),"-",IF(ROW(A77)&lt;473,"000"&amp;ROW(A77)-463,IF(ROW(A77)&lt;563,"00"&amp;ROW(A77)-463,IF(ROW(A77)&lt;1001,"0"&amp;ROW(A77)-463,ROW(A77)-463))))))</f>
        <v>ENE-0076-OLD</v>
      </c>
      <c r="B77" s="1">
        <v>45665</v>
      </c>
      <c r="C77" s="5"/>
      <c r="D77" s="5"/>
      <c r="E77" t="s">
        <v>72</v>
      </c>
      <c r="F77" s="32"/>
      <c r="G77" s="32"/>
      <c r="H77" s="5">
        <v>1514</v>
      </c>
      <c r="I77" t="s">
        <v>141</v>
      </c>
      <c r="J77" t="s">
        <v>144</v>
      </c>
      <c r="K77" s="5"/>
      <c r="L77" s="10" t="s">
        <v>57</v>
      </c>
      <c r="M77" s="49">
        <v>1</v>
      </c>
      <c r="N77" s="34">
        <f>PLANPRODUCCION[[#This Row],[PIEZAS PLANEADAS]]*PLANPRODUCCION[[#This Row],[PRECIO MAQUILAS]]</f>
        <v>0</v>
      </c>
      <c r="O77" s="5">
        <v>5</v>
      </c>
      <c r="P77" s="2">
        <v>0.66666666666666663</v>
      </c>
      <c r="Q77" s="2">
        <v>0.70833333333333337</v>
      </c>
      <c r="R77" s="24">
        <v>708</v>
      </c>
      <c r="S77" s="35">
        <f>PLANPRODUCCION[[#This Row],[PRECIO MAQUILAS]]*PLANPRODUCCION[[#This Row],[PIEZAS REAL]]</f>
        <v>708</v>
      </c>
      <c r="T7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7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7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398</v>
      </c>
      <c r="X77" s="8"/>
      <c r="Y7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7" s="13" t="e">
        <f>IF(PLANPRODUCCION[[#This Row],[PIEZAS REAL]]&gt;0,PLANPRODUCCION[[#This Row],[PIEZAS REAL]]/PLANPRODUCCION[[#This Row],[PIEZAS ACTUALIZADO]],)</f>
        <v>#DIV/0!</v>
      </c>
      <c r="AC77" s="10" t="b">
        <f>PLANPRODUCCION[[#This Row],[INGRESO PLANEADO]]&lt;PLANPRODUCCION[[#This Row],[COSTO PLANEADO]]</f>
        <v>0</v>
      </c>
      <c r="AD77" s="46" t="s">
        <v>165</v>
      </c>
      <c r="AE77" s="10"/>
      <c r="AF77" s="10" t="b">
        <f>IF(COUNTIF(PLANPRODUCCION[[#This Row],[OBSERVACIONES]],"NO APLICA BONO*")&gt;0,TRUE,FALSE)</f>
        <v>0</v>
      </c>
    </row>
    <row r="78" spans="1:32" x14ac:dyDescent="0.25">
      <c r="A78" s="46" t="str">
        <f>UPPER(IF(PLANPRODUCCION[[#This Row],[FECHA]]&lt;=45701,_xlfn.CONCAT(TEXT(B78,"MMM"),"-",IF(ROW(A78)&lt;11,"000"&amp;ROW(A78)-1,IF(ROW(A78)&lt;101,"00"&amp;ROW(A78)-1,IF(ROW(A78)&lt;1001,"0"&amp;ROW(A78)-1,ROW(A78)-1))),"-OLD"),_xlfn.CONCAT(TEXT(B78,"MMM"),"-",IF(ROW(A78)&lt;473,"000"&amp;ROW(A78)-463,IF(ROW(A78)&lt;563,"00"&amp;ROW(A78)-463,IF(ROW(A78)&lt;1001,"0"&amp;ROW(A78)-463,ROW(A78)-463))))))</f>
        <v>ENE-0077-OLD</v>
      </c>
      <c r="B78" s="1">
        <v>45665</v>
      </c>
      <c r="C78" s="5"/>
      <c r="D78" s="5"/>
      <c r="E78" t="s">
        <v>75</v>
      </c>
      <c r="F78" s="32"/>
      <c r="G78" s="32"/>
      <c r="H78" s="5">
        <v>1514</v>
      </c>
      <c r="I78" t="s">
        <v>141</v>
      </c>
      <c r="J78" t="s">
        <v>148</v>
      </c>
      <c r="K78" s="5"/>
      <c r="L78" s="10" t="s">
        <v>83</v>
      </c>
      <c r="M78" s="49">
        <v>30</v>
      </c>
      <c r="N78" s="34">
        <f>PLANPRODUCCION[[#This Row],[PIEZAS PLANEADAS]]*PLANPRODUCCION[[#This Row],[PRECIO MAQUILAS]]</f>
        <v>0</v>
      </c>
      <c r="O78" s="5">
        <v>5</v>
      </c>
      <c r="P78" s="2">
        <v>0.875</v>
      </c>
      <c r="Q78" s="2">
        <v>0.25</v>
      </c>
      <c r="R78" s="24">
        <v>250</v>
      </c>
      <c r="S78" s="35">
        <f>PLANPRODUCCION[[#This Row],[PRECIO MAQUILAS]]*PLANPRODUCCION[[#This Row],[PIEZAS REAL]]</f>
        <v>7500</v>
      </c>
      <c r="T7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7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3750</v>
      </c>
      <c r="W7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3750</v>
      </c>
      <c r="X78" s="8"/>
      <c r="Y7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8" s="13" t="e">
        <f>IF(PLANPRODUCCION[[#This Row],[PIEZAS REAL]]&gt;0,PLANPRODUCCION[[#This Row],[PIEZAS REAL]]/PLANPRODUCCION[[#This Row],[PIEZAS ACTUALIZADO]],)</f>
        <v>#DIV/0!</v>
      </c>
      <c r="AC78" s="10" t="b">
        <f>PLANPRODUCCION[[#This Row],[INGRESO PLANEADO]]&lt;PLANPRODUCCION[[#This Row],[COSTO PLANEADO]]</f>
        <v>0</v>
      </c>
      <c r="AD78" s="46" t="s">
        <v>166</v>
      </c>
      <c r="AE78" s="10"/>
      <c r="AF78" s="10" t="b">
        <f>IF(COUNTIF(PLANPRODUCCION[[#This Row],[OBSERVACIONES]],"NO APLICA BONO*")&gt;0,TRUE,FALSE)</f>
        <v>0</v>
      </c>
    </row>
    <row r="79" spans="1:32" x14ac:dyDescent="0.25">
      <c r="A79" s="46" t="str">
        <f>UPPER(IF(PLANPRODUCCION[[#This Row],[FECHA]]&lt;=45701,_xlfn.CONCAT(TEXT(B79,"MMM"),"-",IF(ROW(A79)&lt;11,"000"&amp;ROW(A79)-1,IF(ROW(A79)&lt;101,"00"&amp;ROW(A79)-1,IF(ROW(A79)&lt;1001,"0"&amp;ROW(A79)-1,ROW(A79)-1))),"-OLD"),_xlfn.CONCAT(TEXT(B79,"MMM"),"-",IF(ROW(A79)&lt;473,"000"&amp;ROW(A79)-463,IF(ROW(A79)&lt;563,"00"&amp;ROW(A79)-463,IF(ROW(A79)&lt;1001,"0"&amp;ROW(A79)-463,ROW(A79)-463))))))</f>
        <v>ENE-0078-OLD</v>
      </c>
      <c r="B79" s="1">
        <v>45666</v>
      </c>
      <c r="C79" s="5"/>
      <c r="D79" s="5"/>
      <c r="E79" t="s">
        <v>54</v>
      </c>
      <c r="F79" s="32"/>
      <c r="G79" s="32"/>
      <c r="H79" s="5">
        <v>1514</v>
      </c>
      <c r="I79" t="s">
        <v>141</v>
      </c>
      <c r="J79" t="s">
        <v>148</v>
      </c>
      <c r="K79" s="5"/>
      <c r="L79" s="10" t="s">
        <v>83</v>
      </c>
      <c r="M79" s="49">
        <v>30</v>
      </c>
      <c r="N79" s="34">
        <f>PLANPRODUCCION[[#This Row],[PIEZAS PLANEADAS]]*PLANPRODUCCION[[#This Row],[PRECIO MAQUILAS]]</f>
        <v>0</v>
      </c>
      <c r="O79" s="5">
        <v>9</v>
      </c>
      <c r="P79" s="2">
        <v>0.25</v>
      </c>
      <c r="Q79" s="2">
        <v>0.66666666666666663</v>
      </c>
      <c r="R79" s="24">
        <v>340</v>
      </c>
      <c r="S79" s="35">
        <f>PLANPRODUCCION[[#This Row],[PRECIO MAQUILAS]]*PLANPRODUCCION[[#This Row],[PIEZAS REAL]]</f>
        <v>10200</v>
      </c>
      <c r="T7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7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5580</v>
      </c>
      <c r="W7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4620</v>
      </c>
      <c r="X79" s="8"/>
      <c r="Y7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9" s="13" t="e">
        <f>IF(PLANPRODUCCION[[#This Row],[PIEZAS REAL]]&gt;0,PLANPRODUCCION[[#This Row],[PIEZAS REAL]]/PLANPRODUCCION[[#This Row],[PIEZAS ACTUALIZADO]],)</f>
        <v>#DIV/0!</v>
      </c>
      <c r="AC79" s="10" t="b">
        <f>PLANPRODUCCION[[#This Row],[INGRESO PLANEADO]]&lt;PLANPRODUCCION[[#This Row],[COSTO PLANEADO]]</f>
        <v>0</v>
      </c>
      <c r="AD79" t="s">
        <v>167</v>
      </c>
      <c r="AE79" s="10"/>
      <c r="AF79" s="10" t="b">
        <f>IF(COUNTIF(PLANPRODUCCION[[#This Row],[OBSERVACIONES]],"NO APLICA BONO*")&gt;0,TRUE,FALSE)</f>
        <v>0</v>
      </c>
    </row>
    <row r="80" spans="1:32" x14ac:dyDescent="0.25">
      <c r="A80" s="46" t="str">
        <f>UPPER(IF(PLANPRODUCCION[[#This Row],[FECHA]]&lt;=45701,_xlfn.CONCAT(TEXT(B80,"MMM"),"-",IF(ROW(A80)&lt;11,"000"&amp;ROW(A80)-1,IF(ROW(A80)&lt;101,"00"&amp;ROW(A80)-1,IF(ROW(A80)&lt;1001,"0"&amp;ROW(A80)-1,ROW(A80)-1))),"-OLD"),_xlfn.CONCAT(TEXT(B80,"MMM"),"-",IF(ROW(A80)&lt;473,"000"&amp;ROW(A80)-463,IF(ROW(A80)&lt;563,"00"&amp;ROW(A80)-463,IF(ROW(A80)&lt;1001,"0"&amp;ROW(A80)-463,ROW(A80)-463))))))</f>
        <v>ENE-0079-OLD</v>
      </c>
      <c r="B80" s="1">
        <v>45666</v>
      </c>
      <c r="C80" s="5"/>
      <c r="D80" s="5"/>
      <c r="E80" t="s">
        <v>54</v>
      </c>
      <c r="F80" s="32"/>
      <c r="G80" s="32"/>
      <c r="H80" s="5">
        <v>1514</v>
      </c>
      <c r="I80" t="s">
        <v>141</v>
      </c>
      <c r="J80" t="s">
        <v>144</v>
      </c>
      <c r="K80" s="5"/>
      <c r="L80" s="10" t="s">
        <v>57</v>
      </c>
      <c r="M80" s="49">
        <v>1</v>
      </c>
      <c r="N80" s="34">
        <f>PLANPRODUCCION[[#This Row],[PIEZAS PLANEADAS]]*PLANPRODUCCION[[#This Row],[PRECIO MAQUILAS]]</f>
        <v>0</v>
      </c>
      <c r="O80" s="5">
        <v>2</v>
      </c>
      <c r="P80" s="2">
        <v>0.25</v>
      </c>
      <c r="Q80" s="2">
        <v>0.66666666666666663</v>
      </c>
      <c r="R80" s="24">
        <v>1624</v>
      </c>
      <c r="S80" s="35">
        <f>PLANPRODUCCION[[#This Row],[PRECIO MAQUILAS]]*PLANPRODUCCION[[#This Row],[PIEZAS REAL]]</f>
        <v>1624</v>
      </c>
      <c r="T8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8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8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384</v>
      </c>
      <c r="X80" s="8"/>
      <c r="Y8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0" s="13" t="e">
        <f>IF(PLANPRODUCCION[[#This Row],[PIEZAS REAL]]&gt;0,PLANPRODUCCION[[#This Row],[PIEZAS REAL]]/PLANPRODUCCION[[#This Row],[PIEZAS ACTUALIZADO]],)</f>
        <v>#DIV/0!</v>
      </c>
      <c r="AC80" s="10" t="b">
        <f>PLANPRODUCCION[[#This Row],[INGRESO PLANEADO]]&lt;PLANPRODUCCION[[#This Row],[COSTO PLANEADO]]</f>
        <v>0</v>
      </c>
      <c r="AD80" t="s">
        <v>168</v>
      </c>
      <c r="AE80" s="10"/>
      <c r="AF80" s="10" t="b">
        <f>IF(COUNTIF(PLANPRODUCCION[[#This Row],[OBSERVACIONES]],"NO APLICA BONO*")&gt;0,TRUE,FALSE)</f>
        <v>0</v>
      </c>
    </row>
    <row r="81" spans="1:32" x14ac:dyDescent="0.25">
      <c r="A81" s="46" t="str">
        <f>UPPER(IF(PLANPRODUCCION[[#This Row],[FECHA]]&lt;=45701,_xlfn.CONCAT(TEXT(B81,"MMM"),"-",IF(ROW(A81)&lt;11,"000"&amp;ROW(A81)-1,IF(ROW(A81)&lt;101,"00"&amp;ROW(A81)-1,IF(ROW(A81)&lt;1001,"0"&amp;ROW(A81)-1,ROW(A81)-1))),"-OLD"),_xlfn.CONCAT(TEXT(B81,"MMM"),"-",IF(ROW(A81)&lt;473,"000"&amp;ROW(A81)-463,IF(ROW(A81)&lt;563,"00"&amp;ROW(A81)-463,IF(ROW(A81)&lt;1001,"0"&amp;ROW(A81)-463,ROW(A81)-463))))))</f>
        <v>ENE-0080-OLD</v>
      </c>
      <c r="B81" s="1">
        <v>45666</v>
      </c>
      <c r="C81" s="5"/>
      <c r="D81" s="5"/>
      <c r="E81" t="s">
        <v>54</v>
      </c>
      <c r="F81" s="32"/>
      <c r="G81" s="32"/>
      <c r="H81" s="5">
        <v>1514</v>
      </c>
      <c r="I81" t="s">
        <v>141</v>
      </c>
      <c r="J81" t="s">
        <v>144</v>
      </c>
      <c r="K81" s="5"/>
      <c r="L81" s="10" t="s">
        <v>57</v>
      </c>
      <c r="M81" s="49">
        <v>1</v>
      </c>
      <c r="N81" s="34">
        <f>PLANPRODUCCION[[#This Row],[PIEZAS PLANEADAS]]*PLANPRODUCCION[[#This Row],[PRECIO MAQUILAS]]</f>
        <v>0</v>
      </c>
      <c r="O81" s="5">
        <v>2</v>
      </c>
      <c r="P81" s="2">
        <v>0.25</v>
      </c>
      <c r="Q81" s="2">
        <v>0.66666666666666663</v>
      </c>
      <c r="R81" s="24">
        <v>1386</v>
      </c>
      <c r="S81" s="35">
        <f>PLANPRODUCCION[[#This Row],[PRECIO MAQUILAS]]*PLANPRODUCCION[[#This Row],[PIEZAS REAL]]</f>
        <v>1386</v>
      </c>
      <c r="T8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8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8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146</v>
      </c>
      <c r="X81" s="8"/>
      <c r="Y8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1" s="13" t="e">
        <f>IF(PLANPRODUCCION[[#This Row],[PIEZAS REAL]]&gt;0,PLANPRODUCCION[[#This Row],[PIEZAS REAL]]/PLANPRODUCCION[[#This Row],[PIEZAS ACTUALIZADO]],)</f>
        <v>#DIV/0!</v>
      </c>
      <c r="AC81" s="10" t="b">
        <f>PLANPRODUCCION[[#This Row],[INGRESO PLANEADO]]&lt;PLANPRODUCCION[[#This Row],[COSTO PLANEADO]]</f>
        <v>0</v>
      </c>
      <c r="AD81" t="s">
        <v>169</v>
      </c>
      <c r="AE81" s="10"/>
      <c r="AF81" s="10" t="b">
        <f>IF(COUNTIF(PLANPRODUCCION[[#This Row],[OBSERVACIONES]],"NO APLICA BONO*")&gt;0,TRUE,FALSE)</f>
        <v>0</v>
      </c>
    </row>
    <row r="82" spans="1:32" x14ac:dyDescent="0.25">
      <c r="A82" s="46" t="str">
        <f>UPPER(IF(PLANPRODUCCION[[#This Row],[FECHA]]&lt;=45701,_xlfn.CONCAT(TEXT(B82,"MMM"),"-",IF(ROW(A82)&lt;11,"000"&amp;ROW(A82)-1,IF(ROW(A82)&lt;101,"00"&amp;ROW(A82)-1,IF(ROW(A82)&lt;1001,"0"&amp;ROW(A82)-1,ROW(A82)-1))),"-OLD"),_xlfn.CONCAT(TEXT(B82,"MMM"),"-",IF(ROW(A82)&lt;473,"000"&amp;ROW(A82)-463,IF(ROW(A82)&lt;563,"00"&amp;ROW(A82)-463,IF(ROW(A82)&lt;1001,"0"&amp;ROW(A82)-463,ROW(A82)-463))))))</f>
        <v>ENE-0081-OLD</v>
      </c>
      <c r="B82" s="1">
        <v>45666</v>
      </c>
      <c r="C82" s="5"/>
      <c r="D82" s="5"/>
      <c r="E82" t="s">
        <v>54</v>
      </c>
      <c r="F82" s="32"/>
      <c r="G82" s="32"/>
      <c r="H82" s="5">
        <v>1514</v>
      </c>
      <c r="I82" t="s">
        <v>141</v>
      </c>
      <c r="J82" t="s">
        <v>144</v>
      </c>
      <c r="K82" s="5"/>
      <c r="L82" s="10" t="s">
        <v>57</v>
      </c>
      <c r="M82" s="49">
        <v>1</v>
      </c>
      <c r="N82" s="34">
        <f>PLANPRODUCCION[[#This Row],[PIEZAS PLANEADAS]]*PLANPRODUCCION[[#This Row],[PRECIO MAQUILAS]]</f>
        <v>0</v>
      </c>
      <c r="O82" s="5">
        <v>2</v>
      </c>
      <c r="P82" s="2">
        <v>0.25</v>
      </c>
      <c r="Q82" s="2">
        <v>0.64236111111111116</v>
      </c>
      <c r="R82" s="24">
        <v>1614</v>
      </c>
      <c r="S82" s="35">
        <f>PLANPRODUCCION[[#This Row],[PRECIO MAQUILAS]]*PLANPRODUCCION[[#This Row],[PIEZAS REAL]]</f>
        <v>1614</v>
      </c>
      <c r="T8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8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1167.6666666666667</v>
      </c>
      <c r="W8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446.33333333333326</v>
      </c>
      <c r="X82" s="8"/>
      <c r="Y8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2" s="13" t="e">
        <f>IF(PLANPRODUCCION[[#This Row],[PIEZAS REAL]]&gt;0,PLANPRODUCCION[[#This Row],[PIEZAS REAL]]/PLANPRODUCCION[[#This Row],[PIEZAS ACTUALIZADO]],)</f>
        <v>#DIV/0!</v>
      </c>
      <c r="AC82" s="10" t="b">
        <f>PLANPRODUCCION[[#This Row],[INGRESO PLANEADO]]&lt;PLANPRODUCCION[[#This Row],[COSTO PLANEADO]]</f>
        <v>0</v>
      </c>
      <c r="AD82" t="s">
        <v>170</v>
      </c>
      <c r="AE82" s="10"/>
      <c r="AF82" s="10" t="b">
        <f>IF(COUNTIF(PLANPRODUCCION[[#This Row],[OBSERVACIONES]],"NO APLICA BONO*")&gt;0,TRUE,FALSE)</f>
        <v>0</v>
      </c>
    </row>
    <row r="83" spans="1:32" x14ac:dyDescent="0.25">
      <c r="A83" s="46" t="str">
        <f>UPPER(IF(PLANPRODUCCION[[#This Row],[FECHA]]&lt;=45701,_xlfn.CONCAT(TEXT(B83,"MMM"),"-",IF(ROW(A83)&lt;11,"000"&amp;ROW(A83)-1,IF(ROW(A83)&lt;101,"00"&amp;ROW(A83)-1,IF(ROW(A83)&lt;1001,"0"&amp;ROW(A83)-1,ROW(A83)-1))),"-OLD"),_xlfn.CONCAT(TEXT(B83,"MMM"),"-",IF(ROW(A83)&lt;473,"000"&amp;ROW(A83)-463,IF(ROW(A83)&lt;563,"00"&amp;ROW(A83)-463,IF(ROW(A83)&lt;1001,"0"&amp;ROW(A83)-463,ROW(A83)-463))))))</f>
        <v>ENE-0082-OLD</v>
      </c>
      <c r="B83" s="1">
        <v>45666</v>
      </c>
      <c r="C83" s="5"/>
      <c r="D83" s="5"/>
      <c r="E83" t="s">
        <v>54</v>
      </c>
      <c r="F83" s="32"/>
      <c r="G83" s="32"/>
      <c r="H83" s="5">
        <v>1510</v>
      </c>
      <c r="I83" t="s">
        <v>130</v>
      </c>
      <c r="J83" t="s">
        <v>89</v>
      </c>
      <c r="K83" s="5"/>
      <c r="L83" s="10" t="s">
        <v>57</v>
      </c>
      <c r="M83" s="49">
        <v>0.75</v>
      </c>
      <c r="N83" s="34">
        <f>PLANPRODUCCION[[#This Row],[PIEZAS PLANEADAS]]*PLANPRODUCCION[[#This Row],[PRECIO MAQUILAS]]</f>
        <v>0</v>
      </c>
      <c r="O83" s="5">
        <v>3</v>
      </c>
      <c r="P83" s="2">
        <v>0.64583333333333337</v>
      </c>
      <c r="Q83" s="2">
        <v>0.65972222222222221</v>
      </c>
      <c r="R83" s="24">
        <v>155</v>
      </c>
      <c r="S83" s="35">
        <f>PLANPRODUCCION[[#This Row],[PRECIO MAQUILAS]]*PLANPRODUCCION[[#This Row],[PIEZAS REAL]]</f>
        <v>116.25</v>
      </c>
      <c r="T8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8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61.999999999999993</v>
      </c>
      <c r="W8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54.250000000000007</v>
      </c>
      <c r="X83" s="8"/>
      <c r="Y8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3" s="13" t="e">
        <f>IF(PLANPRODUCCION[[#This Row],[PIEZAS REAL]]&gt;0,PLANPRODUCCION[[#This Row],[PIEZAS REAL]]/PLANPRODUCCION[[#This Row],[PIEZAS ACTUALIZADO]],)</f>
        <v>#DIV/0!</v>
      </c>
      <c r="AC83" s="10" t="b">
        <f>PLANPRODUCCION[[#This Row],[INGRESO PLANEADO]]&lt;PLANPRODUCCION[[#This Row],[COSTO PLANEADO]]</f>
        <v>0</v>
      </c>
      <c r="AD83" t="s">
        <v>171</v>
      </c>
      <c r="AE83" s="10"/>
      <c r="AF83" s="10" t="b">
        <f>IF(COUNTIF(PLANPRODUCCION[[#This Row],[OBSERVACIONES]],"NO APLICA BONO*")&gt;0,TRUE,FALSE)</f>
        <v>0</v>
      </c>
    </row>
    <row r="84" spans="1:32" x14ac:dyDescent="0.25">
      <c r="A84" s="46" t="str">
        <f>UPPER(IF(PLANPRODUCCION[[#This Row],[FECHA]]&lt;=45701,_xlfn.CONCAT(TEXT(B84,"MMM"),"-",IF(ROW(A84)&lt;11,"000"&amp;ROW(A84)-1,IF(ROW(A84)&lt;101,"00"&amp;ROW(A84)-1,IF(ROW(A84)&lt;1001,"0"&amp;ROW(A84)-1,ROW(A84)-1))),"-OLD"),_xlfn.CONCAT(TEXT(B84,"MMM"),"-",IF(ROW(A84)&lt;473,"000"&amp;ROW(A84)-463,IF(ROW(A84)&lt;563,"00"&amp;ROW(A84)-463,IF(ROW(A84)&lt;1001,"0"&amp;ROW(A84)-463,ROW(A84)-463))))))</f>
        <v>ENE-0083-OLD</v>
      </c>
      <c r="B84" s="1">
        <v>45666</v>
      </c>
      <c r="C84" s="5"/>
      <c r="D84" s="5"/>
      <c r="E84" t="s">
        <v>54</v>
      </c>
      <c r="F84" s="32"/>
      <c r="G84" s="32"/>
      <c r="H84" s="5">
        <v>1514</v>
      </c>
      <c r="I84" t="s">
        <v>141</v>
      </c>
      <c r="J84" t="s">
        <v>148</v>
      </c>
      <c r="K84" s="5"/>
      <c r="L84" s="10" t="s">
        <v>83</v>
      </c>
      <c r="M84" s="49">
        <v>30</v>
      </c>
      <c r="N84" s="34">
        <f>PLANPRODUCCION[[#This Row],[PIEZAS PLANEADAS]]*PLANPRODUCCION[[#This Row],[PRECIO MAQUILAS]]</f>
        <v>0</v>
      </c>
      <c r="O84" s="5">
        <v>4</v>
      </c>
      <c r="P84" s="2">
        <v>0.66666666666666663</v>
      </c>
      <c r="Q84" s="2">
        <v>0.68055555555555558</v>
      </c>
      <c r="R84" s="24">
        <v>10</v>
      </c>
      <c r="S84" s="35">
        <f>PLANPRODUCCION[[#This Row],[PRECIO MAQUILAS]]*PLANPRODUCCION[[#This Row],[PIEZAS REAL]]</f>
        <v>300</v>
      </c>
      <c r="T8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8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82.666666666666671</v>
      </c>
      <c r="W8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217.33333333333331</v>
      </c>
      <c r="X84" s="8"/>
      <c r="Y8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4" s="13" t="e">
        <f>IF(PLANPRODUCCION[[#This Row],[PIEZAS REAL]]&gt;0,PLANPRODUCCION[[#This Row],[PIEZAS REAL]]/PLANPRODUCCION[[#This Row],[PIEZAS ACTUALIZADO]],)</f>
        <v>#DIV/0!</v>
      </c>
      <c r="AC84" s="10" t="b">
        <f>PLANPRODUCCION[[#This Row],[INGRESO PLANEADO]]&lt;PLANPRODUCCION[[#This Row],[COSTO PLANEADO]]</f>
        <v>0</v>
      </c>
      <c r="AD84" t="s">
        <v>172</v>
      </c>
      <c r="AE84" s="10"/>
      <c r="AF84" s="10" t="b">
        <f>IF(COUNTIF(PLANPRODUCCION[[#This Row],[OBSERVACIONES]],"NO APLICA BONO*")&gt;0,TRUE,FALSE)</f>
        <v>0</v>
      </c>
    </row>
    <row r="85" spans="1:32" x14ac:dyDescent="0.25">
      <c r="A85" s="46" t="str">
        <f>UPPER(IF(PLANPRODUCCION[[#This Row],[FECHA]]&lt;=45701,_xlfn.CONCAT(TEXT(B85,"MMM"),"-",IF(ROW(A85)&lt;11,"000"&amp;ROW(A85)-1,IF(ROW(A85)&lt;101,"00"&amp;ROW(A85)-1,IF(ROW(A85)&lt;1001,"0"&amp;ROW(A85)-1,ROW(A85)-1))),"-OLD"),_xlfn.CONCAT(TEXT(B85,"MMM"),"-",IF(ROW(A85)&lt;473,"000"&amp;ROW(A85)-463,IF(ROW(A85)&lt;563,"00"&amp;ROW(A85)-463,IF(ROW(A85)&lt;1001,"0"&amp;ROW(A85)-463,ROW(A85)-463))))))</f>
        <v>ENE-0084-OLD</v>
      </c>
      <c r="B85" s="1">
        <v>45666</v>
      </c>
      <c r="C85" s="5"/>
      <c r="D85" s="5"/>
      <c r="E85" t="s">
        <v>67</v>
      </c>
      <c r="F85" s="32"/>
      <c r="G85" s="32"/>
      <c r="H85" s="5">
        <v>1514</v>
      </c>
      <c r="I85" t="s">
        <v>141</v>
      </c>
      <c r="J85" t="s">
        <v>142</v>
      </c>
      <c r="K85" s="5"/>
      <c r="L85" s="10" t="s">
        <v>57</v>
      </c>
      <c r="M85" s="49">
        <v>0.5</v>
      </c>
      <c r="N85" s="34">
        <f>PLANPRODUCCION[[#This Row],[PIEZAS PLANEADAS]]*PLANPRODUCCION[[#This Row],[PRECIO MAQUILAS]]</f>
        <v>0</v>
      </c>
      <c r="O85" s="5">
        <v>1</v>
      </c>
      <c r="P85" s="2">
        <v>0.33333333333333331</v>
      </c>
      <c r="Q85" s="2">
        <v>0.54166666666666663</v>
      </c>
      <c r="R85" s="24">
        <v>1800</v>
      </c>
      <c r="S85" s="35">
        <f>PLANPRODUCCION[[#This Row],[PRECIO MAQUILAS]]*PLANPRODUCCION[[#This Row],[PIEZAS REAL]]</f>
        <v>900</v>
      </c>
      <c r="T8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8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8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590</v>
      </c>
      <c r="X85" s="8"/>
      <c r="Y8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5" s="13" t="e">
        <f>IF(PLANPRODUCCION[[#This Row],[PIEZAS REAL]]&gt;0,PLANPRODUCCION[[#This Row],[PIEZAS REAL]]/PLANPRODUCCION[[#This Row],[PIEZAS ACTUALIZADO]],)</f>
        <v>#DIV/0!</v>
      </c>
      <c r="AC85" s="10" t="b">
        <f>PLANPRODUCCION[[#This Row],[INGRESO PLANEADO]]&lt;PLANPRODUCCION[[#This Row],[COSTO PLANEADO]]</f>
        <v>0</v>
      </c>
      <c r="AD85" t="s">
        <v>173</v>
      </c>
      <c r="AE85" s="10"/>
      <c r="AF85" s="10" t="b">
        <f>IF(COUNTIF(PLANPRODUCCION[[#This Row],[OBSERVACIONES]],"NO APLICA BONO*")&gt;0,TRUE,FALSE)</f>
        <v>0</v>
      </c>
    </row>
    <row r="86" spans="1:32" x14ac:dyDescent="0.25">
      <c r="A86" s="46" t="str">
        <f>UPPER(IF(PLANPRODUCCION[[#This Row],[FECHA]]&lt;=45701,_xlfn.CONCAT(TEXT(B86,"MMM"),"-",IF(ROW(A86)&lt;11,"000"&amp;ROW(A86)-1,IF(ROW(A86)&lt;101,"00"&amp;ROW(A86)-1,IF(ROW(A86)&lt;1001,"0"&amp;ROW(A86)-1,ROW(A86)-1))),"-OLD"),_xlfn.CONCAT(TEXT(B86,"MMM"),"-",IF(ROW(A86)&lt;473,"000"&amp;ROW(A86)-463,IF(ROW(A86)&lt;563,"00"&amp;ROW(A86)-463,IF(ROW(A86)&lt;1001,"0"&amp;ROW(A86)-463,ROW(A86)-463))))))</f>
        <v>ENE-0085-OLD</v>
      </c>
      <c r="B86" s="1">
        <v>45666</v>
      </c>
      <c r="C86" s="5"/>
      <c r="D86" s="5"/>
      <c r="E86" t="s">
        <v>67</v>
      </c>
      <c r="F86" s="32"/>
      <c r="G86" s="32"/>
      <c r="H86" s="5">
        <v>1514</v>
      </c>
      <c r="I86" t="s">
        <v>141</v>
      </c>
      <c r="J86" t="s">
        <v>148</v>
      </c>
      <c r="K86" s="5"/>
      <c r="L86" s="10" t="s">
        <v>83</v>
      </c>
      <c r="M86" s="49">
        <v>30</v>
      </c>
      <c r="N86" s="34">
        <f>PLANPRODUCCION[[#This Row],[PIEZAS PLANEADAS]]*PLANPRODUCCION[[#This Row],[PRECIO MAQUILAS]]</f>
        <v>0</v>
      </c>
      <c r="O86" s="5">
        <v>6</v>
      </c>
      <c r="P86" s="2">
        <v>0.375</v>
      </c>
      <c r="Q86" s="2">
        <v>0.75</v>
      </c>
      <c r="R86" s="24">
        <v>288</v>
      </c>
      <c r="S86" s="35">
        <f>PLANPRODUCCION[[#This Row],[PRECIO MAQUILAS]]*PLANPRODUCCION[[#This Row],[PIEZAS REAL]]</f>
        <v>8640</v>
      </c>
      <c r="T8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8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3348</v>
      </c>
      <c r="W8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5292</v>
      </c>
      <c r="X86" s="8"/>
      <c r="Y8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6" s="13" t="e">
        <f>IF(PLANPRODUCCION[[#This Row],[PIEZAS REAL]]&gt;0,PLANPRODUCCION[[#This Row],[PIEZAS REAL]]/PLANPRODUCCION[[#This Row],[PIEZAS ACTUALIZADO]],)</f>
        <v>#DIV/0!</v>
      </c>
      <c r="AC86" s="10" t="b">
        <f>PLANPRODUCCION[[#This Row],[INGRESO PLANEADO]]&lt;PLANPRODUCCION[[#This Row],[COSTO PLANEADO]]</f>
        <v>0</v>
      </c>
      <c r="AD86" t="s">
        <v>174</v>
      </c>
      <c r="AE86" s="10"/>
      <c r="AF86" s="10" t="b">
        <f>IF(COUNTIF(PLANPRODUCCION[[#This Row],[OBSERVACIONES]],"NO APLICA BONO*")&gt;0,TRUE,FALSE)</f>
        <v>0</v>
      </c>
    </row>
    <row r="87" spans="1:32" x14ac:dyDescent="0.25">
      <c r="A87" s="46" t="str">
        <f>UPPER(IF(PLANPRODUCCION[[#This Row],[FECHA]]&lt;=45701,_xlfn.CONCAT(TEXT(B87,"MMM"),"-",IF(ROW(A87)&lt;11,"000"&amp;ROW(A87)-1,IF(ROW(A87)&lt;101,"00"&amp;ROW(A87)-1,IF(ROW(A87)&lt;1001,"0"&amp;ROW(A87)-1,ROW(A87)-1))),"-OLD"),_xlfn.CONCAT(TEXT(B87,"MMM"),"-",IF(ROW(A87)&lt;473,"000"&amp;ROW(A87)-463,IF(ROW(A87)&lt;563,"00"&amp;ROW(A87)-463,IF(ROW(A87)&lt;1001,"0"&amp;ROW(A87)-463,ROW(A87)-463))))))</f>
        <v>ENE-0086-OLD</v>
      </c>
      <c r="B87" s="1">
        <v>45666</v>
      </c>
      <c r="C87" s="5"/>
      <c r="D87" s="5"/>
      <c r="E87" t="s">
        <v>110</v>
      </c>
      <c r="F87" s="32"/>
      <c r="G87" s="32"/>
      <c r="H87" s="5">
        <v>1514</v>
      </c>
      <c r="I87" t="s">
        <v>141</v>
      </c>
      <c r="J87" t="s">
        <v>142</v>
      </c>
      <c r="K87" s="5"/>
      <c r="L87" s="10" t="s">
        <v>57</v>
      </c>
      <c r="M87" s="49">
        <v>0.5</v>
      </c>
      <c r="N87" s="34">
        <f>PLANPRODUCCION[[#This Row],[PIEZAS PLANEADAS]]*PLANPRODUCCION[[#This Row],[PRECIO MAQUILAS]]</f>
        <v>0</v>
      </c>
      <c r="O87" s="5">
        <v>2</v>
      </c>
      <c r="P87" s="2">
        <v>0.54166666666666663</v>
      </c>
      <c r="Q87" s="2">
        <v>0.66666666666666663</v>
      </c>
      <c r="R87" s="24">
        <v>1200</v>
      </c>
      <c r="S87" s="35">
        <f>PLANPRODUCCION[[#This Row],[PRECIO MAQUILAS]]*PLANPRODUCCION[[#This Row],[PIEZAS REAL]]</f>
        <v>600</v>
      </c>
      <c r="T8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8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465</v>
      </c>
      <c r="W8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135</v>
      </c>
      <c r="X87" s="8"/>
      <c r="Y8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7" s="13" t="e">
        <f>IF(PLANPRODUCCION[[#This Row],[PIEZAS REAL]]&gt;0,PLANPRODUCCION[[#This Row],[PIEZAS REAL]]/PLANPRODUCCION[[#This Row],[PIEZAS ACTUALIZADO]],)</f>
        <v>#DIV/0!</v>
      </c>
      <c r="AC87" s="10" t="b">
        <f>PLANPRODUCCION[[#This Row],[INGRESO PLANEADO]]&lt;PLANPRODUCCION[[#This Row],[COSTO PLANEADO]]</f>
        <v>0</v>
      </c>
      <c r="AD87" t="s">
        <v>175</v>
      </c>
      <c r="AE87" s="10"/>
      <c r="AF87" s="10" t="b">
        <f>IF(COUNTIF(PLANPRODUCCION[[#This Row],[OBSERVACIONES]],"NO APLICA BONO*")&gt;0,TRUE,FALSE)</f>
        <v>0</v>
      </c>
    </row>
    <row r="88" spans="1:32" x14ac:dyDescent="0.25">
      <c r="A88" s="46" t="str">
        <f>UPPER(IF(PLANPRODUCCION[[#This Row],[FECHA]]&lt;=45701,_xlfn.CONCAT(TEXT(B88,"MMM"),"-",IF(ROW(A88)&lt;11,"000"&amp;ROW(A88)-1,IF(ROW(A88)&lt;101,"00"&amp;ROW(A88)-1,IF(ROW(A88)&lt;1001,"0"&amp;ROW(A88)-1,ROW(A88)-1))),"-OLD"),_xlfn.CONCAT(TEXT(B88,"MMM"),"-",IF(ROW(A88)&lt;473,"000"&amp;ROW(A88)-463,IF(ROW(A88)&lt;563,"00"&amp;ROW(A88)-463,IF(ROW(A88)&lt;1001,"0"&amp;ROW(A88)-463,ROW(A88)-463))))))</f>
        <v>ENE-0087-OLD</v>
      </c>
      <c r="B88" s="1">
        <v>45666</v>
      </c>
      <c r="C88" s="5"/>
      <c r="D88" s="5"/>
      <c r="E88" t="s">
        <v>110</v>
      </c>
      <c r="F88" s="32"/>
      <c r="G88" s="32"/>
      <c r="H88" s="5">
        <v>1514</v>
      </c>
      <c r="I88" t="s">
        <v>141</v>
      </c>
      <c r="J88" t="s">
        <v>142</v>
      </c>
      <c r="K88" s="5"/>
      <c r="L88" s="10" t="s">
        <v>57</v>
      </c>
      <c r="M88" s="49">
        <v>0.5</v>
      </c>
      <c r="N88" s="34">
        <f>PLANPRODUCCION[[#This Row],[PIEZAS PLANEADAS]]*PLANPRODUCCION[[#This Row],[PRECIO MAQUILAS]]</f>
        <v>0</v>
      </c>
      <c r="O88" s="5">
        <v>1</v>
      </c>
      <c r="P88" s="2">
        <v>0.54166666666666663</v>
      </c>
      <c r="Q88" s="2">
        <v>0.66666666666666663</v>
      </c>
      <c r="R88" s="24">
        <v>1000</v>
      </c>
      <c r="S88" s="35">
        <f>PLANPRODUCCION[[#This Row],[PRECIO MAQUILAS]]*PLANPRODUCCION[[#This Row],[PIEZAS REAL]]</f>
        <v>500</v>
      </c>
      <c r="T8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8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232.5</v>
      </c>
      <c r="W8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267.5</v>
      </c>
      <c r="X88" s="8"/>
      <c r="Y8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8" s="13" t="e">
        <f>IF(PLANPRODUCCION[[#This Row],[PIEZAS REAL]]&gt;0,PLANPRODUCCION[[#This Row],[PIEZAS REAL]]/PLANPRODUCCION[[#This Row],[PIEZAS ACTUALIZADO]],)</f>
        <v>#DIV/0!</v>
      </c>
      <c r="AC88" s="10" t="b">
        <f>PLANPRODUCCION[[#This Row],[INGRESO PLANEADO]]&lt;PLANPRODUCCION[[#This Row],[COSTO PLANEADO]]</f>
        <v>0</v>
      </c>
      <c r="AD88" t="s">
        <v>176</v>
      </c>
      <c r="AE88" s="10"/>
      <c r="AF88" s="10" t="b">
        <f>IF(COUNTIF(PLANPRODUCCION[[#This Row],[OBSERVACIONES]],"NO APLICA BONO*")&gt;0,TRUE,FALSE)</f>
        <v>0</v>
      </c>
    </row>
    <row r="89" spans="1:32" x14ac:dyDescent="0.25">
      <c r="A89" s="46" t="str">
        <f>UPPER(IF(PLANPRODUCCION[[#This Row],[FECHA]]&lt;=45701,_xlfn.CONCAT(TEXT(B89,"MMM"),"-",IF(ROW(A89)&lt;11,"000"&amp;ROW(A89)-1,IF(ROW(A89)&lt;101,"00"&amp;ROW(A89)-1,IF(ROW(A89)&lt;1001,"0"&amp;ROW(A89)-1,ROW(A89)-1))),"-OLD"),_xlfn.CONCAT(TEXT(B89,"MMM"),"-",IF(ROW(A89)&lt;473,"000"&amp;ROW(A89)-463,IF(ROW(A89)&lt;563,"00"&amp;ROW(A89)-463,IF(ROW(A89)&lt;1001,"0"&amp;ROW(A89)-463,ROW(A89)-463))))))</f>
        <v>ENE-0088-OLD</v>
      </c>
      <c r="B89" s="1">
        <v>45666</v>
      </c>
      <c r="C89" s="5"/>
      <c r="D89" s="5"/>
      <c r="E89" t="s">
        <v>110</v>
      </c>
      <c r="F89" s="32"/>
      <c r="G89" s="32"/>
      <c r="H89" s="5">
        <v>1514</v>
      </c>
      <c r="I89" t="s">
        <v>141</v>
      </c>
      <c r="J89" t="s">
        <v>144</v>
      </c>
      <c r="K89" s="5"/>
      <c r="L89" s="10" t="s">
        <v>57</v>
      </c>
      <c r="M89" s="49">
        <v>1</v>
      </c>
      <c r="N89" s="34">
        <f>PLANPRODUCCION[[#This Row],[PIEZAS PLANEADAS]]*PLANPRODUCCION[[#This Row],[PRECIO MAQUILAS]]</f>
        <v>0</v>
      </c>
      <c r="O89" s="5">
        <v>2</v>
      </c>
      <c r="P89" s="2">
        <v>0.54166666666666663</v>
      </c>
      <c r="Q89" s="2">
        <v>0.86111111111111116</v>
      </c>
      <c r="R89" s="24">
        <v>1830</v>
      </c>
      <c r="S89" s="35">
        <f>PLANPRODUCCION[[#This Row],[PRECIO MAQUILAS]]*PLANPRODUCCION[[#This Row],[PIEZAS REAL]]</f>
        <v>1830</v>
      </c>
      <c r="T8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8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1188.3333333333333</v>
      </c>
      <c r="W8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641.66666666666674</v>
      </c>
      <c r="X89" s="8"/>
      <c r="Y8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9" s="13" t="e">
        <f>IF(PLANPRODUCCION[[#This Row],[PIEZAS REAL]]&gt;0,PLANPRODUCCION[[#This Row],[PIEZAS REAL]]/PLANPRODUCCION[[#This Row],[PIEZAS ACTUALIZADO]],)</f>
        <v>#DIV/0!</v>
      </c>
      <c r="AC89" s="10" t="b">
        <f>PLANPRODUCCION[[#This Row],[INGRESO PLANEADO]]&lt;PLANPRODUCCION[[#This Row],[COSTO PLANEADO]]</f>
        <v>0</v>
      </c>
      <c r="AD89" t="s">
        <v>177</v>
      </c>
      <c r="AE89" s="10"/>
      <c r="AF89" s="10" t="b">
        <f>IF(COUNTIF(PLANPRODUCCION[[#This Row],[OBSERVACIONES]],"NO APLICA BONO*")&gt;0,TRUE,FALSE)</f>
        <v>0</v>
      </c>
    </row>
    <row r="90" spans="1:32" x14ac:dyDescent="0.25">
      <c r="A90" s="46" t="str">
        <f>UPPER(IF(PLANPRODUCCION[[#This Row],[FECHA]]&lt;=45701,_xlfn.CONCAT(TEXT(B90,"MMM"),"-",IF(ROW(A90)&lt;11,"000"&amp;ROW(A90)-1,IF(ROW(A90)&lt;101,"00"&amp;ROW(A90)-1,IF(ROW(A90)&lt;1001,"0"&amp;ROW(A90)-1,ROW(A90)-1))),"-OLD"),_xlfn.CONCAT(TEXT(B90,"MMM"),"-",IF(ROW(A90)&lt;473,"000"&amp;ROW(A90)-463,IF(ROW(A90)&lt;563,"00"&amp;ROW(A90)-463,IF(ROW(A90)&lt;1001,"0"&amp;ROW(A90)-463,ROW(A90)-463))))))</f>
        <v>ENE-0089-OLD</v>
      </c>
      <c r="B90" s="1">
        <v>45666</v>
      </c>
      <c r="C90" s="5"/>
      <c r="D90" s="5"/>
      <c r="E90" t="s">
        <v>110</v>
      </c>
      <c r="F90" s="32"/>
      <c r="G90" s="32"/>
      <c r="H90" s="5">
        <v>1514</v>
      </c>
      <c r="I90" t="s">
        <v>141</v>
      </c>
      <c r="J90" t="s">
        <v>144</v>
      </c>
      <c r="K90" s="5"/>
      <c r="L90" s="10" t="s">
        <v>57</v>
      </c>
      <c r="M90" s="49">
        <v>1</v>
      </c>
      <c r="N90" s="34">
        <f>PLANPRODUCCION[[#This Row],[PIEZAS PLANEADAS]]*PLANPRODUCCION[[#This Row],[PRECIO MAQUILAS]]</f>
        <v>0</v>
      </c>
      <c r="O90" s="5">
        <v>2</v>
      </c>
      <c r="P90" s="2">
        <v>0.66666666666666663</v>
      </c>
      <c r="Q90" s="2">
        <v>0.70833333333333337</v>
      </c>
      <c r="R90" s="24">
        <v>182</v>
      </c>
      <c r="S90" s="35">
        <f>PLANPRODUCCION[[#This Row],[PRECIO MAQUILAS]]*PLANPRODUCCION[[#This Row],[PIEZAS REAL]]</f>
        <v>182</v>
      </c>
      <c r="T9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9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9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155</v>
      </c>
      <c r="W9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27</v>
      </c>
      <c r="X90" s="8"/>
      <c r="Y9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9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9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90" s="13" t="e">
        <f>IF(PLANPRODUCCION[[#This Row],[PIEZAS REAL]]&gt;0,PLANPRODUCCION[[#This Row],[PIEZAS REAL]]/PLANPRODUCCION[[#This Row],[PIEZAS ACTUALIZADO]],)</f>
        <v>#DIV/0!</v>
      </c>
      <c r="AC90" s="10" t="b">
        <f>PLANPRODUCCION[[#This Row],[INGRESO PLANEADO]]&lt;PLANPRODUCCION[[#This Row],[COSTO PLANEADO]]</f>
        <v>0</v>
      </c>
      <c r="AD90" t="s">
        <v>178</v>
      </c>
      <c r="AE90" s="10"/>
      <c r="AF90" s="10" t="b">
        <f>IF(COUNTIF(PLANPRODUCCION[[#This Row],[OBSERVACIONES]],"NO APLICA BONO*")&gt;0,TRUE,FALSE)</f>
        <v>0</v>
      </c>
    </row>
    <row r="91" spans="1:32" x14ac:dyDescent="0.25">
      <c r="A91" s="46" t="str">
        <f>UPPER(IF(PLANPRODUCCION[[#This Row],[FECHA]]&lt;=45701,_xlfn.CONCAT(TEXT(B91,"MMM"),"-",IF(ROW(A91)&lt;11,"000"&amp;ROW(A91)-1,IF(ROW(A91)&lt;101,"00"&amp;ROW(A91)-1,IF(ROW(A91)&lt;1001,"0"&amp;ROW(A91)-1,ROW(A91)-1))),"-OLD"),_xlfn.CONCAT(TEXT(B91,"MMM"),"-",IF(ROW(A91)&lt;473,"000"&amp;ROW(A91)-463,IF(ROW(A91)&lt;563,"00"&amp;ROW(A91)-463,IF(ROW(A91)&lt;1001,"0"&amp;ROW(A91)-463,ROW(A91)-463))))))</f>
        <v>ENE-0090-OLD</v>
      </c>
      <c r="B91" s="1">
        <v>45666</v>
      </c>
      <c r="C91" s="5"/>
      <c r="D91" s="5"/>
      <c r="E91" t="s">
        <v>110</v>
      </c>
      <c r="F91" s="32"/>
      <c r="G91" s="32"/>
      <c r="H91" s="5">
        <v>1514</v>
      </c>
      <c r="I91" t="s">
        <v>141</v>
      </c>
      <c r="J91" t="s">
        <v>142</v>
      </c>
      <c r="K91" s="5"/>
      <c r="L91" s="10" t="s">
        <v>57</v>
      </c>
      <c r="M91" s="49">
        <v>0.5</v>
      </c>
      <c r="N91" s="34">
        <f>PLANPRODUCCION[[#This Row],[PIEZAS PLANEADAS]]*PLANPRODUCCION[[#This Row],[PRECIO MAQUILAS]]</f>
        <v>0</v>
      </c>
      <c r="O91" s="5">
        <v>1</v>
      </c>
      <c r="P91" s="2">
        <v>0.66666666666666663</v>
      </c>
      <c r="Q91" s="2">
        <v>0.75</v>
      </c>
      <c r="R91" s="24">
        <v>381</v>
      </c>
      <c r="S91" s="35">
        <f>PLANPRODUCCION[[#This Row],[PRECIO MAQUILAS]]*PLANPRODUCCION[[#This Row],[PIEZAS REAL]]</f>
        <v>190.5</v>
      </c>
      <c r="T9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9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9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155</v>
      </c>
      <c r="W9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35.5</v>
      </c>
      <c r="X91" s="8"/>
      <c r="Y9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9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9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91" s="13" t="e">
        <f>IF(PLANPRODUCCION[[#This Row],[PIEZAS REAL]]&gt;0,PLANPRODUCCION[[#This Row],[PIEZAS REAL]]/PLANPRODUCCION[[#This Row],[PIEZAS ACTUALIZADO]],)</f>
        <v>#DIV/0!</v>
      </c>
      <c r="AC91" s="10" t="b">
        <f>PLANPRODUCCION[[#This Row],[INGRESO PLANEADO]]&lt;PLANPRODUCCION[[#This Row],[COSTO PLANEADO]]</f>
        <v>0</v>
      </c>
      <c r="AD91" t="s">
        <v>179</v>
      </c>
      <c r="AE91" s="10"/>
      <c r="AF91" s="10" t="b">
        <f>IF(COUNTIF(PLANPRODUCCION[[#This Row],[OBSERVACIONES]],"NO APLICA BONO*")&gt;0,TRUE,FALSE)</f>
        <v>0</v>
      </c>
    </row>
    <row r="92" spans="1:32" x14ac:dyDescent="0.25">
      <c r="A92" s="46" t="str">
        <f>UPPER(IF(PLANPRODUCCION[[#This Row],[FECHA]]&lt;=45701,_xlfn.CONCAT(TEXT(B92,"MMM"),"-",IF(ROW(A92)&lt;11,"000"&amp;ROW(A92)-1,IF(ROW(A92)&lt;101,"00"&amp;ROW(A92)-1,IF(ROW(A92)&lt;1001,"0"&amp;ROW(A92)-1,ROW(A92)-1))),"-OLD"),_xlfn.CONCAT(TEXT(B92,"MMM"),"-",IF(ROW(A92)&lt;473,"000"&amp;ROW(A92)-463,IF(ROW(A92)&lt;563,"00"&amp;ROW(A92)-463,IF(ROW(A92)&lt;1001,"0"&amp;ROW(A92)-463,ROW(A92)-463))))))</f>
        <v>ENE-0091-OLD</v>
      </c>
      <c r="B92" s="1">
        <v>45666</v>
      </c>
      <c r="C92" s="5"/>
      <c r="D92" s="5"/>
      <c r="E92" t="s">
        <v>72</v>
      </c>
      <c r="F92" s="32"/>
      <c r="G92" s="32"/>
      <c r="H92" s="5">
        <v>1514</v>
      </c>
      <c r="I92" t="s">
        <v>141</v>
      </c>
      <c r="J92" t="s">
        <v>142</v>
      </c>
      <c r="K92" s="5"/>
      <c r="L92" s="10" t="s">
        <v>57</v>
      </c>
      <c r="M92" s="49">
        <v>0.5</v>
      </c>
      <c r="N92" s="34">
        <f>PLANPRODUCCION[[#This Row],[PIEZAS PLANEADAS]]*PLANPRODUCCION[[#This Row],[PRECIO MAQUILAS]]</f>
        <v>0</v>
      </c>
      <c r="O92" s="5">
        <v>2</v>
      </c>
      <c r="P92" s="2">
        <v>0.66666666666666663</v>
      </c>
      <c r="Q92" s="2">
        <v>0.86111111111111116</v>
      </c>
      <c r="R92" s="24">
        <v>1894</v>
      </c>
      <c r="S92" s="35">
        <f>PLANPRODUCCION[[#This Row],[PRECIO MAQUILAS]]*PLANPRODUCCION[[#This Row],[PIEZAS REAL]]</f>
        <v>947</v>
      </c>
      <c r="T9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9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9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578.66666666666663</v>
      </c>
      <c r="W9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368.33333333333337</v>
      </c>
      <c r="X92" s="8"/>
      <c r="Y9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9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9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92" s="13" t="e">
        <f>IF(PLANPRODUCCION[[#This Row],[PIEZAS REAL]]&gt;0,PLANPRODUCCION[[#This Row],[PIEZAS REAL]]/PLANPRODUCCION[[#This Row],[PIEZAS ACTUALIZADO]],)</f>
        <v>#DIV/0!</v>
      </c>
      <c r="AC92" s="10" t="b">
        <f>PLANPRODUCCION[[#This Row],[INGRESO PLANEADO]]&lt;PLANPRODUCCION[[#This Row],[COSTO PLANEADO]]</f>
        <v>0</v>
      </c>
      <c r="AD92" t="s">
        <v>180</v>
      </c>
      <c r="AE92" s="10"/>
      <c r="AF92" s="10" t="b">
        <f>IF(COUNTIF(PLANPRODUCCION[[#This Row],[OBSERVACIONES]],"NO APLICA BONO*")&gt;0,TRUE,FALSE)</f>
        <v>0</v>
      </c>
    </row>
    <row r="93" spans="1:32" x14ac:dyDescent="0.25">
      <c r="A93" s="46" t="str">
        <f>UPPER(IF(PLANPRODUCCION[[#This Row],[FECHA]]&lt;=45701,_xlfn.CONCAT(TEXT(B93,"MMM"),"-",IF(ROW(A93)&lt;11,"000"&amp;ROW(A93)-1,IF(ROW(A93)&lt;101,"00"&amp;ROW(A93)-1,IF(ROW(A93)&lt;1001,"0"&amp;ROW(A93)-1,ROW(A93)-1))),"-OLD"),_xlfn.CONCAT(TEXT(B93,"MMM"),"-",IF(ROW(A93)&lt;473,"000"&amp;ROW(A93)-463,IF(ROW(A93)&lt;563,"00"&amp;ROW(A93)-463,IF(ROW(A93)&lt;1001,"0"&amp;ROW(A93)-463,ROW(A93)-463))))))</f>
        <v>ENE-0092-OLD</v>
      </c>
      <c r="B93" s="1">
        <v>45666</v>
      </c>
      <c r="C93" s="5"/>
      <c r="D93" s="5"/>
      <c r="E93" t="s">
        <v>72</v>
      </c>
      <c r="F93" s="32"/>
      <c r="G93" s="32"/>
      <c r="H93" s="5">
        <v>1514</v>
      </c>
      <c r="I93" t="s">
        <v>141</v>
      </c>
      <c r="J93" t="s">
        <v>144</v>
      </c>
      <c r="K93" s="5"/>
      <c r="L93" s="10" t="s">
        <v>57</v>
      </c>
      <c r="M93" s="49">
        <v>1</v>
      </c>
      <c r="N93" s="34">
        <f>PLANPRODUCCION[[#This Row],[PIEZAS PLANEADAS]]*PLANPRODUCCION[[#This Row],[PRECIO MAQUILAS]]</f>
        <v>0</v>
      </c>
      <c r="O93" s="5">
        <v>2</v>
      </c>
      <c r="P93" s="2">
        <v>0.66666666666666663</v>
      </c>
      <c r="Q93" s="2">
        <v>0.86111111111111116</v>
      </c>
      <c r="R93" s="24">
        <v>1302</v>
      </c>
      <c r="S93" s="35">
        <f>PLANPRODUCCION[[#This Row],[PRECIO MAQUILAS]]*PLANPRODUCCION[[#This Row],[PIEZAS REAL]]</f>
        <v>1302</v>
      </c>
      <c r="T9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9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9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578.66666666666663</v>
      </c>
      <c r="W9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723.33333333333337</v>
      </c>
      <c r="X93" s="8"/>
      <c r="Y9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9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9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93" s="13" t="e">
        <f>IF(PLANPRODUCCION[[#This Row],[PIEZAS REAL]]&gt;0,PLANPRODUCCION[[#This Row],[PIEZAS REAL]]/PLANPRODUCCION[[#This Row],[PIEZAS ACTUALIZADO]],)</f>
        <v>#DIV/0!</v>
      </c>
      <c r="AC93" s="10" t="b">
        <f>PLANPRODUCCION[[#This Row],[INGRESO PLANEADO]]&lt;PLANPRODUCCION[[#This Row],[COSTO PLANEADO]]</f>
        <v>0</v>
      </c>
      <c r="AD93" t="s">
        <v>181</v>
      </c>
      <c r="AE93" s="10"/>
      <c r="AF93" s="10" t="b">
        <f>IF(COUNTIF(PLANPRODUCCION[[#This Row],[OBSERVACIONES]],"NO APLICA BONO*")&gt;0,TRUE,FALSE)</f>
        <v>0</v>
      </c>
    </row>
    <row r="94" spans="1:32" x14ac:dyDescent="0.25">
      <c r="A94" s="46" t="str">
        <f>UPPER(IF(PLANPRODUCCION[[#This Row],[FECHA]]&lt;=45701,_xlfn.CONCAT(TEXT(B94,"MMM"),"-",IF(ROW(A94)&lt;11,"000"&amp;ROW(A94)-1,IF(ROW(A94)&lt;101,"00"&amp;ROW(A94)-1,IF(ROW(A94)&lt;1001,"0"&amp;ROW(A94)-1,ROW(A94)-1))),"-OLD"),_xlfn.CONCAT(TEXT(B94,"MMM"),"-",IF(ROW(A94)&lt;473,"000"&amp;ROW(A94)-463,IF(ROW(A94)&lt;563,"00"&amp;ROW(A94)-463,IF(ROW(A94)&lt;1001,"0"&amp;ROW(A94)-463,ROW(A94)-463))))))</f>
        <v>ENE-0093-OLD</v>
      </c>
      <c r="B94" s="1">
        <v>45666</v>
      </c>
      <c r="C94" s="5"/>
      <c r="D94" s="5"/>
      <c r="E94" t="s">
        <v>72</v>
      </c>
      <c r="F94" s="32"/>
      <c r="G94" s="32"/>
      <c r="H94" s="5">
        <v>1514</v>
      </c>
      <c r="I94" t="s">
        <v>141</v>
      </c>
      <c r="J94" t="s">
        <v>144</v>
      </c>
      <c r="K94" s="5"/>
      <c r="L94" s="10" t="s">
        <v>57</v>
      </c>
      <c r="M94" s="49">
        <v>1</v>
      </c>
      <c r="N94" s="34">
        <f>PLANPRODUCCION[[#This Row],[PIEZAS PLANEADAS]]*PLANPRODUCCION[[#This Row],[PRECIO MAQUILAS]]</f>
        <v>0</v>
      </c>
      <c r="O94" s="5">
        <v>3</v>
      </c>
      <c r="P94" s="2">
        <v>0.70833333333333337</v>
      </c>
      <c r="Q94" s="2">
        <v>0.86111111111111116</v>
      </c>
      <c r="R94" s="24">
        <v>1236</v>
      </c>
      <c r="S94" s="35">
        <f>PLANPRODUCCION[[#This Row],[PRECIO MAQUILAS]]*PLANPRODUCCION[[#This Row],[PIEZAS REAL]]</f>
        <v>1236</v>
      </c>
      <c r="T9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9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9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682</v>
      </c>
      <c r="W9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554</v>
      </c>
      <c r="X94" s="8"/>
      <c r="Y9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9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9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94" s="13" t="e">
        <f>IF(PLANPRODUCCION[[#This Row],[PIEZAS REAL]]&gt;0,PLANPRODUCCION[[#This Row],[PIEZAS REAL]]/PLANPRODUCCION[[#This Row],[PIEZAS ACTUALIZADO]],)</f>
        <v>#DIV/0!</v>
      </c>
      <c r="AC94" s="10" t="b">
        <f>PLANPRODUCCION[[#This Row],[INGRESO PLANEADO]]&lt;PLANPRODUCCION[[#This Row],[COSTO PLANEADO]]</f>
        <v>0</v>
      </c>
      <c r="AD94" t="s">
        <v>182</v>
      </c>
      <c r="AE94" s="10"/>
      <c r="AF94" s="10" t="b">
        <f>IF(COUNTIF(PLANPRODUCCION[[#This Row],[OBSERVACIONES]],"NO APLICA BONO*")&gt;0,TRUE,FALSE)</f>
        <v>0</v>
      </c>
    </row>
    <row r="95" spans="1:32" x14ac:dyDescent="0.25">
      <c r="A95" s="46" t="str">
        <f>UPPER(IF(PLANPRODUCCION[[#This Row],[FECHA]]&lt;=45701,_xlfn.CONCAT(TEXT(B95,"MMM"),"-",IF(ROW(A95)&lt;11,"000"&amp;ROW(A95)-1,IF(ROW(A95)&lt;101,"00"&amp;ROW(A95)-1,IF(ROW(A95)&lt;1001,"0"&amp;ROW(A95)-1,ROW(A95)-1))),"-OLD"),_xlfn.CONCAT(TEXT(B95,"MMM"),"-",IF(ROW(A95)&lt;473,"000"&amp;ROW(A95)-463,IF(ROW(A95)&lt;563,"00"&amp;ROW(A95)-463,IF(ROW(A95)&lt;1001,"0"&amp;ROW(A95)-463,ROW(A95)-463))))))</f>
        <v>ENE-0094-OLD</v>
      </c>
      <c r="B95" s="1">
        <v>45667</v>
      </c>
      <c r="C95" s="5"/>
      <c r="D95" s="5"/>
      <c r="E95" t="s">
        <v>54</v>
      </c>
      <c r="F95" s="32"/>
      <c r="G95" s="32"/>
      <c r="H95" s="5">
        <v>1514</v>
      </c>
      <c r="I95" t="s">
        <v>141</v>
      </c>
      <c r="J95" t="s">
        <v>144</v>
      </c>
      <c r="K95" s="5"/>
      <c r="L95" s="10" t="s">
        <v>57</v>
      </c>
      <c r="M95" s="49">
        <v>1</v>
      </c>
      <c r="N95" s="34">
        <f>PLANPRODUCCION[[#This Row],[PIEZAS PLANEADAS]]*PLANPRODUCCION[[#This Row],[PRECIO MAQUILAS]]</f>
        <v>0</v>
      </c>
      <c r="O95" s="5">
        <v>2</v>
      </c>
      <c r="P95" s="2">
        <v>0.25</v>
      </c>
      <c r="Q95" s="2">
        <v>0.55208333333333337</v>
      </c>
      <c r="R95" s="24">
        <v>606</v>
      </c>
      <c r="S95" s="35">
        <f>PLANPRODUCCION[[#This Row],[PRECIO MAQUILAS]]*PLANPRODUCCION[[#This Row],[PIEZAS REAL]]</f>
        <v>606</v>
      </c>
      <c r="T9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9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9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899</v>
      </c>
      <c r="W9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-293</v>
      </c>
      <c r="X95" s="8"/>
      <c r="Y9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9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9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95" s="13" t="e">
        <f>IF(PLANPRODUCCION[[#This Row],[PIEZAS REAL]]&gt;0,PLANPRODUCCION[[#This Row],[PIEZAS REAL]]/PLANPRODUCCION[[#This Row],[PIEZAS ACTUALIZADO]],)</f>
        <v>#DIV/0!</v>
      </c>
      <c r="AC95" s="10" t="b">
        <f>PLANPRODUCCION[[#This Row],[INGRESO PLANEADO]]&lt;PLANPRODUCCION[[#This Row],[COSTO PLANEADO]]</f>
        <v>0</v>
      </c>
      <c r="AD95" t="s">
        <v>183</v>
      </c>
      <c r="AE95" s="10"/>
      <c r="AF95" s="10" t="b">
        <f>IF(COUNTIF(PLANPRODUCCION[[#This Row],[OBSERVACIONES]],"NO APLICA BONO*")&gt;0,TRUE,FALSE)</f>
        <v>0</v>
      </c>
    </row>
    <row r="96" spans="1:32" x14ac:dyDescent="0.25">
      <c r="A96" s="46" t="str">
        <f>UPPER(IF(PLANPRODUCCION[[#This Row],[FECHA]]&lt;=45701,_xlfn.CONCAT(TEXT(B96,"MMM"),"-",IF(ROW(A96)&lt;11,"000"&amp;ROW(A96)-1,IF(ROW(A96)&lt;101,"00"&amp;ROW(A96)-1,IF(ROW(A96)&lt;1001,"0"&amp;ROW(A96)-1,ROW(A96)-1))),"-OLD"),_xlfn.CONCAT(TEXT(B96,"MMM"),"-",IF(ROW(A96)&lt;473,"000"&amp;ROW(A96)-463,IF(ROW(A96)&lt;563,"00"&amp;ROW(A96)-463,IF(ROW(A96)&lt;1001,"0"&amp;ROW(A96)-463,ROW(A96)-463))))))</f>
        <v>ENE-0095-OLD</v>
      </c>
      <c r="B96" s="1">
        <v>45667</v>
      </c>
      <c r="C96" s="5"/>
      <c r="D96" s="5"/>
      <c r="E96" t="s">
        <v>54</v>
      </c>
      <c r="F96" s="32"/>
      <c r="G96" s="32"/>
      <c r="H96" s="5">
        <v>1514</v>
      </c>
      <c r="I96" t="s">
        <v>141</v>
      </c>
      <c r="J96" t="s">
        <v>144</v>
      </c>
      <c r="K96" s="5"/>
      <c r="L96" s="10" t="s">
        <v>57</v>
      </c>
      <c r="M96" s="49">
        <v>1</v>
      </c>
      <c r="N96" s="34">
        <f>PLANPRODUCCION[[#This Row],[PIEZAS PLANEADAS]]*PLANPRODUCCION[[#This Row],[PRECIO MAQUILAS]]</f>
        <v>0</v>
      </c>
      <c r="O96" s="5">
        <v>2</v>
      </c>
      <c r="P96" s="2">
        <v>0.25</v>
      </c>
      <c r="Q96" s="2">
        <v>0.55208333333333337</v>
      </c>
      <c r="R96" s="24">
        <v>650</v>
      </c>
      <c r="S96" s="35">
        <f>PLANPRODUCCION[[#This Row],[PRECIO MAQUILAS]]*PLANPRODUCCION[[#This Row],[PIEZAS REAL]]</f>
        <v>650</v>
      </c>
      <c r="T9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9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9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899</v>
      </c>
      <c r="W9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-249</v>
      </c>
      <c r="X96" s="8"/>
      <c r="Y9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9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9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96" s="13" t="e">
        <f>IF(PLANPRODUCCION[[#This Row],[PIEZAS REAL]]&gt;0,PLANPRODUCCION[[#This Row],[PIEZAS REAL]]/PLANPRODUCCION[[#This Row],[PIEZAS ACTUALIZADO]],)</f>
        <v>#DIV/0!</v>
      </c>
      <c r="AC96" s="10" t="b">
        <f>PLANPRODUCCION[[#This Row],[INGRESO PLANEADO]]&lt;PLANPRODUCCION[[#This Row],[COSTO PLANEADO]]</f>
        <v>0</v>
      </c>
      <c r="AD96" t="s">
        <v>184</v>
      </c>
      <c r="AE96" s="10"/>
      <c r="AF96" s="10" t="b">
        <f>IF(COUNTIF(PLANPRODUCCION[[#This Row],[OBSERVACIONES]],"NO APLICA BONO*")&gt;0,TRUE,FALSE)</f>
        <v>0</v>
      </c>
    </row>
    <row r="97" spans="1:32" x14ac:dyDescent="0.25">
      <c r="A97" s="46" t="str">
        <f>UPPER(IF(PLANPRODUCCION[[#This Row],[FECHA]]&lt;=45701,_xlfn.CONCAT(TEXT(B97,"MMM"),"-",IF(ROW(A97)&lt;11,"000"&amp;ROW(A97)-1,IF(ROW(A97)&lt;101,"00"&amp;ROW(A97)-1,IF(ROW(A97)&lt;1001,"0"&amp;ROW(A97)-1,ROW(A97)-1))),"-OLD"),_xlfn.CONCAT(TEXT(B97,"MMM"),"-",IF(ROW(A97)&lt;473,"000"&amp;ROW(A97)-463,IF(ROW(A97)&lt;563,"00"&amp;ROW(A97)-463,IF(ROW(A97)&lt;1001,"0"&amp;ROW(A97)-463,ROW(A97)-463))))))</f>
        <v>ENE-0096-OLD</v>
      </c>
      <c r="B97" s="1">
        <v>45667</v>
      </c>
      <c r="C97" s="5"/>
      <c r="D97" s="5"/>
      <c r="E97" t="s">
        <v>54</v>
      </c>
      <c r="F97" s="32"/>
      <c r="G97" s="32"/>
      <c r="H97" s="5">
        <v>1514</v>
      </c>
      <c r="I97" t="s">
        <v>141</v>
      </c>
      <c r="J97" t="s">
        <v>142</v>
      </c>
      <c r="K97" s="5"/>
      <c r="L97" s="10" t="s">
        <v>57</v>
      </c>
      <c r="M97" s="49">
        <v>0.5</v>
      </c>
      <c r="N97" s="34">
        <f>PLANPRODUCCION[[#This Row],[PIEZAS PLANEADAS]]*PLANPRODUCCION[[#This Row],[PRECIO MAQUILAS]]</f>
        <v>0</v>
      </c>
      <c r="O97" s="5">
        <v>2</v>
      </c>
      <c r="P97" s="2">
        <v>0.25</v>
      </c>
      <c r="Q97" s="2">
        <v>0.33333333333333331</v>
      </c>
      <c r="R97" s="24">
        <v>1000</v>
      </c>
      <c r="S97" s="35">
        <f>PLANPRODUCCION[[#This Row],[PRECIO MAQUILAS]]*PLANPRODUCCION[[#This Row],[PIEZAS REAL]]</f>
        <v>500</v>
      </c>
      <c r="T9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9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9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9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252</v>
      </c>
      <c r="X97" s="8"/>
      <c r="Y9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9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9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97" s="13" t="e">
        <f>IF(PLANPRODUCCION[[#This Row],[PIEZAS REAL]]&gt;0,PLANPRODUCCION[[#This Row],[PIEZAS REAL]]/PLANPRODUCCION[[#This Row],[PIEZAS ACTUALIZADO]],)</f>
        <v>#DIV/0!</v>
      </c>
      <c r="AC97" s="10" t="b">
        <f>PLANPRODUCCION[[#This Row],[INGRESO PLANEADO]]&lt;PLANPRODUCCION[[#This Row],[COSTO PLANEADO]]</f>
        <v>0</v>
      </c>
      <c r="AD97" t="s">
        <v>185</v>
      </c>
      <c r="AE97" s="10"/>
      <c r="AF97" s="10" t="b">
        <f>IF(COUNTIF(PLANPRODUCCION[[#This Row],[OBSERVACIONES]],"NO APLICA BONO*")&gt;0,TRUE,FALSE)</f>
        <v>0</v>
      </c>
    </row>
    <row r="98" spans="1:32" x14ac:dyDescent="0.25">
      <c r="A98" s="46" t="str">
        <f>UPPER(IF(PLANPRODUCCION[[#This Row],[FECHA]]&lt;=45701,_xlfn.CONCAT(TEXT(B98,"MMM"),"-",IF(ROW(A98)&lt;11,"000"&amp;ROW(A98)-1,IF(ROW(A98)&lt;101,"00"&amp;ROW(A98)-1,IF(ROW(A98)&lt;1001,"0"&amp;ROW(A98)-1,ROW(A98)-1))),"-OLD"),_xlfn.CONCAT(TEXT(B98,"MMM"),"-",IF(ROW(A98)&lt;473,"000"&amp;ROW(A98)-463,IF(ROW(A98)&lt;563,"00"&amp;ROW(A98)-463,IF(ROW(A98)&lt;1001,"0"&amp;ROW(A98)-463,ROW(A98)-463))))))</f>
        <v>ENE-0097-OLD</v>
      </c>
      <c r="B98" s="1">
        <v>45667</v>
      </c>
      <c r="C98" s="5"/>
      <c r="D98" s="5"/>
      <c r="E98" t="s">
        <v>54</v>
      </c>
      <c r="F98" s="32"/>
      <c r="G98" s="32"/>
      <c r="H98" s="5">
        <v>1514</v>
      </c>
      <c r="I98" t="s">
        <v>141</v>
      </c>
      <c r="J98" t="s">
        <v>148</v>
      </c>
      <c r="K98" s="5"/>
      <c r="L98" s="10" t="s">
        <v>83</v>
      </c>
      <c r="M98" s="49">
        <v>30</v>
      </c>
      <c r="N98" s="34">
        <f>PLANPRODUCCION[[#This Row],[PIEZAS PLANEADAS]]*PLANPRODUCCION[[#This Row],[PRECIO MAQUILAS]]</f>
        <v>0</v>
      </c>
      <c r="O98" s="5">
        <v>7</v>
      </c>
      <c r="P98" s="2">
        <v>0.25</v>
      </c>
      <c r="Q98" s="2">
        <v>0.4861111111111111</v>
      </c>
      <c r="R98" s="24">
        <v>217</v>
      </c>
      <c r="S98" s="35">
        <f>PLANPRODUCCION[[#This Row],[PRECIO MAQUILAS]]*PLANPRODUCCION[[#This Row],[PIEZAS REAL]]</f>
        <v>6510</v>
      </c>
      <c r="T9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9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9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2459.333333333333</v>
      </c>
      <c r="W9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4050.666666666667</v>
      </c>
      <c r="X98" s="8"/>
      <c r="Y9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9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9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98" s="13" t="e">
        <f>IF(PLANPRODUCCION[[#This Row],[PIEZAS REAL]]&gt;0,PLANPRODUCCION[[#This Row],[PIEZAS REAL]]/PLANPRODUCCION[[#This Row],[PIEZAS ACTUALIZADO]],)</f>
        <v>#DIV/0!</v>
      </c>
      <c r="AC98" s="10" t="b">
        <f>PLANPRODUCCION[[#This Row],[INGRESO PLANEADO]]&lt;PLANPRODUCCION[[#This Row],[COSTO PLANEADO]]</f>
        <v>0</v>
      </c>
      <c r="AD98" t="s">
        <v>186</v>
      </c>
      <c r="AE98" s="10"/>
      <c r="AF98" s="10" t="b">
        <f>IF(COUNTIF(PLANPRODUCCION[[#This Row],[OBSERVACIONES]],"NO APLICA BONO*")&gt;0,TRUE,FALSE)</f>
        <v>0</v>
      </c>
    </row>
    <row r="99" spans="1:32" x14ac:dyDescent="0.25">
      <c r="A99" s="46" t="str">
        <f>UPPER(IF(PLANPRODUCCION[[#This Row],[FECHA]]&lt;=45701,_xlfn.CONCAT(TEXT(B99,"MMM"),"-",IF(ROW(A99)&lt;11,"000"&amp;ROW(A99)-1,IF(ROW(A99)&lt;101,"00"&amp;ROW(A99)-1,IF(ROW(A99)&lt;1001,"0"&amp;ROW(A99)-1,ROW(A99)-1))),"-OLD"),_xlfn.CONCAT(TEXT(B99,"MMM"),"-",IF(ROW(A99)&lt;473,"000"&amp;ROW(A99)-463,IF(ROW(A99)&lt;563,"00"&amp;ROW(A99)-463,IF(ROW(A99)&lt;1001,"0"&amp;ROW(A99)-463,ROW(A99)-463))))))</f>
        <v>ENE-0098-OLD</v>
      </c>
      <c r="B99" s="1">
        <v>45667</v>
      </c>
      <c r="C99" s="5"/>
      <c r="D99" s="5"/>
      <c r="E99" t="s">
        <v>54</v>
      </c>
      <c r="F99" s="32"/>
      <c r="G99" s="32"/>
      <c r="H99" s="5">
        <v>1514</v>
      </c>
      <c r="I99" t="s">
        <v>141</v>
      </c>
      <c r="J99" t="s">
        <v>144</v>
      </c>
      <c r="K99" s="5"/>
      <c r="L99" s="10" t="s">
        <v>57</v>
      </c>
      <c r="M99" s="49">
        <v>1</v>
      </c>
      <c r="N99" s="34">
        <f>PLANPRODUCCION[[#This Row],[PIEZAS PLANEADAS]]*PLANPRODUCCION[[#This Row],[PRECIO MAQUILAS]]</f>
        <v>0</v>
      </c>
      <c r="O99" s="5">
        <v>2</v>
      </c>
      <c r="P99" s="2">
        <v>0.25</v>
      </c>
      <c r="Q99" s="2">
        <v>0.55208333333333337</v>
      </c>
      <c r="R99" s="24">
        <v>606</v>
      </c>
      <c r="S99" s="35">
        <f>PLANPRODUCCION[[#This Row],[PRECIO MAQUILAS]]*PLANPRODUCCION[[#This Row],[PIEZAS REAL]]</f>
        <v>606</v>
      </c>
      <c r="T9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9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9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899</v>
      </c>
      <c r="W9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-293</v>
      </c>
      <c r="X99" s="8"/>
      <c r="Y9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9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9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99" s="13" t="e">
        <f>IF(PLANPRODUCCION[[#This Row],[PIEZAS REAL]]&gt;0,PLANPRODUCCION[[#This Row],[PIEZAS REAL]]/PLANPRODUCCION[[#This Row],[PIEZAS ACTUALIZADO]],)</f>
        <v>#DIV/0!</v>
      </c>
      <c r="AC99" s="10" t="b">
        <f>PLANPRODUCCION[[#This Row],[INGRESO PLANEADO]]&lt;PLANPRODUCCION[[#This Row],[COSTO PLANEADO]]</f>
        <v>0</v>
      </c>
      <c r="AD99" t="s">
        <v>187</v>
      </c>
      <c r="AE99" s="10"/>
      <c r="AF99" s="10" t="b">
        <f>IF(COUNTIF(PLANPRODUCCION[[#This Row],[OBSERVACIONES]],"NO APLICA BONO*")&gt;0,TRUE,FALSE)</f>
        <v>0</v>
      </c>
    </row>
    <row r="100" spans="1:32" x14ac:dyDescent="0.25">
      <c r="A100" s="46" t="str">
        <f>UPPER(IF(PLANPRODUCCION[[#This Row],[FECHA]]&lt;=45701,_xlfn.CONCAT(TEXT(B100,"MMM"),"-",IF(ROW(A100)&lt;11,"000"&amp;ROW(A100)-1,IF(ROW(A100)&lt;101,"00"&amp;ROW(A100)-1,IF(ROW(A100)&lt;1001,"0"&amp;ROW(A100)-1,ROW(A100)-1))),"-OLD"),_xlfn.CONCAT(TEXT(B100,"MMM"),"-",IF(ROW(A100)&lt;473,"000"&amp;ROW(A100)-463,IF(ROW(A100)&lt;563,"00"&amp;ROW(A100)-463,IF(ROW(A100)&lt;1001,"0"&amp;ROW(A100)-463,ROW(A100)-463))))))</f>
        <v>ENE-0099-OLD</v>
      </c>
      <c r="B100" s="1">
        <v>45667</v>
      </c>
      <c r="C100" s="5"/>
      <c r="D100" s="5"/>
      <c r="E100" t="s">
        <v>54</v>
      </c>
      <c r="F100" s="32"/>
      <c r="G100" s="32"/>
      <c r="H100" s="5">
        <v>1528</v>
      </c>
      <c r="I100" t="s">
        <v>188</v>
      </c>
      <c r="J100" t="s">
        <v>142</v>
      </c>
      <c r="K100" s="5"/>
      <c r="L100" s="10" t="s">
        <v>57</v>
      </c>
      <c r="M100" s="49">
        <v>0.5</v>
      </c>
      <c r="N100" s="34">
        <f>PLANPRODUCCION[[#This Row],[PIEZAS PLANEADAS]]*PLANPRODUCCION[[#This Row],[PRECIO MAQUILAS]]</f>
        <v>0</v>
      </c>
      <c r="O100" s="5">
        <v>3</v>
      </c>
      <c r="P100" s="2">
        <v>0.375</v>
      </c>
      <c r="Q100" s="2">
        <v>0.47916666666666669</v>
      </c>
      <c r="R100" s="24">
        <v>300</v>
      </c>
      <c r="S100" s="35">
        <f>PLANPRODUCCION[[#This Row],[PRECIO MAQUILAS]]*PLANPRODUCCION[[#This Row],[PIEZAS REAL]]</f>
        <v>150</v>
      </c>
      <c r="T10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0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0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465</v>
      </c>
      <c r="W10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-315</v>
      </c>
      <c r="X100" s="8"/>
      <c r="Y10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0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0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00" s="13" t="e">
        <f>IF(PLANPRODUCCION[[#This Row],[PIEZAS REAL]]&gt;0,PLANPRODUCCION[[#This Row],[PIEZAS REAL]]/PLANPRODUCCION[[#This Row],[PIEZAS ACTUALIZADO]],)</f>
        <v>#DIV/0!</v>
      </c>
      <c r="AC100" s="10" t="b">
        <f>PLANPRODUCCION[[#This Row],[INGRESO PLANEADO]]&lt;PLANPRODUCCION[[#This Row],[COSTO PLANEADO]]</f>
        <v>0</v>
      </c>
      <c r="AD100" t="s">
        <v>189</v>
      </c>
      <c r="AE100" s="10"/>
      <c r="AF100" s="10" t="b">
        <f>IF(COUNTIF(PLANPRODUCCION[[#This Row],[OBSERVACIONES]],"NO APLICA BONO*")&gt;0,TRUE,FALSE)</f>
        <v>0</v>
      </c>
    </row>
    <row r="101" spans="1:32" x14ac:dyDescent="0.25">
      <c r="A101" s="46" t="str">
        <f>UPPER(IF(PLANPRODUCCION[[#This Row],[FECHA]]&lt;=45701,_xlfn.CONCAT(TEXT(B101,"MMM"),"-",IF(ROW(A101)&lt;11,"000"&amp;ROW(A101)-1,IF(ROW(A101)&lt;101,"00"&amp;ROW(A101)-1,IF(ROW(A101)&lt;1001,"0"&amp;ROW(A101)-1,ROW(A101)-1))),"-OLD"),_xlfn.CONCAT(TEXT(B101,"MMM"),"-",IF(ROW(A101)&lt;473,"000"&amp;ROW(A101)-463,IF(ROW(A101)&lt;563,"00"&amp;ROW(A101)-463,IF(ROW(A101)&lt;1001,"0"&amp;ROW(A101)-463,ROW(A101)-463))))))</f>
        <v>ENE-0100-OLD</v>
      </c>
      <c r="B101" s="1">
        <v>45667</v>
      </c>
      <c r="C101" s="5"/>
      <c r="D101" s="5"/>
      <c r="E101" t="s">
        <v>54</v>
      </c>
      <c r="F101" s="32"/>
      <c r="G101" s="32"/>
      <c r="H101" s="5">
        <v>1526</v>
      </c>
      <c r="I101" t="s">
        <v>190</v>
      </c>
      <c r="J101" t="s">
        <v>191</v>
      </c>
      <c r="K101" s="5"/>
      <c r="L101" s="10" t="s">
        <v>57</v>
      </c>
      <c r="M101" s="49">
        <v>1.45</v>
      </c>
      <c r="N101" s="34">
        <f>PLANPRODUCCION[[#This Row],[PIEZAS PLANEADAS]]*PLANPRODUCCION[[#This Row],[PRECIO MAQUILAS]]</f>
        <v>0</v>
      </c>
      <c r="O101" s="5">
        <v>3</v>
      </c>
      <c r="P101" s="2">
        <v>0.4861111111111111</v>
      </c>
      <c r="Q101" s="2">
        <v>0.64583333333333337</v>
      </c>
      <c r="R101" s="24">
        <v>547</v>
      </c>
      <c r="S101" s="35">
        <f>PLANPRODUCCION[[#This Row],[PRECIO MAQUILAS]]*PLANPRODUCCION[[#This Row],[PIEZAS REAL]]</f>
        <v>793.15</v>
      </c>
      <c r="T10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0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0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713</v>
      </c>
      <c r="W10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80.149999999999977</v>
      </c>
      <c r="X101" s="8"/>
      <c r="Y10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0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0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01" s="13" t="e">
        <f>IF(PLANPRODUCCION[[#This Row],[PIEZAS REAL]]&gt;0,PLANPRODUCCION[[#This Row],[PIEZAS REAL]]/PLANPRODUCCION[[#This Row],[PIEZAS ACTUALIZADO]],)</f>
        <v>#DIV/0!</v>
      </c>
      <c r="AC101" s="10" t="b">
        <f>PLANPRODUCCION[[#This Row],[INGRESO PLANEADO]]&lt;PLANPRODUCCION[[#This Row],[COSTO PLANEADO]]</f>
        <v>0</v>
      </c>
      <c r="AD101" t="s">
        <v>192</v>
      </c>
      <c r="AE101" s="10"/>
      <c r="AF101" s="10" t="b">
        <f>IF(COUNTIF(PLANPRODUCCION[[#This Row],[OBSERVACIONES]],"NO APLICA BONO*")&gt;0,TRUE,FALSE)</f>
        <v>0</v>
      </c>
    </row>
    <row r="102" spans="1:32" x14ac:dyDescent="0.25">
      <c r="A102" s="46" t="str">
        <f>UPPER(IF(PLANPRODUCCION[[#This Row],[FECHA]]&lt;=45701,_xlfn.CONCAT(TEXT(B102,"MMM"),"-",IF(ROW(A102)&lt;11,"000"&amp;ROW(A102)-1,IF(ROW(A102)&lt;101,"00"&amp;ROW(A102)-1,IF(ROW(A102)&lt;1001,"0"&amp;ROW(A102)-1,ROW(A102)-1))),"-OLD"),_xlfn.CONCAT(TEXT(B102,"MMM"),"-",IF(ROW(A102)&lt;473,"000"&amp;ROW(A102)-463,IF(ROW(A102)&lt;563,"00"&amp;ROW(A102)-463,IF(ROW(A102)&lt;1001,"0"&amp;ROW(A102)-463,ROW(A102)-463))))))</f>
        <v>ENE-0101-OLD</v>
      </c>
      <c r="B102" s="1">
        <v>45667</v>
      </c>
      <c r="C102" s="5"/>
      <c r="D102" s="5"/>
      <c r="E102" t="s">
        <v>54</v>
      </c>
      <c r="F102" s="32"/>
      <c r="G102" s="32"/>
      <c r="H102" s="5">
        <v>1527</v>
      </c>
      <c r="I102" t="s">
        <v>59</v>
      </c>
      <c r="J102" t="s">
        <v>193</v>
      </c>
      <c r="K102" s="5"/>
      <c r="L102" s="10" t="s">
        <v>57</v>
      </c>
      <c r="M102" s="49">
        <v>4</v>
      </c>
      <c r="N102" s="34">
        <f>PLANPRODUCCION[[#This Row],[PIEZAS PLANEADAS]]*PLANPRODUCCION[[#This Row],[PRECIO MAQUILAS]]</f>
        <v>0</v>
      </c>
      <c r="O102" s="5">
        <v>1</v>
      </c>
      <c r="P102" s="2">
        <v>0.54166666666666663</v>
      </c>
      <c r="Q102" s="2">
        <v>0.66666666666666663</v>
      </c>
      <c r="R102" s="24">
        <v>30</v>
      </c>
      <c r="S102" s="35">
        <f>PLANPRODUCCION[[#This Row],[PRECIO MAQUILAS]]*PLANPRODUCCION[[#This Row],[PIEZAS REAL]]</f>
        <v>120</v>
      </c>
      <c r="T10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0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0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</v>
      </c>
      <c r="W10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-66</v>
      </c>
      <c r="X102" s="8"/>
      <c r="Y10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0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0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02" s="13" t="e">
        <f>IF(PLANPRODUCCION[[#This Row],[PIEZAS REAL]]&gt;0,PLANPRODUCCION[[#This Row],[PIEZAS REAL]]/PLANPRODUCCION[[#This Row],[PIEZAS ACTUALIZADO]],)</f>
        <v>#DIV/0!</v>
      </c>
      <c r="AC102" s="10" t="b">
        <f>PLANPRODUCCION[[#This Row],[INGRESO PLANEADO]]&lt;PLANPRODUCCION[[#This Row],[COSTO PLANEADO]]</f>
        <v>0</v>
      </c>
      <c r="AD102" t="s">
        <v>194</v>
      </c>
      <c r="AE102" s="10"/>
      <c r="AF102" s="10" t="b">
        <f>IF(COUNTIF(PLANPRODUCCION[[#This Row],[OBSERVACIONES]],"NO APLICA BONO*")&gt;0,TRUE,FALSE)</f>
        <v>0</v>
      </c>
    </row>
    <row r="103" spans="1:32" x14ac:dyDescent="0.25">
      <c r="A103" s="46" t="str">
        <f>UPPER(IF(PLANPRODUCCION[[#This Row],[FECHA]]&lt;=45701,_xlfn.CONCAT(TEXT(B103,"MMM"),"-",IF(ROW(A103)&lt;11,"000"&amp;ROW(A103)-1,IF(ROW(A103)&lt;101,"00"&amp;ROW(A103)-1,IF(ROW(A103)&lt;1001,"0"&amp;ROW(A103)-1,ROW(A103)-1))),"-OLD"),_xlfn.CONCAT(TEXT(B103,"MMM"),"-",IF(ROW(A103)&lt;473,"000"&amp;ROW(A103)-463,IF(ROW(A103)&lt;563,"00"&amp;ROW(A103)-463,IF(ROW(A103)&lt;1001,"0"&amp;ROW(A103)-463,ROW(A103)-463))))))</f>
        <v>ENE-0102-OLD</v>
      </c>
      <c r="B103" s="1">
        <v>45667</v>
      </c>
      <c r="C103" s="5"/>
      <c r="D103" s="5"/>
      <c r="E103" t="s">
        <v>54</v>
      </c>
      <c r="F103" s="32"/>
      <c r="G103" s="32"/>
      <c r="H103" s="5">
        <v>1527</v>
      </c>
      <c r="I103" t="s">
        <v>59</v>
      </c>
      <c r="J103" t="s">
        <v>193</v>
      </c>
      <c r="K103" s="5"/>
      <c r="L103" s="10" t="s">
        <v>57</v>
      </c>
      <c r="M103" s="49">
        <v>4</v>
      </c>
      <c r="N103" s="34">
        <f>PLANPRODUCCION[[#This Row],[PIEZAS PLANEADAS]]*PLANPRODUCCION[[#This Row],[PRECIO MAQUILAS]]</f>
        <v>0</v>
      </c>
      <c r="O103" s="5">
        <v>2</v>
      </c>
      <c r="P103" s="2">
        <v>0.55208333333333337</v>
      </c>
      <c r="Q103" s="2">
        <v>0.63541666666666663</v>
      </c>
      <c r="R103" s="24">
        <v>300</v>
      </c>
      <c r="S103" s="35">
        <f>PLANPRODUCCION[[#This Row],[PRECIO MAQUILAS]]*PLANPRODUCCION[[#This Row],[PIEZAS REAL]]</f>
        <v>1200</v>
      </c>
      <c r="T10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0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0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10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952</v>
      </c>
      <c r="X103" s="8"/>
      <c r="Y10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0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0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03" s="13" t="e">
        <f>IF(PLANPRODUCCION[[#This Row],[PIEZAS REAL]]&gt;0,PLANPRODUCCION[[#This Row],[PIEZAS REAL]]/PLANPRODUCCION[[#This Row],[PIEZAS ACTUALIZADO]],)</f>
        <v>#DIV/0!</v>
      </c>
      <c r="AC103" s="10" t="b">
        <f>PLANPRODUCCION[[#This Row],[INGRESO PLANEADO]]&lt;PLANPRODUCCION[[#This Row],[COSTO PLANEADO]]</f>
        <v>0</v>
      </c>
      <c r="AD103" t="s">
        <v>195</v>
      </c>
      <c r="AE103" s="10"/>
      <c r="AF103" s="10" t="b">
        <f>IF(COUNTIF(PLANPRODUCCION[[#This Row],[OBSERVACIONES]],"NO APLICA BONO*")&gt;0,TRUE,FALSE)</f>
        <v>0</v>
      </c>
    </row>
    <row r="104" spans="1:32" x14ac:dyDescent="0.25">
      <c r="A104" s="46" t="str">
        <f>UPPER(IF(PLANPRODUCCION[[#This Row],[FECHA]]&lt;=45701,_xlfn.CONCAT(TEXT(B104,"MMM"),"-",IF(ROW(A104)&lt;11,"000"&amp;ROW(A104)-1,IF(ROW(A104)&lt;101,"00"&amp;ROW(A104)-1,IF(ROW(A104)&lt;1001,"0"&amp;ROW(A104)-1,ROW(A104)-1))),"-OLD"),_xlfn.CONCAT(TEXT(B104,"MMM"),"-",IF(ROW(A104)&lt;473,"000"&amp;ROW(A104)-463,IF(ROW(A104)&lt;563,"00"&amp;ROW(A104)-463,IF(ROW(A104)&lt;1001,"0"&amp;ROW(A104)-463,ROW(A104)-463))))))</f>
        <v>ENE-0103-OLD</v>
      </c>
      <c r="B104" s="1">
        <v>45667</v>
      </c>
      <c r="C104" s="5"/>
      <c r="D104" s="5"/>
      <c r="E104" t="s">
        <v>54</v>
      </c>
      <c r="F104" s="32"/>
      <c r="G104" s="32"/>
      <c r="H104" s="5">
        <v>1527</v>
      </c>
      <c r="I104" t="s">
        <v>59</v>
      </c>
      <c r="J104" t="s">
        <v>193</v>
      </c>
      <c r="K104" s="5"/>
      <c r="L104" s="10" t="s">
        <v>57</v>
      </c>
      <c r="M104" s="49">
        <v>4</v>
      </c>
      <c r="N104" s="34">
        <f>PLANPRODUCCION[[#This Row],[PIEZAS PLANEADAS]]*PLANPRODUCCION[[#This Row],[PRECIO MAQUILAS]]</f>
        <v>0</v>
      </c>
      <c r="O104" s="5">
        <v>2</v>
      </c>
      <c r="P104" s="2">
        <v>0.55208333333333337</v>
      </c>
      <c r="Q104" s="2">
        <v>0.63541666666666663</v>
      </c>
      <c r="R104" s="24">
        <v>110</v>
      </c>
      <c r="S104" s="35">
        <f>PLANPRODUCCION[[#This Row],[PRECIO MAQUILAS]]*PLANPRODUCCION[[#This Row],[PIEZAS REAL]]</f>
        <v>440</v>
      </c>
      <c r="T10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0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0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10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192</v>
      </c>
      <c r="X104" s="8"/>
      <c r="Y10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0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0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04" s="13" t="e">
        <f>IF(PLANPRODUCCION[[#This Row],[PIEZAS REAL]]&gt;0,PLANPRODUCCION[[#This Row],[PIEZAS REAL]]/PLANPRODUCCION[[#This Row],[PIEZAS ACTUALIZADO]],)</f>
        <v>#DIV/0!</v>
      </c>
      <c r="AC104" s="10" t="b">
        <f>PLANPRODUCCION[[#This Row],[INGRESO PLANEADO]]&lt;PLANPRODUCCION[[#This Row],[COSTO PLANEADO]]</f>
        <v>0</v>
      </c>
      <c r="AD104" t="s">
        <v>196</v>
      </c>
      <c r="AE104" s="10"/>
      <c r="AF104" s="10" t="b">
        <f>IF(COUNTIF(PLANPRODUCCION[[#This Row],[OBSERVACIONES]],"NO APLICA BONO*")&gt;0,TRUE,FALSE)</f>
        <v>0</v>
      </c>
    </row>
    <row r="105" spans="1:32" x14ac:dyDescent="0.25">
      <c r="A105" s="46" t="str">
        <f>UPPER(IF(PLANPRODUCCION[[#This Row],[FECHA]]&lt;=45701,_xlfn.CONCAT(TEXT(B105,"MMM"),"-",IF(ROW(A105)&lt;11,"000"&amp;ROW(A105)-1,IF(ROW(A105)&lt;101,"00"&amp;ROW(A105)-1,IF(ROW(A105)&lt;1001,"0"&amp;ROW(A105)-1,ROW(A105)-1))),"-OLD"),_xlfn.CONCAT(TEXT(B105,"MMM"),"-",IF(ROW(A105)&lt;473,"000"&amp;ROW(A105)-463,IF(ROW(A105)&lt;563,"00"&amp;ROW(A105)-463,IF(ROW(A105)&lt;1001,"0"&amp;ROW(A105)-463,ROW(A105)-463))))))</f>
        <v>ENE-0104-OLD</v>
      </c>
      <c r="B105" s="1">
        <v>45667</v>
      </c>
      <c r="C105" s="5"/>
      <c r="D105" s="5"/>
      <c r="E105" t="s">
        <v>67</v>
      </c>
      <c r="F105" s="32"/>
      <c r="G105" s="32"/>
      <c r="H105" s="5">
        <v>1525</v>
      </c>
      <c r="I105" t="s">
        <v>197</v>
      </c>
      <c r="J105" t="s">
        <v>198</v>
      </c>
      <c r="K105" s="5"/>
      <c r="L105" s="10" t="s">
        <v>57</v>
      </c>
      <c r="M105" s="49">
        <v>2</v>
      </c>
      <c r="N105" s="34">
        <f>PLANPRODUCCION[[#This Row],[PIEZAS PLANEADAS]]*PLANPRODUCCION[[#This Row],[PRECIO MAQUILAS]]</f>
        <v>0</v>
      </c>
      <c r="O105" s="5">
        <v>1</v>
      </c>
      <c r="P105" s="2">
        <v>0.33333333333333331</v>
      </c>
      <c r="Q105" s="2">
        <v>0.5</v>
      </c>
      <c r="R105" s="24">
        <v>500</v>
      </c>
      <c r="S105" s="35">
        <f>PLANPRODUCCION[[#This Row],[PRECIO MAQUILAS]]*PLANPRODUCCION[[#This Row],[PIEZAS REAL]]</f>
        <v>1000</v>
      </c>
      <c r="T10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0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0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10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752</v>
      </c>
      <c r="X105" s="8"/>
      <c r="Y10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0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0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05" s="13" t="e">
        <f>IF(PLANPRODUCCION[[#This Row],[PIEZAS REAL]]&gt;0,PLANPRODUCCION[[#This Row],[PIEZAS REAL]]/PLANPRODUCCION[[#This Row],[PIEZAS ACTUALIZADO]],)</f>
        <v>#DIV/0!</v>
      </c>
      <c r="AC105" s="10" t="b">
        <f>PLANPRODUCCION[[#This Row],[INGRESO PLANEADO]]&lt;PLANPRODUCCION[[#This Row],[COSTO PLANEADO]]</f>
        <v>0</v>
      </c>
      <c r="AD105" t="s">
        <v>199</v>
      </c>
      <c r="AE105" s="10"/>
      <c r="AF105" s="10" t="b">
        <f>IF(COUNTIF(PLANPRODUCCION[[#This Row],[OBSERVACIONES]],"NO APLICA BONO*")&gt;0,TRUE,FALSE)</f>
        <v>0</v>
      </c>
    </row>
    <row r="106" spans="1:32" x14ac:dyDescent="0.25">
      <c r="A106" s="46" t="str">
        <f>UPPER(IF(PLANPRODUCCION[[#This Row],[FECHA]]&lt;=45701,_xlfn.CONCAT(TEXT(B106,"MMM"),"-",IF(ROW(A106)&lt;11,"000"&amp;ROW(A106)-1,IF(ROW(A106)&lt;101,"00"&amp;ROW(A106)-1,IF(ROW(A106)&lt;1001,"0"&amp;ROW(A106)-1,ROW(A106)-1))),"-OLD"),_xlfn.CONCAT(TEXT(B106,"MMM"),"-",IF(ROW(A106)&lt;473,"000"&amp;ROW(A106)-463,IF(ROW(A106)&lt;563,"00"&amp;ROW(A106)-463,IF(ROW(A106)&lt;1001,"0"&amp;ROW(A106)-463,ROW(A106)-463))))))</f>
        <v>ENE-0105-OLD</v>
      </c>
      <c r="B106" s="1">
        <v>45667</v>
      </c>
      <c r="C106" s="5"/>
      <c r="D106" s="5"/>
      <c r="E106" t="s">
        <v>67</v>
      </c>
      <c r="F106" s="32"/>
      <c r="G106" s="32"/>
      <c r="H106" s="5">
        <v>1527</v>
      </c>
      <c r="I106" t="s">
        <v>59</v>
      </c>
      <c r="J106" t="s">
        <v>193</v>
      </c>
      <c r="K106" s="5"/>
      <c r="L106" s="10" t="s">
        <v>57</v>
      </c>
      <c r="M106" s="49">
        <v>4</v>
      </c>
      <c r="N106" s="34">
        <f>PLANPRODUCCION[[#This Row],[PIEZAS PLANEADAS]]*PLANPRODUCCION[[#This Row],[PRECIO MAQUILAS]]</f>
        <v>0</v>
      </c>
      <c r="O106" s="5">
        <v>2</v>
      </c>
      <c r="P106" s="2">
        <v>0.33333333333333331</v>
      </c>
      <c r="Q106" s="2">
        <v>0.54166666666666663</v>
      </c>
      <c r="R106" s="24">
        <v>140</v>
      </c>
      <c r="S106" s="35">
        <f>PLANPRODUCCION[[#This Row],[PRECIO MAQUILAS]]*PLANPRODUCCION[[#This Row],[PIEZAS REAL]]</f>
        <v>560</v>
      </c>
      <c r="T10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0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0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10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-60</v>
      </c>
      <c r="X106" s="8"/>
      <c r="Y10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0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0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06" s="13" t="e">
        <f>IF(PLANPRODUCCION[[#This Row],[PIEZAS REAL]]&gt;0,PLANPRODUCCION[[#This Row],[PIEZAS REAL]]/PLANPRODUCCION[[#This Row],[PIEZAS ACTUALIZADO]],)</f>
        <v>#DIV/0!</v>
      </c>
      <c r="AC106" s="10" t="b">
        <f>PLANPRODUCCION[[#This Row],[INGRESO PLANEADO]]&lt;PLANPRODUCCION[[#This Row],[COSTO PLANEADO]]</f>
        <v>0</v>
      </c>
      <c r="AD106" t="s">
        <v>200</v>
      </c>
      <c r="AE106" s="10"/>
      <c r="AF106" s="10" t="b">
        <f>IF(COUNTIF(PLANPRODUCCION[[#This Row],[OBSERVACIONES]],"NO APLICA BONO*")&gt;0,TRUE,FALSE)</f>
        <v>0</v>
      </c>
    </row>
    <row r="107" spans="1:32" x14ac:dyDescent="0.25">
      <c r="A107" s="46" t="str">
        <f>UPPER(IF(PLANPRODUCCION[[#This Row],[FECHA]]&lt;=45701,_xlfn.CONCAT(TEXT(B107,"MMM"),"-",IF(ROW(A107)&lt;11,"000"&amp;ROW(A107)-1,IF(ROW(A107)&lt;101,"00"&amp;ROW(A107)-1,IF(ROW(A107)&lt;1001,"0"&amp;ROW(A107)-1,ROW(A107)-1))),"-OLD"),_xlfn.CONCAT(TEXT(B107,"MMM"),"-",IF(ROW(A107)&lt;473,"000"&amp;ROW(A107)-463,IF(ROW(A107)&lt;563,"00"&amp;ROW(A107)-463,IF(ROW(A107)&lt;1001,"0"&amp;ROW(A107)-463,ROW(A107)-463))))))</f>
        <v>ENE-0106-OLD</v>
      </c>
      <c r="B107" s="1">
        <v>45667</v>
      </c>
      <c r="C107" s="5"/>
      <c r="D107" s="5"/>
      <c r="E107" t="s">
        <v>67</v>
      </c>
      <c r="F107" s="32"/>
      <c r="G107" s="32"/>
      <c r="H107" s="5">
        <v>1514</v>
      </c>
      <c r="I107" t="s">
        <v>141</v>
      </c>
      <c r="J107" t="s">
        <v>148</v>
      </c>
      <c r="K107" s="5"/>
      <c r="L107" s="10" t="s">
        <v>83</v>
      </c>
      <c r="M107" s="49">
        <v>30</v>
      </c>
      <c r="N107" s="34">
        <f>PLANPRODUCCION[[#This Row],[PIEZAS PLANEADAS]]*PLANPRODUCCION[[#This Row],[PRECIO MAQUILAS]]</f>
        <v>0</v>
      </c>
      <c r="O107" s="5">
        <v>6</v>
      </c>
      <c r="P107" s="2">
        <v>0.4861111111111111</v>
      </c>
      <c r="Q107" s="2">
        <v>0.55208333333333337</v>
      </c>
      <c r="R107" s="24">
        <v>75</v>
      </c>
      <c r="S107" s="35">
        <f>PLANPRODUCCION[[#This Row],[PRECIO MAQUILAS]]*PLANPRODUCCION[[#This Row],[PIEZAS REAL]]</f>
        <v>2250</v>
      </c>
      <c r="T10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0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0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589</v>
      </c>
      <c r="W10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1661</v>
      </c>
      <c r="X107" s="8"/>
      <c r="Y10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0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0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07" s="13" t="e">
        <f>IF(PLANPRODUCCION[[#This Row],[PIEZAS REAL]]&gt;0,PLANPRODUCCION[[#This Row],[PIEZAS REAL]]/PLANPRODUCCION[[#This Row],[PIEZAS ACTUALIZADO]],)</f>
        <v>#DIV/0!</v>
      </c>
      <c r="AC107" s="10" t="b">
        <f>PLANPRODUCCION[[#This Row],[INGRESO PLANEADO]]&lt;PLANPRODUCCION[[#This Row],[COSTO PLANEADO]]</f>
        <v>0</v>
      </c>
      <c r="AD107" t="s">
        <v>201</v>
      </c>
      <c r="AE107" s="10"/>
      <c r="AF107" s="10" t="b">
        <f>IF(COUNTIF(PLANPRODUCCION[[#This Row],[OBSERVACIONES]],"NO APLICA BONO*")&gt;0,TRUE,FALSE)</f>
        <v>0</v>
      </c>
    </row>
    <row r="108" spans="1:32" x14ac:dyDescent="0.25">
      <c r="A108" s="46" t="str">
        <f>UPPER(IF(PLANPRODUCCION[[#This Row],[FECHA]]&lt;=45701,_xlfn.CONCAT(TEXT(B108,"MMM"),"-",IF(ROW(A108)&lt;11,"000"&amp;ROW(A108)-1,IF(ROW(A108)&lt;101,"00"&amp;ROW(A108)-1,IF(ROW(A108)&lt;1001,"0"&amp;ROW(A108)-1,ROW(A108)-1))),"-OLD"),_xlfn.CONCAT(TEXT(B108,"MMM"),"-",IF(ROW(A108)&lt;473,"000"&amp;ROW(A108)-463,IF(ROW(A108)&lt;563,"00"&amp;ROW(A108)-463,IF(ROW(A108)&lt;1001,"0"&amp;ROW(A108)-463,ROW(A108)-463))))))</f>
        <v>ENE-0107-OLD</v>
      </c>
      <c r="B108" s="1">
        <v>45667</v>
      </c>
      <c r="C108" s="5"/>
      <c r="D108" s="5"/>
      <c r="E108" t="s">
        <v>67</v>
      </c>
      <c r="F108" s="32"/>
      <c r="G108" s="32"/>
      <c r="H108" s="5">
        <v>1527</v>
      </c>
      <c r="I108" t="s">
        <v>59</v>
      </c>
      <c r="J108" t="s">
        <v>193</v>
      </c>
      <c r="K108" s="5"/>
      <c r="L108" s="10" t="s">
        <v>57</v>
      </c>
      <c r="M108" s="49">
        <v>4</v>
      </c>
      <c r="N108" s="34">
        <f>PLANPRODUCCION[[#This Row],[PIEZAS PLANEADAS]]*PLANPRODUCCION[[#This Row],[PRECIO MAQUILAS]]</f>
        <v>0</v>
      </c>
      <c r="O108" s="5">
        <v>1</v>
      </c>
      <c r="P108" s="2">
        <v>0.5</v>
      </c>
      <c r="Q108" s="2">
        <v>0.75</v>
      </c>
      <c r="R108" s="24">
        <v>150</v>
      </c>
      <c r="S108" s="35">
        <f>PLANPRODUCCION[[#This Row],[PRECIO MAQUILAS]]*PLANPRODUCCION[[#This Row],[PIEZAS REAL]]</f>
        <v>600</v>
      </c>
      <c r="T10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0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0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10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228</v>
      </c>
      <c r="X108" s="8"/>
      <c r="Y10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0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0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08" s="13" t="e">
        <f>IF(PLANPRODUCCION[[#This Row],[PIEZAS REAL]]&gt;0,PLANPRODUCCION[[#This Row],[PIEZAS REAL]]/PLANPRODUCCION[[#This Row],[PIEZAS ACTUALIZADO]],)</f>
        <v>#DIV/0!</v>
      </c>
      <c r="AC108" s="10" t="b">
        <f>PLANPRODUCCION[[#This Row],[INGRESO PLANEADO]]&lt;PLANPRODUCCION[[#This Row],[COSTO PLANEADO]]</f>
        <v>0</v>
      </c>
      <c r="AD108" t="s">
        <v>202</v>
      </c>
      <c r="AE108" s="10"/>
      <c r="AF108" s="10" t="b">
        <f>IF(COUNTIF(PLANPRODUCCION[[#This Row],[OBSERVACIONES]],"NO APLICA BONO*")&gt;0,TRUE,FALSE)</f>
        <v>0</v>
      </c>
    </row>
    <row r="109" spans="1:32" x14ac:dyDescent="0.25">
      <c r="A109" s="46" t="str">
        <f>UPPER(IF(PLANPRODUCCION[[#This Row],[FECHA]]&lt;=45701,_xlfn.CONCAT(TEXT(B109,"MMM"),"-",IF(ROW(A109)&lt;11,"000"&amp;ROW(A109)-1,IF(ROW(A109)&lt;101,"00"&amp;ROW(A109)-1,IF(ROW(A109)&lt;1001,"0"&amp;ROW(A109)-1,ROW(A109)-1))),"-OLD"),_xlfn.CONCAT(TEXT(B109,"MMM"),"-",IF(ROW(A109)&lt;473,"000"&amp;ROW(A109)-463,IF(ROW(A109)&lt;563,"00"&amp;ROW(A109)-463,IF(ROW(A109)&lt;1001,"0"&amp;ROW(A109)-463,ROW(A109)-463))))))</f>
        <v>ENE-0108-OLD</v>
      </c>
      <c r="B109" s="1">
        <v>45667</v>
      </c>
      <c r="C109" s="5"/>
      <c r="D109" s="5"/>
      <c r="E109" t="s">
        <v>67</v>
      </c>
      <c r="F109" s="32"/>
      <c r="G109" s="32"/>
      <c r="H109" s="5">
        <v>1527</v>
      </c>
      <c r="I109" t="s">
        <v>59</v>
      </c>
      <c r="J109" t="s">
        <v>193</v>
      </c>
      <c r="K109" s="5"/>
      <c r="L109" s="10" t="s">
        <v>57</v>
      </c>
      <c r="M109" s="49">
        <v>4</v>
      </c>
      <c r="N109" s="34">
        <f>PLANPRODUCCION[[#This Row],[PIEZAS PLANEADAS]]*PLANPRODUCCION[[#This Row],[PRECIO MAQUILAS]]</f>
        <v>0</v>
      </c>
      <c r="O109" s="5">
        <v>1</v>
      </c>
      <c r="P109" s="2">
        <v>0.54166666666666663</v>
      </c>
      <c r="Q109" s="2">
        <v>0.66666666666666663</v>
      </c>
      <c r="R109" s="24">
        <v>114</v>
      </c>
      <c r="S109" s="35">
        <f>PLANPRODUCCION[[#This Row],[PRECIO MAQUILAS]]*PLANPRODUCCION[[#This Row],[PIEZAS REAL]]</f>
        <v>456</v>
      </c>
      <c r="T10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0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0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</v>
      </c>
      <c r="W10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270</v>
      </c>
      <c r="X109" s="8"/>
      <c r="Y10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0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0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09" s="13" t="e">
        <f>IF(PLANPRODUCCION[[#This Row],[PIEZAS REAL]]&gt;0,PLANPRODUCCION[[#This Row],[PIEZAS REAL]]/PLANPRODUCCION[[#This Row],[PIEZAS ACTUALIZADO]],)</f>
        <v>#DIV/0!</v>
      </c>
      <c r="AC109" s="10" t="b">
        <f>PLANPRODUCCION[[#This Row],[INGRESO PLANEADO]]&lt;PLANPRODUCCION[[#This Row],[COSTO PLANEADO]]</f>
        <v>0</v>
      </c>
      <c r="AD109" t="s">
        <v>203</v>
      </c>
      <c r="AE109" s="10"/>
      <c r="AF109" s="10" t="b">
        <f>IF(COUNTIF(PLANPRODUCCION[[#This Row],[OBSERVACIONES]],"NO APLICA BONO*")&gt;0,TRUE,FALSE)</f>
        <v>0</v>
      </c>
    </row>
    <row r="110" spans="1:32" x14ac:dyDescent="0.25">
      <c r="A110" s="46" t="str">
        <f>UPPER(IF(PLANPRODUCCION[[#This Row],[FECHA]]&lt;=45701,_xlfn.CONCAT(TEXT(B110,"MMM"),"-",IF(ROW(A110)&lt;11,"000"&amp;ROW(A110)-1,IF(ROW(A110)&lt;101,"00"&amp;ROW(A110)-1,IF(ROW(A110)&lt;1001,"0"&amp;ROW(A110)-1,ROW(A110)-1))),"-OLD"),_xlfn.CONCAT(TEXT(B110,"MMM"),"-",IF(ROW(A110)&lt;473,"000"&amp;ROW(A110)-463,IF(ROW(A110)&lt;563,"00"&amp;ROW(A110)-463,IF(ROW(A110)&lt;1001,"0"&amp;ROW(A110)-463,ROW(A110)-463))))))</f>
        <v>ENE-0109-OLD</v>
      </c>
      <c r="B110" s="1">
        <v>45667</v>
      </c>
      <c r="C110" s="5"/>
      <c r="D110" s="5"/>
      <c r="E110" t="s">
        <v>67</v>
      </c>
      <c r="F110" s="32"/>
      <c r="G110" s="32"/>
      <c r="H110" s="5">
        <v>1530</v>
      </c>
      <c r="I110" t="s">
        <v>204</v>
      </c>
      <c r="J110" t="s">
        <v>205</v>
      </c>
      <c r="K110" s="5"/>
      <c r="L110" s="10" t="s">
        <v>65</v>
      </c>
      <c r="M110" s="49">
        <v>1.4</v>
      </c>
      <c r="N110" s="34">
        <f>PLANPRODUCCION[[#This Row],[PIEZAS PLANEADAS]]*PLANPRODUCCION[[#This Row],[PRECIO MAQUILAS]]</f>
        <v>0</v>
      </c>
      <c r="O110" s="5">
        <v>1</v>
      </c>
      <c r="P110" s="2">
        <v>0.54166666666666663</v>
      </c>
      <c r="Q110" s="2">
        <v>0.66666666666666663</v>
      </c>
      <c r="R110" s="24">
        <v>1203</v>
      </c>
      <c r="S110" s="35">
        <f>PLANPRODUCCION[[#This Row],[PRECIO MAQUILAS]]*PLANPRODUCCION[[#This Row],[PIEZAS REAL]]</f>
        <v>1684.1999999999998</v>
      </c>
      <c r="T11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1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1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</v>
      </c>
      <c r="W11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1498.1999999999998</v>
      </c>
      <c r="X110" s="8"/>
      <c r="Y11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1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1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10" s="13" t="e">
        <f>IF(PLANPRODUCCION[[#This Row],[PIEZAS REAL]]&gt;0,PLANPRODUCCION[[#This Row],[PIEZAS REAL]]/PLANPRODUCCION[[#This Row],[PIEZAS ACTUALIZADO]],)</f>
        <v>#DIV/0!</v>
      </c>
      <c r="AC110" s="10" t="b">
        <f>PLANPRODUCCION[[#This Row],[INGRESO PLANEADO]]&lt;PLANPRODUCCION[[#This Row],[COSTO PLANEADO]]</f>
        <v>0</v>
      </c>
      <c r="AD110" t="s">
        <v>206</v>
      </c>
      <c r="AE110" s="10"/>
      <c r="AF110" s="10" t="b">
        <f>IF(COUNTIF(PLANPRODUCCION[[#This Row],[OBSERVACIONES]],"NO APLICA BONO*")&gt;0,TRUE,FALSE)</f>
        <v>0</v>
      </c>
    </row>
    <row r="111" spans="1:32" x14ac:dyDescent="0.25">
      <c r="A111" s="46" t="str">
        <f>UPPER(IF(PLANPRODUCCION[[#This Row],[FECHA]]&lt;=45701,_xlfn.CONCAT(TEXT(B111,"MMM"),"-",IF(ROW(A111)&lt;11,"000"&amp;ROW(A111)-1,IF(ROW(A111)&lt;101,"00"&amp;ROW(A111)-1,IF(ROW(A111)&lt;1001,"0"&amp;ROW(A111)-1,ROW(A111)-1))),"-OLD"),_xlfn.CONCAT(TEXT(B111,"MMM"),"-",IF(ROW(A111)&lt;473,"000"&amp;ROW(A111)-463,IF(ROW(A111)&lt;563,"00"&amp;ROW(A111)-463,IF(ROW(A111)&lt;1001,"0"&amp;ROW(A111)-463,ROW(A111)-463))))))</f>
        <v>ENE-0110-OLD</v>
      </c>
      <c r="B111" s="1">
        <v>45667</v>
      </c>
      <c r="C111" s="5"/>
      <c r="D111" s="5"/>
      <c r="E111" t="s">
        <v>67</v>
      </c>
      <c r="F111" s="32"/>
      <c r="G111" s="32"/>
      <c r="H111" s="5">
        <v>1527</v>
      </c>
      <c r="I111" t="s">
        <v>59</v>
      </c>
      <c r="J111" t="s">
        <v>193</v>
      </c>
      <c r="K111" s="5"/>
      <c r="L111" s="10" t="s">
        <v>57</v>
      </c>
      <c r="M111" s="49">
        <v>4</v>
      </c>
      <c r="N111" s="34">
        <f>PLANPRODUCCION[[#This Row],[PIEZAS PLANEADAS]]*PLANPRODUCCION[[#This Row],[PRECIO MAQUILAS]]</f>
        <v>0</v>
      </c>
      <c r="O111" s="5">
        <v>1</v>
      </c>
      <c r="P111" s="2">
        <v>0.66666666666666663</v>
      </c>
      <c r="Q111" s="2">
        <v>0.75</v>
      </c>
      <c r="R111" s="24">
        <v>800</v>
      </c>
      <c r="S111" s="35">
        <f>PLANPRODUCCION[[#This Row],[PRECIO MAQUILAS]]*PLANPRODUCCION[[#This Row],[PIEZAS REAL]]</f>
        <v>3200</v>
      </c>
      <c r="T11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1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1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</v>
      </c>
      <c r="W11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3076</v>
      </c>
      <c r="X111" s="8"/>
      <c r="Y11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1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1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11" s="13" t="e">
        <f>IF(PLANPRODUCCION[[#This Row],[PIEZAS REAL]]&gt;0,PLANPRODUCCION[[#This Row],[PIEZAS REAL]]/PLANPRODUCCION[[#This Row],[PIEZAS ACTUALIZADO]],)</f>
        <v>#DIV/0!</v>
      </c>
      <c r="AC111" s="10" t="b">
        <f>PLANPRODUCCION[[#This Row],[INGRESO PLANEADO]]&lt;PLANPRODUCCION[[#This Row],[COSTO PLANEADO]]</f>
        <v>0</v>
      </c>
      <c r="AD111" t="s">
        <v>207</v>
      </c>
      <c r="AE111" s="10"/>
      <c r="AF111" s="10" t="b">
        <f>IF(COUNTIF(PLANPRODUCCION[[#This Row],[OBSERVACIONES]],"NO APLICA BONO*")&gt;0,TRUE,FALSE)</f>
        <v>0</v>
      </c>
    </row>
    <row r="112" spans="1:32" x14ac:dyDescent="0.25">
      <c r="A112" s="46" t="str">
        <f>UPPER(IF(PLANPRODUCCION[[#This Row],[FECHA]]&lt;=45701,_xlfn.CONCAT(TEXT(B112,"MMM"),"-",IF(ROW(A112)&lt;11,"000"&amp;ROW(A112)-1,IF(ROW(A112)&lt;101,"00"&amp;ROW(A112)-1,IF(ROW(A112)&lt;1001,"0"&amp;ROW(A112)-1,ROW(A112)-1))),"-OLD"),_xlfn.CONCAT(TEXT(B112,"MMM"),"-",IF(ROW(A112)&lt;473,"000"&amp;ROW(A112)-463,IF(ROW(A112)&lt;563,"00"&amp;ROW(A112)-463,IF(ROW(A112)&lt;1001,"0"&amp;ROW(A112)-463,ROW(A112)-463))))))</f>
        <v>ENE-0111-OLD</v>
      </c>
      <c r="B112" s="1">
        <v>45667</v>
      </c>
      <c r="C112" s="5"/>
      <c r="D112" s="5"/>
      <c r="E112" t="s">
        <v>110</v>
      </c>
      <c r="F112" s="32"/>
      <c r="G112" s="32"/>
      <c r="H112" s="5">
        <v>1527</v>
      </c>
      <c r="I112" t="s">
        <v>59</v>
      </c>
      <c r="J112" t="s">
        <v>193</v>
      </c>
      <c r="K112" s="5"/>
      <c r="L112" s="10" t="s">
        <v>57</v>
      </c>
      <c r="M112" s="49">
        <v>4</v>
      </c>
      <c r="N112" s="34">
        <f>PLANPRODUCCION[[#This Row],[PIEZAS PLANEADAS]]*PLANPRODUCCION[[#This Row],[PRECIO MAQUILAS]]</f>
        <v>0</v>
      </c>
      <c r="O112" s="5">
        <v>1</v>
      </c>
      <c r="P112" s="2">
        <v>0.54166666666666663</v>
      </c>
      <c r="Q112" s="2">
        <v>0.86111111111111116</v>
      </c>
      <c r="R112" s="24">
        <v>1200</v>
      </c>
      <c r="S112" s="35">
        <f>PLANPRODUCCION[[#This Row],[PRECIO MAQUILAS]]*PLANPRODUCCION[[#This Row],[PIEZAS REAL]]</f>
        <v>4800</v>
      </c>
      <c r="T11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1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1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594.16666666666663</v>
      </c>
      <c r="W11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4205.833333333333</v>
      </c>
      <c r="X112" s="8"/>
      <c r="Y11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1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1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12" s="13" t="e">
        <f>IF(PLANPRODUCCION[[#This Row],[PIEZAS REAL]]&gt;0,PLANPRODUCCION[[#This Row],[PIEZAS REAL]]/PLANPRODUCCION[[#This Row],[PIEZAS ACTUALIZADO]],)</f>
        <v>#DIV/0!</v>
      </c>
      <c r="AC112" s="10" t="b">
        <f>PLANPRODUCCION[[#This Row],[INGRESO PLANEADO]]&lt;PLANPRODUCCION[[#This Row],[COSTO PLANEADO]]</f>
        <v>0</v>
      </c>
      <c r="AD112" t="s">
        <v>208</v>
      </c>
      <c r="AE112" s="10"/>
      <c r="AF112" s="10" t="b">
        <f>IF(COUNTIF(PLANPRODUCCION[[#This Row],[OBSERVACIONES]],"NO APLICA BONO*")&gt;0,TRUE,FALSE)</f>
        <v>0</v>
      </c>
    </row>
    <row r="113" spans="1:32" x14ac:dyDescent="0.25">
      <c r="A113" s="46" t="str">
        <f>UPPER(IF(PLANPRODUCCION[[#This Row],[FECHA]]&lt;=45701,_xlfn.CONCAT(TEXT(B113,"MMM"),"-",IF(ROW(A113)&lt;11,"000"&amp;ROW(A113)-1,IF(ROW(A113)&lt;101,"00"&amp;ROW(A113)-1,IF(ROW(A113)&lt;1001,"0"&amp;ROW(A113)-1,ROW(A113)-1))),"-OLD"),_xlfn.CONCAT(TEXT(B113,"MMM"),"-",IF(ROW(A113)&lt;473,"000"&amp;ROW(A113)-463,IF(ROW(A113)&lt;563,"00"&amp;ROW(A113)-463,IF(ROW(A113)&lt;1001,"0"&amp;ROW(A113)-463,ROW(A113)-463))))))</f>
        <v>ENE-0112-OLD</v>
      </c>
      <c r="B113" s="1">
        <v>45667</v>
      </c>
      <c r="C113" s="5"/>
      <c r="D113" s="5"/>
      <c r="E113" t="s">
        <v>110</v>
      </c>
      <c r="F113" s="32"/>
      <c r="G113" s="32"/>
      <c r="H113" s="5">
        <v>1527</v>
      </c>
      <c r="I113" t="s">
        <v>59</v>
      </c>
      <c r="J113" t="s">
        <v>193</v>
      </c>
      <c r="K113" s="5"/>
      <c r="L113" s="10" t="s">
        <v>57</v>
      </c>
      <c r="M113" s="49">
        <v>4</v>
      </c>
      <c r="N113" s="34">
        <f>PLANPRODUCCION[[#This Row],[PIEZAS PLANEADAS]]*PLANPRODUCCION[[#This Row],[PRECIO MAQUILAS]]</f>
        <v>0</v>
      </c>
      <c r="O113" s="5">
        <v>1</v>
      </c>
      <c r="P113" s="2">
        <v>0.54166666666666663</v>
      </c>
      <c r="Q113" s="2">
        <v>0.86111111111111116</v>
      </c>
      <c r="R113" s="24">
        <v>1374</v>
      </c>
      <c r="S113" s="35">
        <f>PLANPRODUCCION[[#This Row],[PRECIO MAQUILAS]]*PLANPRODUCCION[[#This Row],[PIEZAS REAL]]</f>
        <v>5496</v>
      </c>
      <c r="T11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1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1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594.16666666666663</v>
      </c>
      <c r="W11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4901.833333333333</v>
      </c>
      <c r="X113" s="8"/>
      <c r="Y11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1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1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13" s="13" t="e">
        <f>IF(PLANPRODUCCION[[#This Row],[PIEZAS REAL]]&gt;0,PLANPRODUCCION[[#This Row],[PIEZAS REAL]]/PLANPRODUCCION[[#This Row],[PIEZAS ACTUALIZADO]],)</f>
        <v>#DIV/0!</v>
      </c>
      <c r="AC113" s="10" t="b">
        <f>PLANPRODUCCION[[#This Row],[INGRESO PLANEADO]]&lt;PLANPRODUCCION[[#This Row],[COSTO PLANEADO]]</f>
        <v>0</v>
      </c>
      <c r="AD113" t="s">
        <v>209</v>
      </c>
      <c r="AE113" s="10"/>
      <c r="AF113" s="10" t="b">
        <f>IF(COUNTIF(PLANPRODUCCION[[#This Row],[OBSERVACIONES]],"NO APLICA BONO*")&gt;0,TRUE,FALSE)</f>
        <v>0</v>
      </c>
    </row>
    <row r="114" spans="1:32" x14ac:dyDescent="0.25">
      <c r="A114" s="46" t="str">
        <f>UPPER(IF(PLANPRODUCCION[[#This Row],[FECHA]]&lt;=45701,_xlfn.CONCAT(TEXT(B114,"MMM"),"-",IF(ROW(A114)&lt;11,"000"&amp;ROW(A114)-1,IF(ROW(A114)&lt;101,"00"&amp;ROW(A114)-1,IF(ROW(A114)&lt;1001,"0"&amp;ROW(A114)-1,ROW(A114)-1))),"-OLD"),_xlfn.CONCAT(TEXT(B114,"MMM"),"-",IF(ROW(A114)&lt;473,"000"&amp;ROW(A114)-463,IF(ROW(A114)&lt;563,"00"&amp;ROW(A114)-463,IF(ROW(A114)&lt;1001,"0"&amp;ROW(A114)-463,ROW(A114)-463))))))</f>
        <v>ENE-0113-OLD</v>
      </c>
      <c r="B114" s="1">
        <v>45667</v>
      </c>
      <c r="C114" s="5"/>
      <c r="D114" s="5"/>
      <c r="E114" t="s">
        <v>72</v>
      </c>
      <c r="F114" s="32"/>
      <c r="G114" s="32"/>
      <c r="H114" s="5">
        <v>1527</v>
      </c>
      <c r="I114" t="s">
        <v>59</v>
      </c>
      <c r="J114" t="s">
        <v>193</v>
      </c>
      <c r="K114" s="5"/>
      <c r="L114" s="10" t="s">
        <v>57</v>
      </c>
      <c r="M114" s="49">
        <v>4</v>
      </c>
      <c r="N114" s="34">
        <f>PLANPRODUCCION[[#This Row],[PIEZAS PLANEADAS]]*PLANPRODUCCION[[#This Row],[PRECIO MAQUILAS]]</f>
        <v>0</v>
      </c>
      <c r="O114" s="5">
        <v>2</v>
      </c>
      <c r="P114" s="2">
        <v>0.66666666666666663</v>
      </c>
      <c r="Q114" s="2">
        <v>0.86111111111111116</v>
      </c>
      <c r="R114" s="24">
        <v>306</v>
      </c>
      <c r="S114" s="35">
        <f>PLANPRODUCCION[[#This Row],[PRECIO MAQUILAS]]*PLANPRODUCCION[[#This Row],[PIEZAS REAL]]</f>
        <v>1224</v>
      </c>
      <c r="T11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1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1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578.66666666666663</v>
      </c>
      <c r="W11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645.33333333333337</v>
      </c>
      <c r="X114" s="8"/>
      <c r="Y11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1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1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14" s="13" t="e">
        <f>IF(PLANPRODUCCION[[#This Row],[PIEZAS REAL]]&gt;0,PLANPRODUCCION[[#This Row],[PIEZAS REAL]]/PLANPRODUCCION[[#This Row],[PIEZAS ACTUALIZADO]],)</f>
        <v>#DIV/0!</v>
      </c>
      <c r="AC114" s="10" t="b">
        <f>PLANPRODUCCION[[#This Row],[INGRESO PLANEADO]]&lt;PLANPRODUCCION[[#This Row],[COSTO PLANEADO]]</f>
        <v>0</v>
      </c>
      <c r="AD114" t="s">
        <v>210</v>
      </c>
      <c r="AE114" s="10"/>
      <c r="AF114" s="10" t="b">
        <f>IF(COUNTIF(PLANPRODUCCION[[#This Row],[OBSERVACIONES]],"NO APLICA BONO*")&gt;0,TRUE,FALSE)</f>
        <v>0</v>
      </c>
    </row>
    <row r="115" spans="1:32" x14ac:dyDescent="0.25">
      <c r="A115" s="46" t="str">
        <f>UPPER(IF(PLANPRODUCCION[[#This Row],[FECHA]]&lt;=45701,_xlfn.CONCAT(TEXT(B115,"MMM"),"-",IF(ROW(A115)&lt;11,"000"&amp;ROW(A115)-1,IF(ROW(A115)&lt;101,"00"&amp;ROW(A115)-1,IF(ROW(A115)&lt;1001,"0"&amp;ROW(A115)-1,ROW(A115)-1))),"-OLD"),_xlfn.CONCAT(TEXT(B115,"MMM"),"-",IF(ROW(A115)&lt;473,"000"&amp;ROW(A115)-463,IF(ROW(A115)&lt;563,"00"&amp;ROW(A115)-463,IF(ROW(A115)&lt;1001,"0"&amp;ROW(A115)-463,ROW(A115)-463))))))</f>
        <v>ENE-0114-OLD</v>
      </c>
      <c r="B115" s="1">
        <v>45667</v>
      </c>
      <c r="C115" s="5"/>
      <c r="D115" s="5"/>
      <c r="E115" t="s">
        <v>72</v>
      </c>
      <c r="F115" s="32"/>
      <c r="G115" s="32"/>
      <c r="H115" s="5">
        <v>1527</v>
      </c>
      <c r="I115" t="s">
        <v>59</v>
      </c>
      <c r="J115" t="s">
        <v>193</v>
      </c>
      <c r="K115" s="5"/>
      <c r="L115" s="10" t="s">
        <v>57</v>
      </c>
      <c r="M115" s="49">
        <v>4</v>
      </c>
      <c r="N115" s="34">
        <f>PLANPRODUCCION[[#This Row],[PIEZAS PLANEADAS]]*PLANPRODUCCION[[#This Row],[PRECIO MAQUILAS]]</f>
        <v>0</v>
      </c>
      <c r="O115" s="5">
        <v>2</v>
      </c>
      <c r="P115" s="2">
        <v>0.66666666666666663</v>
      </c>
      <c r="Q115" s="2">
        <v>0.86111111111111116</v>
      </c>
      <c r="R115" s="24">
        <v>356</v>
      </c>
      <c r="S115" s="35">
        <f>PLANPRODUCCION[[#This Row],[PRECIO MAQUILAS]]*PLANPRODUCCION[[#This Row],[PIEZAS REAL]]</f>
        <v>1424</v>
      </c>
      <c r="T11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1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1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578.66666666666663</v>
      </c>
      <c r="W11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845.33333333333337</v>
      </c>
      <c r="X115" s="8"/>
      <c r="Y11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1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1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15" s="13" t="e">
        <f>IF(PLANPRODUCCION[[#This Row],[PIEZAS REAL]]&gt;0,PLANPRODUCCION[[#This Row],[PIEZAS REAL]]/PLANPRODUCCION[[#This Row],[PIEZAS ACTUALIZADO]],)</f>
        <v>#DIV/0!</v>
      </c>
      <c r="AC115" s="10" t="b">
        <f>PLANPRODUCCION[[#This Row],[INGRESO PLANEADO]]&lt;PLANPRODUCCION[[#This Row],[COSTO PLANEADO]]</f>
        <v>0</v>
      </c>
      <c r="AD115" t="s">
        <v>211</v>
      </c>
      <c r="AE115" s="10"/>
      <c r="AF115" s="10" t="b">
        <f>IF(COUNTIF(PLANPRODUCCION[[#This Row],[OBSERVACIONES]],"NO APLICA BONO*")&gt;0,TRUE,FALSE)</f>
        <v>0</v>
      </c>
    </row>
    <row r="116" spans="1:32" x14ac:dyDescent="0.25">
      <c r="A116" s="46" t="str">
        <f>UPPER(IF(PLANPRODUCCION[[#This Row],[FECHA]]&lt;=45701,_xlfn.CONCAT(TEXT(B116,"MMM"),"-",IF(ROW(A116)&lt;11,"000"&amp;ROW(A116)-1,IF(ROW(A116)&lt;101,"00"&amp;ROW(A116)-1,IF(ROW(A116)&lt;1001,"0"&amp;ROW(A116)-1,ROW(A116)-1))),"-OLD"),_xlfn.CONCAT(TEXT(B116,"MMM"),"-",IF(ROW(A116)&lt;473,"000"&amp;ROW(A116)-463,IF(ROW(A116)&lt;563,"00"&amp;ROW(A116)-463,IF(ROW(A116)&lt;1001,"0"&amp;ROW(A116)-463,ROW(A116)-463))))))</f>
        <v>ENE-0115-OLD</v>
      </c>
      <c r="B116" s="1">
        <v>45667</v>
      </c>
      <c r="C116" s="5"/>
      <c r="D116" s="5"/>
      <c r="E116" t="s">
        <v>72</v>
      </c>
      <c r="F116" s="32"/>
      <c r="G116" s="32"/>
      <c r="H116" s="5">
        <v>1527</v>
      </c>
      <c r="I116" t="s">
        <v>59</v>
      </c>
      <c r="J116" t="s">
        <v>193</v>
      </c>
      <c r="K116" s="5"/>
      <c r="L116" s="10" t="s">
        <v>57</v>
      </c>
      <c r="M116" s="49">
        <v>4</v>
      </c>
      <c r="N116" s="34">
        <f>PLANPRODUCCION[[#This Row],[PIEZAS PLANEADAS]]*PLANPRODUCCION[[#This Row],[PRECIO MAQUILAS]]</f>
        <v>0</v>
      </c>
      <c r="O116" s="5">
        <v>1</v>
      </c>
      <c r="P116" s="2">
        <v>0.66666666666666663</v>
      </c>
      <c r="Q116" s="2">
        <v>0.86111111111111116</v>
      </c>
      <c r="R116" s="24">
        <v>315</v>
      </c>
      <c r="S116" s="35">
        <f>PLANPRODUCCION[[#This Row],[PRECIO MAQUILAS]]*PLANPRODUCCION[[#This Row],[PIEZAS REAL]]</f>
        <v>1260</v>
      </c>
      <c r="T11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1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1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289.33333333333331</v>
      </c>
      <c r="W11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970.66666666666674</v>
      </c>
      <c r="X116" s="8"/>
      <c r="Y11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1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1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16" s="13" t="e">
        <f>IF(PLANPRODUCCION[[#This Row],[PIEZAS REAL]]&gt;0,PLANPRODUCCION[[#This Row],[PIEZAS REAL]]/PLANPRODUCCION[[#This Row],[PIEZAS ACTUALIZADO]],)</f>
        <v>#DIV/0!</v>
      </c>
      <c r="AC116" s="10" t="b">
        <f>PLANPRODUCCION[[#This Row],[INGRESO PLANEADO]]&lt;PLANPRODUCCION[[#This Row],[COSTO PLANEADO]]</f>
        <v>0</v>
      </c>
      <c r="AD116" t="s">
        <v>212</v>
      </c>
      <c r="AE116" s="10"/>
      <c r="AF116" s="10" t="b">
        <f>IF(COUNTIF(PLANPRODUCCION[[#This Row],[OBSERVACIONES]],"NO APLICA BONO*")&gt;0,TRUE,FALSE)</f>
        <v>0</v>
      </c>
    </row>
    <row r="117" spans="1:32" x14ac:dyDescent="0.25">
      <c r="A117" s="46" t="str">
        <f>UPPER(IF(PLANPRODUCCION[[#This Row],[FECHA]]&lt;=45701,_xlfn.CONCAT(TEXT(B117,"MMM"),"-",IF(ROW(A117)&lt;11,"000"&amp;ROW(A117)-1,IF(ROW(A117)&lt;101,"00"&amp;ROW(A117)-1,IF(ROW(A117)&lt;1001,"0"&amp;ROW(A117)-1,ROW(A117)-1))),"-OLD"),_xlfn.CONCAT(TEXT(B117,"MMM"),"-",IF(ROW(A117)&lt;473,"000"&amp;ROW(A117)-463,IF(ROW(A117)&lt;563,"00"&amp;ROW(A117)-463,IF(ROW(A117)&lt;1001,"0"&amp;ROW(A117)-463,ROW(A117)-463))))))</f>
        <v>ENE-0116-OLD</v>
      </c>
      <c r="B117" s="1">
        <v>45667</v>
      </c>
      <c r="C117" s="5"/>
      <c r="D117" s="5"/>
      <c r="E117" t="s">
        <v>72</v>
      </c>
      <c r="F117" s="32"/>
      <c r="G117" s="32"/>
      <c r="H117" s="5">
        <v>1527</v>
      </c>
      <c r="I117" t="s">
        <v>59</v>
      </c>
      <c r="J117" t="s">
        <v>193</v>
      </c>
      <c r="K117" s="5"/>
      <c r="L117" s="10" t="s">
        <v>57</v>
      </c>
      <c r="M117" s="49">
        <v>4</v>
      </c>
      <c r="N117" s="34">
        <f>PLANPRODUCCION[[#This Row],[PIEZAS PLANEADAS]]*PLANPRODUCCION[[#This Row],[PRECIO MAQUILAS]]</f>
        <v>0</v>
      </c>
      <c r="O117" s="5">
        <v>2</v>
      </c>
      <c r="P117" s="2">
        <v>0.66666666666666663</v>
      </c>
      <c r="Q117" s="2">
        <v>0.86111111111111116</v>
      </c>
      <c r="R117" s="24">
        <v>0</v>
      </c>
      <c r="S117" s="35">
        <f>PLANPRODUCCION[[#This Row],[PRECIO MAQUILAS]]*PLANPRODUCCION[[#This Row],[PIEZAS REAL]]</f>
        <v>0</v>
      </c>
      <c r="T11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1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1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578.66666666666663</v>
      </c>
      <c r="W11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-578.66666666666663</v>
      </c>
      <c r="X117" s="8"/>
      <c r="Y11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1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17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117" s="13">
        <f>IF(PLANPRODUCCION[[#This Row],[PIEZAS REAL]]&gt;0,PLANPRODUCCION[[#This Row],[PIEZAS REAL]]/PLANPRODUCCION[[#This Row],[PIEZAS ACTUALIZADO]],)</f>
        <v>0</v>
      </c>
      <c r="AC117" s="10" t="b">
        <f>PLANPRODUCCION[[#This Row],[INGRESO PLANEADO]]&lt;PLANPRODUCCION[[#This Row],[COSTO PLANEADO]]</f>
        <v>0</v>
      </c>
      <c r="AD117" t="s">
        <v>213</v>
      </c>
      <c r="AE117" s="10"/>
      <c r="AF117" s="10" t="b">
        <f>IF(COUNTIF(PLANPRODUCCION[[#This Row],[OBSERVACIONES]],"NO APLICA BONO*")&gt;0,TRUE,FALSE)</f>
        <v>0</v>
      </c>
    </row>
    <row r="118" spans="1:32" x14ac:dyDescent="0.25">
      <c r="A118" s="46" t="str">
        <f>UPPER(IF(PLANPRODUCCION[[#This Row],[FECHA]]&lt;=45701,_xlfn.CONCAT(TEXT(B118,"MMM"),"-",IF(ROW(A118)&lt;11,"000"&amp;ROW(A118)-1,IF(ROW(A118)&lt;101,"00"&amp;ROW(A118)-1,IF(ROW(A118)&lt;1001,"0"&amp;ROW(A118)-1,ROW(A118)-1))),"-OLD"),_xlfn.CONCAT(TEXT(B118,"MMM"),"-",IF(ROW(A118)&lt;473,"000"&amp;ROW(A118)-463,IF(ROW(A118)&lt;563,"00"&amp;ROW(A118)-463,IF(ROW(A118)&lt;1001,"0"&amp;ROW(A118)-463,ROW(A118)-463))))))</f>
        <v>ENE-0117-OLD</v>
      </c>
      <c r="B118" s="1">
        <v>45667</v>
      </c>
      <c r="C118" s="5"/>
      <c r="D118" s="5"/>
      <c r="E118" t="s">
        <v>72</v>
      </c>
      <c r="F118" s="32"/>
      <c r="G118" s="32"/>
      <c r="H118" s="5">
        <v>1527</v>
      </c>
      <c r="I118" t="s">
        <v>59</v>
      </c>
      <c r="J118" t="s">
        <v>193</v>
      </c>
      <c r="K118" s="5"/>
      <c r="L118" s="10" t="s">
        <v>57</v>
      </c>
      <c r="M118" s="49">
        <v>4</v>
      </c>
      <c r="N118" s="34">
        <f>PLANPRODUCCION[[#This Row],[PIEZAS PLANEADAS]]*PLANPRODUCCION[[#This Row],[PRECIO MAQUILAS]]</f>
        <v>0</v>
      </c>
      <c r="O118" s="5">
        <v>1</v>
      </c>
      <c r="P118" s="2">
        <v>0.875</v>
      </c>
      <c r="Q118" s="2">
        <v>0.91666666666666663</v>
      </c>
      <c r="R118" s="24">
        <v>120</v>
      </c>
      <c r="S118" s="35">
        <f>PLANPRODUCCION[[#This Row],[PRECIO MAQUILAS]]*PLANPRODUCCION[[#This Row],[PIEZAS REAL]]</f>
        <v>480</v>
      </c>
      <c r="T11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1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1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</v>
      </c>
      <c r="W11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418</v>
      </c>
      <c r="X118" s="8"/>
      <c r="Y11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1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1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18" s="13" t="e">
        <f>IF(PLANPRODUCCION[[#This Row],[PIEZAS REAL]]&gt;0,PLANPRODUCCION[[#This Row],[PIEZAS REAL]]/PLANPRODUCCION[[#This Row],[PIEZAS ACTUALIZADO]],)</f>
        <v>#DIV/0!</v>
      </c>
      <c r="AC118" s="10" t="b">
        <f>PLANPRODUCCION[[#This Row],[INGRESO PLANEADO]]&lt;PLANPRODUCCION[[#This Row],[COSTO PLANEADO]]</f>
        <v>0</v>
      </c>
      <c r="AD118" t="s">
        <v>214</v>
      </c>
      <c r="AE118" s="10"/>
      <c r="AF118" s="10" t="b">
        <f>IF(COUNTIF(PLANPRODUCCION[[#This Row],[OBSERVACIONES]],"NO APLICA BONO*")&gt;0,TRUE,FALSE)</f>
        <v>0</v>
      </c>
    </row>
    <row r="119" spans="1:32" x14ac:dyDescent="0.25">
      <c r="A119" s="46" t="str">
        <f>UPPER(IF(PLANPRODUCCION[[#This Row],[FECHA]]&lt;=45701,_xlfn.CONCAT(TEXT(B119,"MMM"),"-",IF(ROW(A119)&lt;11,"000"&amp;ROW(A119)-1,IF(ROW(A119)&lt;101,"00"&amp;ROW(A119)-1,IF(ROW(A119)&lt;1001,"0"&amp;ROW(A119)-1,ROW(A119)-1))),"-OLD"),_xlfn.CONCAT(TEXT(B119,"MMM"),"-",IF(ROW(A119)&lt;473,"000"&amp;ROW(A119)-463,IF(ROW(A119)&lt;563,"00"&amp;ROW(A119)-463,IF(ROW(A119)&lt;1001,"0"&amp;ROW(A119)-463,ROW(A119)-463))))))</f>
        <v>ENE-0118-OLD</v>
      </c>
      <c r="B119" s="1">
        <v>45667</v>
      </c>
      <c r="C119" s="5"/>
      <c r="D119" s="5"/>
      <c r="E119" t="s">
        <v>75</v>
      </c>
      <c r="F119" s="32"/>
      <c r="G119" s="32"/>
      <c r="H119" s="5">
        <v>1525</v>
      </c>
      <c r="I119" t="s">
        <v>197</v>
      </c>
      <c r="J119" t="s">
        <v>198</v>
      </c>
      <c r="K119" s="5"/>
      <c r="L119" s="10" t="s">
        <v>57</v>
      </c>
      <c r="M119" s="49">
        <v>2</v>
      </c>
      <c r="N119" s="34">
        <f>PLANPRODUCCION[[#This Row],[PIEZAS PLANEADAS]]*PLANPRODUCCION[[#This Row],[PRECIO MAQUILAS]]</f>
        <v>0</v>
      </c>
      <c r="O119" s="5">
        <v>4</v>
      </c>
      <c r="P119" s="2">
        <v>0.16666666666666666</v>
      </c>
      <c r="Q119" s="2">
        <v>0.24305555555555555</v>
      </c>
      <c r="R119" s="24">
        <v>500</v>
      </c>
      <c r="S119" s="35">
        <f>PLANPRODUCCION[[#This Row],[PRECIO MAQUILAS]]*PLANPRODUCCION[[#This Row],[PIEZAS REAL]]</f>
        <v>1000</v>
      </c>
      <c r="T11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1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1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611.11111111111109</v>
      </c>
      <c r="W11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388.88888888888891</v>
      </c>
      <c r="X119" s="8"/>
      <c r="Y11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1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1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19" s="13" t="e">
        <f>IF(PLANPRODUCCION[[#This Row],[PIEZAS REAL]]&gt;0,PLANPRODUCCION[[#This Row],[PIEZAS REAL]]/PLANPRODUCCION[[#This Row],[PIEZAS ACTUALIZADO]],)</f>
        <v>#DIV/0!</v>
      </c>
      <c r="AC119" s="10" t="b">
        <f>PLANPRODUCCION[[#This Row],[INGRESO PLANEADO]]&lt;PLANPRODUCCION[[#This Row],[COSTO PLANEADO]]</f>
        <v>0</v>
      </c>
      <c r="AD119" t="s">
        <v>215</v>
      </c>
      <c r="AE119" s="10"/>
      <c r="AF119" s="10" t="b">
        <f>IF(COUNTIF(PLANPRODUCCION[[#This Row],[OBSERVACIONES]],"NO APLICA BONO*")&gt;0,TRUE,FALSE)</f>
        <v>0</v>
      </c>
    </row>
    <row r="120" spans="1:32" x14ac:dyDescent="0.25">
      <c r="A120" s="46" t="str">
        <f>UPPER(IF(PLANPRODUCCION[[#This Row],[FECHA]]&lt;=45701,_xlfn.CONCAT(TEXT(B120,"MMM"),"-",IF(ROW(A120)&lt;11,"000"&amp;ROW(A120)-1,IF(ROW(A120)&lt;101,"00"&amp;ROW(A120)-1,IF(ROW(A120)&lt;1001,"0"&amp;ROW(A120)-1,ROW(A120)-1))),"-OLD"),_xlfn.CONCAT(TEXT(B120,"MMM"),"-",IF(ROW(A120)&lt;473,"000"&amp;ROW(A120)-463,IF(ROW(A120)&lt;563,"00"&amp;ROW(A120)-463,IF(ROW(A120)&lt;1001,"0"&amp;ROW(A120)-463,ROW(A120)-463))))))</f>
        <v>ENE-0119-OLD</v>
      </c>
      <c r="B120" s="1">
        <v>45670</v>
      </c>
      <c r="C120" s="5"/>
      <c r="D120" s="5"/>
      <c r="E120" t="s">
        <v>54</v>
      </c>
      <c r="F120" s="32"/>
      <c r="G120" s="32"/>
      <c r="H120" s="5">
        <v>1525</v>
      </c>
      <c r="I120" t="s">
        <v>197</v>
      </c>
      <c r="J120" t="s">
        <v>198</v>
      </c>
      <c r="K120" s="5"/>
      <c r="L120" s="10" t="s">
        <v>57</v>
      </c>
      <c r="M120" s="49">
        <v>2</v>
      </c>
      <c r="N120" s="34">
        <f>PLANPRODUCCION[[#This Row],[PIEZAS PLANEADAS]]*PLANPRODUCCION[[#This Row],[PRECIO MAQUILAS]]</f>
        <v>0</v>
      </c>
      <c r="O120" s="5">
        <v>3</v>
      </c>
      <c r="P120" s="2">
        <v>0.25</v>
      </c>
      <c r="Q120" s="2">
        <v>0.4375</v>
      </c>
      <c r="R120" s="24">
        <v>1350</v>
      </c>
      <c r="S120" s="35">
        <f>PLANPRODUCCION[[#This Row],[PRECIO MAQUILAS]]*PLANPRODUCCION[[#This Row],[PIEZAS REAL]]</f>
        <v>2700</v>
      </c>
      <c r="T12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2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2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837</v>
      </c>
      <c r="W12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1863</v>
      </c>
      <c r="X120" s="8"/>
      <c r="Y12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2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2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20" s="13" t="e">
        <f>IF(PLANPRODUCCION[[#This Row],[PIEZAS REAL]]&gt;0,PLANPRODUCCION[[#This Row],[PIEZAS REAL]]/PLANPRODUCCION[[#This Row],[PIEZAS ACTUALIZADO]],)</f>
        <v>#DIV/0!</v>
      </c>
      <c r="AC120" s="10" t="b">
        <f>PLANPRODUCCION[[#This Row],[INGRESO PLANEADO]]&lt;PLANPRODUCCION[[#This Row],[COSTO PLANEADO]]</f>
        <v>0</v>
      </c>
      <c r="AD120" t="s">
        <v>216</v>
      </c>
      <c r="AE120" s="10"/>
      <c r="AF120" s="10" t="b">
        <f>IF(COUNTIF(PLANPRODUCCION[[#This Row],[OBSERVACIONES]],"NO APLICA BONO*")&gt;0,TRUE,FALSE)</f>
        <v>0</v>
      </c>
    </row>
    <row r="121" spans="1:32" x14ac:dyDescent="0.25">
      <c r="A121" s="46" t="str">
        <f>UPPER(IF(PLANPRODUCCION[[#This Row],[FECHA]]&lt;=45701,_xlfn.CONCAT(TEXT(B121,"MMM"),"-",IF(ROW(A121)&lt;11,"000"&amp;ROW(A121)-1,IF(ROW(A121)&lt;101,"00"&amp;ROW(A121)-1,IF(ROW(A121)&lt;1001,"0"&amp;ROW(A121)-1,ROW(A121)-1))),"-OLD"),_xlfn.CONCAT(TEXT(B121,"MMM"),"-",IF(ROW(A121)&lt;473,"000"&amp;ROW(A121)-463,IF(ROW(A121)&lt;563,"00"&amp;ROW(A121)-463,IF(ROW(A121)&lt;1001,"0"&amp;ROW(A121)-463,ROW(A121)-463))))))</f>
        <v>ENE-0120-OLD</v>
      </c>
      <c r="B121" s="1">
        <v>45670</v>
      </c>
      <c r="C121" s="5"/>
      <c r="D121" s="5"/>
      <c r="E121" t="s">
        <v>54</v>
      </c>
      <c r="F121" s="32"/>
      <c r="G121" s="32"/>
      <c r="H121" s="5">
        <v>1525</v>
      </c>
      <c r="I121" t="s">
        <v>197</v>
      </c>
      <c r="J121" t="s">
        <v>198</v>
      </c>
      <c r="K121" s="5"/>
      <c r="L121" s="10" t="s">
        <v>57</v>
      </c>
      <c r="M121" s="49">
        <v>2</v>
      </c>
      <c r="N121" s="34">
        <f>PLANPRODUCCION[[#This Row],[PIEZAS PLANEADAS]]*PLANPRODUCCION[[#This Row],[PRECIO MAQUILAS]]</f>
        <v>0</v>
      </c>
      <c r="O121" s="5">
        <v>3</v>
      </c>
      <c r="P121" s="2">
        <v>0.25</v>
      </c>
      <c r="Q121" s="2">
        <v>0.52083333333333337</v>
      </c>
      <c r="R121" s="24">
        <v>1759</v>
      </c>
      <c r="S121" s="35">
        <f>PLANPRODUCCION[[#This Row],[PRECIO MAQUILAS]]*PLANPRODUCCION[[#This Row],[PIEZAS REAL]]</f>
        <v>3518</v>
      </c>
      <c r="T12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2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2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1209</v>
      </c>
      <c r="W12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2309</v>
      </c>
      <c r="X121" s="8"/>
      <c r="Y12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2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2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21" s="13" t="e">
        <f>IF(PLANPRODUCCION[[#This Row],[PIEZAS REAL]]&gt;0,PLANPRODUCCION[[#This Row],[PIEZAS REAL]]/PLANPRODUCCION[[#This Row],[PIEZAS ACTUALIZADO]],)</f>
        <v>#DIV/0!</v>
      </c>
      <c r="AC121" s="10" t="b">
        <f>PLANPRODUCCION[[#This Row],[INGRESO PLANEADO]]&lt;PLANPRODUCCION[[#This Row],[COSTO PLANEADO]]</f>
        <v>0</v>
      </c>
      <c r="AD121" t="s">
        <v>217</v>
      </c>
      <c r="AE121" s="10"/>
      <c r="AF121" s="10" t="b">
        <f>IF(COUNTIF(PLANPRODUCCION[[#This Row],[OBSERVACIONES]],"NO APLICA BONO*")&gt;0,TRUE,FALSE)</f>
        <v>0</v>
      </c>
    </row>
    <row r="122" spans="1:32" x14ac:dyDescent="0.25">
      <c r="A122" s="46" t="str">
        <f>UPPER(IF(PLANPRODUCCION[[#This Row],[FECHA]]&lt;=45701,_xlfn.CONCAT(TEXT(B122,"MMM"),"-",IF(ROW(A122)&lt;11,"000"&amp;ROW(A122)-1,IF(ROW(A122)&lt;101,"00"&amp;ROW(A122)-1,IF(ROW(A122)&lt;1001,"0"&amp;ROW(A122)-1,ROW(A122)-1))),"-OLD"),_xlfn.CONCAT(TEXT(B122,"MMM"),"-",IF(ROW(A122)&lt;473,"000"&amp;ROW(A122)-463,IF(ROW(A122)&lt;563,"00"&amp;ROW(A122)-463,IF(ROW(A122)&lt;1001,"0"&amp;ROW(A122)-463,ROW(A122)-463))))))</f>
        <v>ENE-0121-OLD</v>
      </c>
      <c r="B122" s="1">
        <v>45670</v>
      </c>
      <c r="C122" s="5"/>
      <c r="D122" s="5"/>
      <c r="E122" t="s">
        <v>54</v>
      </c>
      <c r="F122" s="32"/>
      <c r="G122" s="32"/>
      <c r="H122" s="5">
        <v>1525</v>
      </c>
      <c r="I122" t="s">
        <v>197</v>
      </c>
      <c r="J122" t="s">
        <v>198</v>
      </c>
      <c r="K122" s="5"/>
      <c r="L122" s="10" t="s">
        <v>57</v>
      </c>
      <c r="M122" s="49">
        <v>2</v>
      </c>
      <c r="N122" s="34">
        <f>PLANPRODUCCION[[#This Row],[PIEZAS PLANEADAS]]*PLANPRODUCCION[[#This Row],[PRECIO MAQUILAS]]</f>
        <v>0</v>
      </c>
      <c r="O122" s="5">
        <v>3</v>
      </c>
      <c r="P122" s="2">
        <v>0.25</v>
      </c>
      <c r="Q122" s="2">
        <v>0.51388888888888884</v>
      </c>
      <c r="R122" s="24">
        <v>1900</v>
      </c>
      <c r="S122" s="35">
        <f>PLANPRODUCCION[[#This Row],[PRECIO MAQUILAS]]*PLANPRODUCCION[[#This Row],[PIEZAS REAL]]</f>
        <v>3800</v>
      </c>
      <c r="T12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2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2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1178</v>
      </c>
      <c r="W12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2622</v>
      </c>
      <c r="X122" s="8"/>
      <c r="Y12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2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2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22" s="13" t="e">
        <f>IF(PLANPRODUCCION[[#This Row],[PIEZAS REAL]]&gt;0,PLANPRODUCCION[[#This Row],[PIEZAS REAL]]/PLANPRODUCCION[[#This Row],[PIEZAS ACTUALIZADO]],)</f>
        <v>#DIV/0!</v>
      </c>
      <c r="AC122" s="10" t="b">
        <f>PLANPRODUCCION[[#This Row],[INGRESO PLANEADO]]&lt;PLANPRODUCCION[[#This Row],[COSTO PLANEADO]]</f>
        <v>0</v>
      </c>
      <c r="AD122" t="s">
        <v>218</v>
      </c>
      <c r="AE122" s="10"/>
      <c r="AF122" s="10" t="b">
        <f>IF(COUNTIF(PLANPRODUCCION[[#This Row],[OBSERVACIONES]],"NO APLICA BONO*")&gt;0,TRUE,FALSE)</f>
        <v>0</v>
      </c>
    </row>
    <row r="123" spans="1:32" x14ac:dyDescent="0.25">
      <c r="A123" s="46" t="str">
        <f>UPPER(IF(PLANPRODUCCION[[#This Row],[FECHA]]&lt;=45701,_xlfn.CONCAT(TEXT(B123,"MMM"),"-",IF(ROW(A123)&lt;11,"000"&amp;ROW(A123)-1,IF(ROW(A123)&lt;101,"00"&amp;ROW(A123)-1,IF(ROW(A123)&lt;1001,"0"&amp;ROW(A123)-1,ROW(A123)-1))),"-OLD"),_xlfn.CONCAT(TEXT(B123,"MMM"),"-",IF(ROW(A123)&lt;473,"000"&amp;ROW(A123)-463,IF(ROW(A123)&lt;563,"00"&amp;ROW(A123)-463,IF(ROW(A123)&lt;1001,"0"&amp;ROW(A123)-463,ROW(A123)-463))))))</f>
        <v>ENE-0122-OLD</v>
      </c>
      <c r="B123" s="1">
        <v>45670</v>
      </c>
      <c r="C123" s="5"/>
      <c r="D123" s="5"/>
      <c r="E123" t="s">
        <v>54</v>
      </c>
      <c r="F123" s="32"/>
      <c r="G123" s="32"/>
      <c r="H123" s="5">
        <v>1525</v>
      </c>
      <c r="I123" t="s">
        <v>197</v>
      </c>
      <c r="J123" t="s">
        <v>198</v>
      </c>
      <c r="K123" s="5"/>
      <c r="L123" s="10" t="s">
        <v>57</v>
      </c>
      <c r="M123" s="49">
        <v>2</v>
      </c>
      <c r="N123" s="34">
        <f>PLANPRODUCCION[[#This Row],[PIEZAS PLANEADAS]]*PLANPRODUCCION[[#This Row],[PRECIO MAQUILAS]]</f>
        <v>0</v>
      </c>
      <c r="O123" s="5">
        <v>3</v>
      </c>
      <c r="P123" s="2">
        <v>0.25</v>
      </c>
      <c r="Q123" s="2">
        <v>0.59722222222222221</v>
      </c>
      <c r="R123" s="24">
        <v>2550</v>
      </c>
      <c r="S123" s="35">
        <f>PLANPRODUCCION[[#This Row],[PRECIO MAQUILAS]]*PLANPRODUCCION[[#This Row],[PIEZAS REAL]]</f>
        <v>5100</v>
      </c>
      <c r="T12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2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2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1550</v>
      </c>
      <c r="W12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3550</v>
      </c>
      <c r="X123" s="8"/>
      <c r="Y12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2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2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23" s="13" t="e">
        <f>IF(PLANPRODUCCION[[#This Row],[PIEZAS REAL]]&gt;0,PLANPRODUCCION[[#This Row],[PIEZAS REAL]]/PLANPRODUCCION[[#This Row],[PIEZAS ACTUALIZADO]],)</f>
        <v>#DIV/0!</v>
      </c>
      <c r="AC123" s="10" t="b">
        <f>PLANPRODUCCION[[#This Row],[INGRESO PLANEADO]]&lt;PLANPRODUCCION[[#This Row],[COSTO PLANEADO]]</f>
        <v>0</v>
      </c>
      <c r="AD123" t="s">
        <v>219</v>
      </c>
      <c r="AE123" s="10"/>
      <c r="AF123" s="10" t="b">
        <f>IF(COUNTIF(PLANPRODUCCION[[#This Row],[OBSERVACIONES]],"NO APLICA BONO*")&gt;0,TRUE,FALSE)</f>
        <v>0</v>
      </c>
    </row>
    <row r="124" spans="1:32" x14ac:dyDescent="0.25">
      <c r="A124" s="46" t="str">
        <f>UPPER(IF(PLANPRODUCCION[[#This Row],[FECHA]]&lt;=45701,_xlfn.CONCAT(TEXT(B124,"MMM"),"-",IF(ROW(A124)&lt;11,"000"&amp;ROW(A124)-1,IF(ROW(A124)&lt;101,"00"&amp;ROW(A124)-1,IF(ROW(A124)&lt;1001,"0"&amp;ROW(A124)-1,ROW(A124)-1))),"-OLD"),_xlfn.CONCAT(TEXT(B124,"MMM"),"-",IF(ROW(A124)&lt;473,"000"&amp;ROW(A124)-463,IF(ROW(A124)&lt;563,"00"&amp;ROW(A124)-463,IF(ROW(A124)&lt;1001,"0"&amp;ROW(A124)-463,ROW(A124)-463))))))</f>
        <v>ENE-0123-OLD</v>
      </c>
      <c r="B124" s="1">
        <v>45670</v>
      </c>
      <c r="C124" s="5"/>
      <c r="D124" s="5"/>
      <c r="E124" t="s">
        <v>54</v>
      </c>
      <c r="F124" s="32"/>
      <c r="G124" s="32"/>
      <c r="H124" s="5">
        <v>1525</v>
      </c>
      <c r="I124" t="s">
        <v>197</v>
      </c>
      <c r="J124" t="s">
        <v>198</v>
      </c>
      <c r="K124" s="5"/>
      <c r="L124" s="10" t="s">
        <v>57</v>
      </c>
      <c r="M124" s="49">
        <v>2</v>
      </c>
      <c r="N124" s="34">
        <f>PLANPRODUCCION[[#This Row],[PIEZAS PLANEADAS]]*PLANPRODUCCION[[#This Row],[PRECIO MAQUILAS]]</f>
        <v>0</v>
      </c>
      <c r="O124" s="5">
        <v>3</v>
      </c>
      <c r="P124" s="2">
        <v>0.25</v>
      </c>
      <c r="Q124" s="2">
        <v>0.5625</v>
      </c>
      <c r="R124" s="24">
        <v>2050</v>
      </c>
      <c r="S124" s="35">
        <f>PLANPRODUCCION[[#This Row],[PRECIO MAQUILAS]]*PLANPRODUCCION[[#This Row],[PIEZAS REAL]]</f>
        <v>4100</v>
      </c>
      <c r="T12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2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2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1395</v>
      </c>
      <c r="W12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2705</v>
      </c>
      <c r="X124" s="8"/>
      <c r="Y12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2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2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24" s="13" t="e">
        <f>IF(PLANPRODUCCION[[#This Row],[PIEZAS REAL]]&gt;0,PLANPRODUCCION[[#This Row],[PIEZAS REAL]]/PLANPRODUCCION[[#This Row],[PIEZAS ACTUALIZADO]],)</f>
        <v>#DIV/0!</v>
      </c>
      <c r="AC124" s="10" t="b">
        <f>PLANPRODUCCION[[#This Row],[INGRESO PLANEADO]]&lt;PLANPRODUCCION[[#This Row],[COSTO PLANEADO]]</f>
        <v>0</v>
      </c>
      <c r="AD124" t="s">
        <v>220</v>
      </c>
      <c r="AE124" s="10"/>
      <c r="AF124" s="10" t="b">
        <f>IF(COUNTIF(PLANPRODUCCION[[#This Row],[OBSERVACIONES]],"NO APLICA BONO*")&gt;0,TRUE,FALSE)</f>
        <v>0</v>
      </c>
    </row>
    <row r="125" spans="1:32" x14ac:dyDescent="0.25">
      <c r="A125" s="46" t="str">
        <f>UPPER(IF(PLANPRODUCCION[[#This Row],[FECHA]]&lt;=45701,_xlfn.CONCAT(TEXT(B125,"MMM"),"-",IF(ROW(A125)&lt;11,"000"&amp;ROW(A125)-1,IF(ROW(A125)&lt;101,"00"&amp;ROW(A125)-1,IF(ROW(A125)&lt;1001,"0"&amp;ROW(A125)-1,ROW(A125)-1))),"-OLD"),_xlfn.CONCAT(TEXT(B125,"MMM"),"-",IF(ROW(A125)&lt;473,"000"&amp;ROW(A125)-463,IF(ROW(A125)&lt;563,"00"&amp;ROW(A125)-463,IF(ROW(A125)&lt;1001,"0"&amp;ROW(A125)-463,ROW(A125)-463))))))</f>
        <v>ENE-0124-OLD</v>
      </c>
      <c r="B125" s="1">
        <v>45670</v>
      </c>
      <c r="C125" s="5"/>
      <c r="D125" s="5"/>
      <c r="E125" t="s">
        <v>54</v>
      </c>
      <c r="F125" s="32"/>
      <c r="G125" s="32"/>
      <c r="H125" s="5">
        <v>1530</v>
      </c>
      <c r="I125" t="s">
        <v>204</v>
      </c>
      <c r="J125" t="s">
        <v>205</v>
      </c>
      <c r="K125" s="5"/>
      <c r="L125" s="10" t="s">
        <v>65</v>
      </c>
      <c r="M125" s="49">
        <v>1.4</v>
      </c>
      <c r="N125" s="34">
        <f>PLANPRODUCCION[[#This Row],[PIEZAS PLANEADAS]]*PLANPRODUCCION[[#This Row],[PRECIO MAQUILAS]]</f>
        <v>0</v>
      </c>
      <c r="O125" s="5">
        <v>1</v>
      </c>
      <c r="P125" s="2">
        <v>0.25</v>
      </c>
      <c r="Q125" s="2">
        <v>0.29166666666666669</v>
      </c>
      <c r="R125" s="24">
        <v>569</v>
      </c>
      <c r="S125" s="35">
        <f>PLANPRODUCCION[[#This Row],[PRECIO MAQUILAS]]*PLANPRODUCCION[[#This Row],[PIEZAS REAL]]</f>
        <v>796.59999999999991</v>
      </c>
      <c r="T12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2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2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</v>
      </c>
      <c r="W12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734.59999999999991</v>
      </c>
      <c r="X125" s="8"/>
      <c r="Y12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2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2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25" s="13" t="e">
        <f>IF(PLANPRODUCCION[[#This Row],[PIEZAS REAL]]&gt;0,PLANPRODUCCION[[#This Row],[PIEZAS REAL]]/PLANPRODUCCION[[#This Row],[PIEZAS ACTUALIZADO]],)</f>
        <v>#DIV/0!</v>
      </c>
      <c r="AC125" s="10" t="b">
        <f>PLANPRODUCCION[[#This Row],[INGRESO PLANEADO]]&lt;PLANPRODUCCION[[#This Row],[COSTO PLANEADO]]</f>
        <v>0</v>
      </c>
      <c r="AD125" t="s">
        <v>221</v>
      </c>
      <c r="AE125" s="10"/>
      <c r="AF125" s="10" t="b">
        <f>IF(COUNTIF(PLANPRODUCCION[[#This Row],[OBSERVACIONES]],"NO APLICA BONO*")&gt;0,TRUE,FALSE)</f>
        <v>0</v>
      </c>
    </row>
    <row r="126" spans="1:32" x14ac:dyDescent="0.25">
      <c r="A126" s="46" t="str">
        <f>UPPER(IF(PLANPRODUCCION[[#This Row],[FECHA]]&lt;=45701,_xlfn.CONCAT(TEXT(B126,"MMM"),"-",IF(ROW(A126)&lt;11,"000"&amp;ROW(A126)-1,IF(ROW(A126)&lt;101,"00"&amp;ROW(A126)-1,IF(ROW(A126)&lt;1001,"0"&amp;ROW(A126)-1,ROW(A126)-1))),"-OLD"),_xlfn.CONCAT(TEXT(B126,"MMM"),"-",IF(ROW(A126)&lt;473,"000"&amp;ROW(A126)-463,IF(ROW(A126)&lt;563,"00"&amp;ROW(A126)-463,IF(ROW(A126)&lt;1001,"0"&amp;ROW(A126)-463,ROW(A126)-463))))))</f>
        <v>ENE-0125-OLD</v>
      </c>
      <c r="B126" s="1">
        <v>45670</v>
      </c>
      <c r="C126" s="5"/>
      <c r="D126" s="5"/>
      <c r="E126" t="s">
        <v>54</v>
      </c>
      <c r="F126" s="32"/>
      <c r="G126" s="32"/>
      <c r="H126" s="5">
        <v>1525</v>
      </c>
      <c r="I126" t="s">
        <v>197</v>
      </c>
      <c r="J126" t="s">
        <v>198</v>
      </c>
      <c r="K126" s="5"/>
      <c r="L126" s="10" t="s">
        <v>57</v>
      </c>
      <c r="M126" s="49">
        <v>2</v>
      </c>
      <c r="N126" s="34">
        <f>PLANPRODUCCION[[#This Row],[PIEZAS PLANEADAS]]*PLANPRODUCCION[[#This Row],[PRECIO MAQUILAS]]</f>
        <v>0</v>
      </c>
      <c r="O126" s="5">
        <v>2</v>
      </c>
      <c r="P126" s="2">
        <v>0.29166666666666669</v>
      </c>
      <c r="Q126" s="2">
        <v>0.33333333333333331</v>
      </c>
      <c r="R126" s="24">
        <v>500</v>
      </c>
      <c r="S126" s="35">
        <f>PLANPRODUCCION[[#This Row],[PRECIO MAQUILAS]]*PLANPRODUCCION[[#This Row],[PIEZAS REAL]]</f>
        <v>1000</v>
      </c>
      <c r="T12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2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2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</v>
      </c>
      <c r="W12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876</v>
      </c>
      <c r="X126" s="8"/>
      <c r="Y12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2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2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26" s="13" t="e">
        <f>IF(PLANPRODUCCION[[#This Row],[PIEZAS REAL]]&gt;0,PLANPRODUCCION[[#This Row],[PIEZAS REAL]]/PLANPRODUCCION[[#This Row],[PIEZAS ACTUALIZADO]],)</f>
        <v>#DIV/0!</v>
      </c>
      <c r="AC126" s="10" t="b">
        <f>PLANPRODUCCION[[#This Row],[INGRESO PLANEADO]]&lt;PLANPRODUCCION[[#This Row],[COSTO PLANEADO]]</f>
        <v>0</v>
      </c>
      <c r="AD126" t="s">
        <v>222</v>
      </c>
      <c r="AE126" s="10"/>
      <c r="AF126" s="10" t="b">
        <f>IF(COUNTIF(PLANPRODUCCION[[#This Row],[OBSERVACIONES]],"NO APLICA BONO*")&gt;0,TRUE,FALSE)</f>
        <v>0</v>
      </c>
    </row>
    <row r="127" spans="1:32" x14ac:dyDescent="0.25">
      <c r="A127" s="46" t="str">
        <f>UPPER(IF(PLANPRODUCCION[[#This Row],[FECHA]]&lt;=45701,_xlfn.CONCAT(TEXT(B127,"MMM"),"-",IF(ROW(A127)&lt;11,"000"&amp;ROW(A127)-1,IF(ROW(A127)&lt;101,"00"&amp;ROW(A127)-1,IF(ROW(A127)&lt;1001,"0"&amp;ROW(A127)-1,ROW(A127)-1))),"-OLD"),_xlfn.CONCAT(TEXT(B127,"MMM"),"-",IF(ROW(A127)&lt;473,"000"&amp;ROW(A127)-463,IF(ROW(A127)&lt;563,"00"&amp;ROW(A127)-463,IF(ROW(A127)&lt;1001,"0"&amp;ROW(A127)-463,ROW(A127)-463))))))</f>
        <v>ENE-0126-OLD</v>
      </c>
      <c r="B127" s="1">
        <v>45670</v>
      </c>
      <c r="C127" s="5"/>
      <c r="D127" s="5"/>
      <c r="E127" t="s">
        <v>54</v>
      </c>
      <c r="F127" s="32"/>
      <c r="G127" s="32"/>
      <c r="H127" s="5">
        <v>1514</v>
      </c>
      <c r="I127" t="s">
        <v>141</v>
      </c>
      <c r="J127" t="s">
        <v>148</v>
      </c>
      <c r="K127" s="5"/>
      <c r="L127" s="10" t="s">
        <v>83</v>
      </c>
      <c r="M127" s="49">
        <v>30</v>
      </c>
      <c r="N127" s="34">
        <f>PLANPRODUCCION[[#This Row],[PIEZAS PLANEADAS]]*PLANPRODUCCION[[#This Row],[PRECIO MAQUILAS]]</f>
        <v>0</v>
      </c>
      <c r="O127" s="5">
        <v>3</v>
      </c>
      <c r="P127" s="2">
        <v>0.4375</v>
      </c>
      <c r="Q127" s="2">
        <v>0.5</v>
      </c>
      <c r="R127" s="24">
        <v>22</v>
      </c>
      <c r="S127" s="35">
        <f>PLANPRODUCCION[[#This Row],[PRECIO MAQUILAS]]*PLANPRODUCCION[[#This Row],[PIEZAS REAL]]</f>
        <v>660</v>
      </c>
      <c r="T12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2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2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</v>
      </c>
      <c r="W12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381</v>
      </c>
      <c r="X127" s="8"/>
      <c r="Y12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2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2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27" s="13" t="e">
        <f>IF(PLANPRODUCCION[[#This Row],[PIEZAS REAL]]&gt;0,PLANPRODUCCION[[#This Row],[PIEZAS REAL]]/PLANPRODUCCION[[#This Row],[PIEZAS ACTUALIZADO]],)</f>
        <v>#DIV/0!</v>
      </c>
      <c r="AC127" s="10" t="b">
        <f>PLANPRODUCCION[[#This Row],[INGRESO PLANEADO]]&lt;PLANPRODUCCION[[#This Row],[COSTO PLANEADO]]</f>
        <v>0</v>
      </c>
      <c r="AD127" t="s">
        <v>223</v>
      </c>
      <c r="AE127" s="10"/>
      <c r="AF127" s="10" t="b">
        <f>IF(COUNTIF(PLANPRODUCCION[[#This Row],[OBSERVACIONES]],"NO APLICA BONO*")&gt;0,TRUE,FALSE)</f>
        <v>0</v>
      </c>
    </row>
    <row r="128" spans="1:32" x14ac:dyDescent="0.25">
      <c r="A128" s="46" t="str">
        <f>UPPER(IF(PLANPRODUCCION[[#This Row],[FECHA]]&lt;=45701,_xlfn.CONCAT(TEXT(B128,"MMM"),"-",IF(ROW(A128)&lt;11,"000"&amp;ROW(A128)-1,IF(ROW(A128)&lt;101,"00"&amp;ROW(A128)-1,IF(ROW(A128)&lt;1001,"0"&amp;ROW(A128)-1,ROW(A128)-1))),"-OLD"),_xlfn.CONCAT(TEXT(B128,"MMM"),"-",IF(ROW(A128)&lt;473,"000"&amp;ROW(A128)-463,IF(ROW(A128)&lt;563,"00"&amp;ROW(A128)-463,IF(ROW(A128)&lt;1001,"0"&amp;ROW(A128)-463,ROW(A128)-463))))))</f>
        <v>ENE-0127-OLD</v>
      </c>
      <c r="B128" s="1">
        <v>45670</v>
      </c>
      <c r="C128" s="5"/>
      <c r="D128" s="5"/>
      <c r="E128" t="s">
        <v>54</v>
      </c>
      <c r="F128" s="32"/>
      <c r="G128" s="32"/>
      <c r="H128" s="5">
        <v>1528</v>
      </c>
      <c r="I128" t="s">
        <v>188</v>
      </c>
      <c r="J128" t="s">
        <v>148</v>
      </c>
      <c r="K128" s="5"/>
      <c r="L128" s="10" t="s">
        <v>83</v>
      </c>
      <c r="M128" s="49">
        <v>10</v>
      </c>
      <c r="N128" s="34">
        <f>PLANPRODUCCION[[#This Row],[PIEZAS PLANEADAS]]*PLANPRODUCCION[[#This Row],[PRECIO MAQUILAS]]</f>
        <v>0</v>
      </c>
      <c r="O128" s="5">
        <v>3</v>
      </c>
      <c r="P128" s="2">
        <v>0.5</v>
      </c>
      <c r="Q128" s="2">
        <v>0.66666666666666663</v>
      </c>
      <c r="R128" s="24">
        <v>18</v>
      </c>
      <c r="S128" s="35">
        <f>PLANPRODUCCION[[#This Row],[PRECIO MAQUILAS]]*PLANPRODUCCION[[#This Row],[PIEZAS REAL]]</f>
        <v>180</v>
      </c>
      <c r="T12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2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2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12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-564</v>
      </c>
      <c r="X128" s="8"/>
      <c r="Y12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2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2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28" s="13" t="e">
        <f>IF(PLANPRODUCCION[[#This Row],[PIEZAS REAL]]&gt;0,PLANPRODUCCION[[#This Row],[PIEZAS REAL]]/PLANPRODUCCION[[#This Row],[PIEZAS ACTUALIZADO]],)</f>
        <v>#DIV/0!</v>
      </c>
      <c r="AC128" s="10" t="b">
        <f>PLANPRODUCCION[[#This Row],[INGRESO PLANEADO]]&lt;PLANPRODUCCION[[#This Row],[COSTO PLANEADO]]</f>
        <v>0</v>
      </c>
      <c r="AD128" t="s">
        <v>224</v>
      </c>
      <c r="AE128" s="10"/>
      <c r="AF128" s="10" t="b">
        <f>IF(COUNTIF(PLANPRODUCCION[[#This Row],[OBSERVACIONES]],"NO APLICA BONO*")&gt;0,TRUE,FALSE)</f>
        <v>0</v>
      </c>
    </row>
    <row r="129" spans="1:32" x14ac:dyDescent="0.25">
      <c r="A129" s="46" t="str">
        <f>UPPER(IF(PLANPRODUCCION[[#This Row],[FECHA]]&lt;=45701,_xlfn.CONCAT(TEXT(B129,"MMM"),"-",IF(ROW(A129)&lt;11,"000"&amp;ROW(A129)-1,IF(ROW(A129)&lt;101,"00"&amp;ROW(A129)-1,IF(ROW(A129)&lt;1001,"0"&amp;ROW(A129)-1,ROW(A129)-1))),"-OLD"),_xlfn.CONCAT(TEXT(B129,"MMM"),"-",IF(ROW(A129)&lt;473,"000"&amp;ROW(A129)-463,IF(ROW(A129)&lt;563,"00"&amp;ROW(A129)-463,IF(ROW(A129)&lt;1001,"0"&amp;ROW(A129)-463,ROW(A129)-463))))))</f>
        <v>ENE-0128-OLD</v>
      </c>
      <c r="B129" s="1">
        <v>45670</v>
      </c>
      <c r="C129" s="5"/>
      <c r="D129" s="5"/>
      <c r="E129" t="s">
        <v>54</v>
      </c>
      <c r="F129" s="32"/>
      <c r="G129" s="32"/>
      <c r="H129" s="5">
        <v>1528</v>
      </c>
      <c r="I129" t="s">
        <v>188</v>
      </c>
      <c r="J129" t="s">
        <v>144</v>
      </c>
      <c r="K129" s="5"/>
      <c r="L129" s="10" t="s">
        <v>57</v>
      </c>
      <c r="M129" s="49">
        <v>1</v>
      </c>
      <c r="N129" s="34">
        <f>PLANPRODUCCION[[#This Row],[PIEZAS PLANEADAS]]*PLANPRODUCCION[[#This Row],[PRECIO MAQUILAS]]</f>
        <v>0</v>
      </c>
      <c r="O129" s="5">
        <v>3</v>
      </c>
      <c r="P129" s="2">
        <v>0.51388888888888884</v>
      </c>
      <c r="Q129" s="2">
        <v>0.66666666666666663</v>
      </c>
      <c r="R129" s="24">
        <v>420</v>
      </c>
      <c r="S129" s="35">
        <f>PLANPRODUCCION[[#This Row],[PRECIO MAQUILAS]]*PLANPRODUCCION[[#This Row],[PIEZAS REAL]]</f>
        <v>420</v>
      </c>
      <c r="T12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2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2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682</v>
      </c>
      <c r="W12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-262</v>
      </c>
      <c r="X129" s="8"/>
      <c r="Y12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2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2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29" s="13" t="e">
        <f>IF(PLANPRODUCCION[[#This Row],[PIEZAS REAL]]&gt;0,PLANPRODUCCION[[#This Row],[PIEZAS REAL]]/PLANPRODUCCION[[#This Row],[PIEZAS ACTUALIZADO]],)</f>
        <v>#DIV/0!</v>
      </c>
      <c r="AC129" s="10" t="b">
        <f>PLANPRODUCCION[[#This Row],[INGRESO PLANEADO]]&lt;PLANPRODUCCION[[#This Row],[COSTO PLANEADO]]</f>
        <v>0</v>
      </c>
      <c r="AD129" t="s">
        <v>225</v>
      </c>
      <c r="AE129" s="10"/>
      <c r="AF129" s="10" t="b">
        <f>IF(COUNTIF(PLANPRODUCCION[[#This Row],[OBSERVACIONES]],"NO APLICA BONO*")&gt;0,TRUE,FALSE)</f>
        <v>0</v>
      </c>
    </row>
    <row r="130" spans="1:32" x14ac:dyDescent="0.25">
      <c r="A130" s="46" t="str">
        <f>UPPER(IF(PLANPRODUCCION[[#This Row],[FECHA]]&lt;=45701,_xlfn.CONCAT(TEXT(B130,"MMM"),"-",IF(ROW(A130)&lt;11,"000"&amp;ROW(A130)-1,IF(ROW(A130)&lt;101,"00"&amp;ROW(A130)-1,IF(ROW(A130)&lt;1001,"0"&amp;ROW(A130)-1,ROW(A130)-1))),"-OLD"),_xlfn.CONCAT(TEXT(B130,"MMM"),"-",IF(ROW(A130)&lt;473,"000"&amp;ROW(A130)-463,IF(ROW(A130)&lt;563,"00"&amp;ROW(A130)-463,IF(ROW(A130)&lt;1001,"0"&amp;ROW(A130)-463,ROW(A130)-463))))))</f>
        <v>ENE-0129-OLD</v>
      </c>
      <c r="B130" s="1">
        <v>45670</v>
      </c>
      <c r="C130" s="5"/>
      <c r="D130" s="5"/>
      <c r="E130" t="s">
        <v>54</v>
      </c>
      <c r="F130" s="32"/>
      <c r="G130" s="32"/>
      <c r="H130" s="5">
        <v>1528</v>
      </c>
      <c r="I130" t="s">
        <v>188</v>
      </c>
      <c r="J130" t="s">
        <v>144</v>
      </c>
      <c r="K130" s="5"/>
      <c r="L130" s="10" t="s">
        <v>57</v>
      </c>
      <c r="M130" s="49">
        <v>1</v>
      </c>
      <c r="N130" s="34">
        <f>PLANPRODUCCION[[#This Row],[PIEZAS PLANEADAS]]*PLANPRODUCCION[[#This Row],[PRECIO MAQUILAS]]</f>
        <v>0</v>
      </c>
      <c r="O130" s="5">
        <v>2</v>
      </c>
      <c r="P130" s="2">
        <v>0.52083333333333337</v>
      </c>
      <c r="Q130" s="2">
        <v>0.66666666666666663</v>
      </c>
      <c r="R130" s="24">
        <v>238</v>
      </c>
      <c r="S130" s="35">
        <f>PLANPRODUCCION[[#This Row],[PRECIO MAQUILAS]]*PLANPRODUCCION[[#This Row],[PIEZAS REAL]]</f>
        <v>238</v>
      </c>
      <c r="T13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3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3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434</v>
      </c>
      <c r="W13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-196</v>
      </c>
      <c r="X130" s="8"/>
      <c r="Y13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3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3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30" s="13" t="e">
        <f>IF(PLANPRODUCCION[[#This Row],[PIEZAS REAL]]&gt;0,PLANPRODUCCION[[#This Row],[PIEZAS REAL]]/PLANPRODUCCION[[#This Row],[PIEZAS ACTUALIZADO]],)</f>
        <v>#DIV/0!</v>
      </c>
      <c r="AC130" s="10" t="b">
        <f>PLANPRODUCCION[[#This Row],[INGRESO PLANEADO]]&lt;PLANPRODUCCION[[#This Row],[COSTO PLANEADO]]</f>
        <v>0</v>
      </c>
      <c r="AD130" t="s">
        <v>226</v>
      </c>
      <c r="AE130" s="10"/>
      <c r="AF130" s="10" t="b">
        <f>IF(COUNTIF(PLANPRODUCCION[[#This Row],[OBSERVACIONES]],"NO APLICA BONO*")&gt;0,TRUE,FALSE)</f>
        <v>0</v>
      </c>
    </row>
    <row r="131" spans="1:32" x14ac:dyDescent="0.25">
      <c r="A131" s="46" t="str">
        <f>UPPER(IF(PLANPRODUCCION[[#This Row],[FECHA]]&lt;=45701,_xlfn.CONCAT(TEXT(B131,"MMM"),"-",IF(ROW(A131)&lt;11,"000"&amp;ROW(A131)-1,IF(ROW(A131)&lt;101,"00"&amp;ROW(A131)-1,IF(ROW(A131)&lt;1001,"0"&amp;ROW(A131)-1,ROW(A131)-1))),"-OLD"),_xlfn.CONCAT(TEXT(B131,"MMM"),"-",IF(ROW(A131)&lt;473,"000"&amp;ROW(A131)-463,IF(ROW(A131)&lt;563,"00"&amp;ROW(A131)-463,IF(ROW(A131)&lt;1001,"0"&amp;ROW(A131)-463,ROW(A131)-463))))))</f>
        <v>ENE-0130-OLD</v>
      </c>
      <c r="B131" s="1">
        <v>45670</v>
      </c>
      <c r="C131" s="5"/>
      <c r="D131" s="5"/>
      <c r="E131" t="s">
        <v>54</v>
      </c>
      <c r="F131" s="32"/>
      <c r="G131" s="32"/>
      <c r="H131" s="5">
        <v>1528</v>
      </c>
      <c r="I131" t="s">
        <v>188</v>
      </c>
      <c r="J131" t="s">
        <v>148</v>
      </c>
      <c r="K131" s="5"/>
      <c r="L131" s="10" t="s">
        <v>83</v>
      </c>
      <c r="M131" s="49">
        <v>10</v>
      </c>
      <c r="N131" s="34">
        <f>PLANPRODUCCION[[#This Row],[PIEZAS PLANEADAS]]*PLANPRODUCCION[[#This Row],[PRECIO MAQUILAS]]</f>
        <v>0</v>
      </c>
      <c r="O131" s="5">
        <v>3</v>
      </c>
      <c r="P131" s="2">
        <v>0.5625</v>
      </c>
      <c r="Q131" s="2">
        <v>0.66666666666666663</v>
      </c>
      <c r="R131" s="24">
        <v>18</v>
      </c>
      <c r="S131" s="35">
        <f>PLANPRODUCCION[[#This Row],[PRECIO MAQUILAS]]*PLANPRODUCCION[[#This Row],[PIEZAS REAL]]</f>
        <v>180</v>
      </c>
      <c r="T13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3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3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465</v>
      </c>
      <c r="W13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-285</v>
      </c>
      <c r="X131" s="8"/>
      <c r="Y13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3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3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31" s="13" t="e">
        <f>IF(PLANPRODUCCION[[#This Row],[PIEZAS REAL]]&gt;0,PLANPRODUCCION[[#This Row],[PIEZAS REAL]]/PLANPRODUCCION[[#This Row],[PIEZAS ACTUALIZADO]],)</f>
        <v>#DIV/0!</v>
      </c>
      <c r="AC131" s="10" t="b">
        <f>PLANPRODUCCION[[#This Row],[INGRESO PLANEADO]]&lt;PLANPRODUCCION[[#This Row],[COSTO PLANEADO]]</f>
        <v>0</v>
      </c>
      <c r="AD131" t="s">
        <v>227</v>
      </c>
      <c r="AE131" s="10"/>
      <c r="AF131" s="10" t="b">
        <f>IF(COUNTIF(PLANPRODUCCION[[#This Row],[OBSERVACIONES]],"NO APLICA BONO*")&gt;0,TRUE,FALSE)</f>
        <v>0</v>
      </c>
    </row>
    <row r="132" spans="1:32" x14ac:dyDescent="0.25">
      <c r="A132" s="46" t="str">
        <f>UPPER(IF(PLANPRODUCCION[[#This Row],[FECHA]]&lt;=45701,_xlfn.CONCAT(TEXT(B132,"MMM"),"-",IF(ROW(A132)&lt;11,"000"&amp;ROW(A132)-1,IF(ROW(A132)&lt;101,"00"&amp;ROW(A132)-1,IF(ROW(A132)&lt;1001,"0"&amp;ROW(A132)-1,ROW(A132)-1))),"-OLD"),_xlfn.CONCAT(TEXT(B132,"MMM"),"-",IF(ROW(A132)&lt;473,"000"&amp;ROW(A132)-463,IF(ROW(A132)&lt;563,"00"&amp;ROW(A132)-463,IF(ROW(A132)&lt;1001,"0"&amp;ROW(A132)-463,ROW(A132)-463))))))</f>
        <v>ENE-0131-OLD</v>
      </c>
      <c r="B132" s="1">
        <v>45670</v>
      </c>
      <c r="C132" s="5"/>
      <c r="D132" s="5"/>
      <c r="E132" t="s">
        <v>54</v>
      </c>
      <c r="F132" s="32"/>
      <c r="G132" s="32"/>
      <c r="H132" s="5">
        <v>1528</v>
      </c>
      <c r="I132" t="s">
        <v>188</v>
      </c>
      <c r="J132" t="s">
        <v>148</v>
      </c>
      <c r="K132" s="5"/>
      <c r="L132" s="10" t="s">
        <v>83</v>
      </c>
      <c r="M132" s="49">
        <v>10</v>
      </c>
      <c r="N132" s="34">
        <f>PLANPRODUCCION[[#This Row],[PIEZAS PLANEADAS]]*PLANPRODUCCION[[#This Row],[PRECIO MAQUILAS]]</f>
        <v>0</v>
      </c>
      <c r="O132" s="5">
        <v>3</v>
      </c>
      <c r="P132" s="2">
        <v>0.59722222222222221</v>
      </c>
      <c r="Q132" s="2">
        <v>0.66666666666666663</v>
      </c>
      <c r="R132" s="24">
        <v>17</v>
      </c>
      <c r="S132" s="35">
        <f>PLANPRODUCCION[[#This Row],[PRECIO MAQUILAS]]*PLANPRODUCCION[[#This Row],[PIEZAS REAL]]</f>
        <v>170</v>
      </c>
      <c r="T13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3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3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13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-140</v>
      </c>
      <c r="X132" s="8"/>
      <c r="Y13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3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3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32" s="13" t="e">
        <f>IF(PLANPRODUCCION[[#This Row],[PIEZAS REAL]]&gt;0,PLANPRODUCCION[[#This Row],[PIEZAS REAL]]/PLANPRODUCCION[[#This Row],[PIEZAS ACTUALIZADO]],)</f>
        <v>#DIV/0!</v>
      </c>
      <c r="AC132" s="10" t="b">
        <f>PLANPRODUCCION[[#This Row],[INGRESO PLANEADO]]&lt;PLANPRODUCCION[[#This Row],[COSTO PLANEADO]]</f>
        <v>0</v>
      </c>
      <c r="AD132" t="s">
        <v>228</v>
      </c>
      <c r="AE132" s="10"/>
      <c r="AF132" s="10" t="b">
        <f>IF(COUNTIF(PLANPRODUCCION[[#This Row],[OBSERVACIONES]],"NO APLICA BONO*")&gt;0,TRUE,FALSE)</f>
        <v>0</v>
      </c>
    </row>
    <row r="133" spans="1:32" x14ac:dyDescent="0.25">
      <c r="A133" s="46" t="str">
        <f>UPPER(IF(PLANPRODUCCION[[#This Row],[FECHA]]&lt;=45701,_xlfn.CONCAT(TEXT(B133,"MMM"),"-",IF(ROW(A133)&lt;11,"000"&amp;ROW(A133)-1,IF(ROW(A133)&lt;101,"00"&amp;ROW(A133)-1,IF(ROW(A133)&lt;1001,"0"&amp;ROW(A133)-1,ROW(A133)-1))),"-OLD"),_xlfn.CONCAT(TEXT(B133,"MMM"),"-",IF(ROW(A133)&lt;473,"000"&amp;ROW(A133)-463,IF(ROW(A133)&lt;563,"00"&amp;ROW(A133)-463,IF(ROW(A133)&lt;1001,"0"&amp;ROW(A133)-463,ROW(A133)-463))))))</f>
        <v>ENE-0132-OLD</v>
      </c>
      <c r="B133" s="1">
        <v>45670</v>
      </c>
      <c r="C133" s="5"/>
      <c r="D133" s="5"/>
      <c r="E133" t="s">
        <v>67</v>
      </c>
      <c r="F133" s="32"/>
      <c r="G133" s="32"/>
      <c r="H133" s="5">
        <v>1525</v>
      </c>
      <c r="I133" t="s">
        <v>197</v>
      </c>
      <c r="J133" t="s">
        <v>198</v>
      </c>
      <c r="K133" s="5"/>
      <c r="L133" s="10" t="s">
        <v>57</v>
      </c>
      <c r="M133" s="49">
        <v>2</v>
      </c>
      <c r="N133" s="34">
        <f>PLANPRODUCCION[[#This Row],[PIEZAS PLANEADAS]]*PLANPRODUCCION[[#This Row],[PRECIO MAQUILAS]]</f>
        <v>0</v>
      </c>
      <c r="O133" s="5">
        <v>3</v>
      </c>
      <c r="P133" s="2">
        <v>0.33333333333333331</v>
      </c>
      <c r="Q133" s="2">
        <v>0.66666666666666663</v>
      </c>
      <c r="R133" s="24">
        <v>1250</v>
      </c>
      <c r="S133" s="35">
        <f>PLANPRODUCCION[[#This Row],[PRECIO MAQUILAS]]*PLANPRODUCCION[[#This Row],[PIEZAS REAL]]</f>
        <v>2500</v>
      </c>
      <c r="T13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3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3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13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1012</v>
      </c>
      <c r="X133" s="8"/>
      <c r="Y13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3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3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33" s="13" t="e">
        <f>IF(PLANPRODUCCION[[#This Row],[PIEZAS REAL]]&gt;0,PLANPRODUCCION[[#This Row],[PIEZAS REAL]]/PLANPRODUCCION[[#This Row],[PIEZAS ACTUALIZADO]],)</f>
        <v>#DIV/0!</v>
      </c>
      <c r="AC133" s="10" t="b">
        <f>PLANPRODUCCION[[#This Row],[INGRESO PLANEADO]]&lt;PLANPRODUCCION[[#This Row],[COSTO PLANEADO]]</f>
        <v>0</v>
      </c>
      <c r="AD133" t="s">
        <v>229</v>
      </c>
      <c r="AE133" s="10"/>
      <c r="AF133" s="10" t="b">
        <f>IF(COUNTIF(PLANPRODUCCION[[#This Row],[OBSERVACIONES]],"NO APLICA BONO*")&gt;0,TRUE,FALSE)</f>
        <v>0</v>
      </c>
    </row>
    <row r="134" spans="1:32" x14ac:dyDescent="0.25">
      <c r="A134" s="46" t="str">
        <f>UPPER(IF(PLANPRODUCCION[[#This Row],[FECHA]]&lt;=45701,_xlfn.CONCAT(TEXT(B134,"MMM"),"-",IF(ROW(A134)&lt;11,"000"&amp;ROW(A134)-1,IF(ROW(A134)&lt;101,"00"&amp;ROW(A134)-1,IF(ROW(A134)&lt;1001,"0"&amp;ROW(A134)-1,ROW(A134)-1))),"-OLD"),_xlfn.CONCAT(TEXT(B134,"MMM"),"-",IF(ROW(A134)&lt;473,"000"&amp;ROW(A134)-463,IF(ROW(A134)&lt;563,"00"&amp;ROW(A134)-463,IF(ROW(A134)&lt;1001,"0"&amp;ROW(A134)-463,ROW(A134)-463))))))</f>
        <v>ENE-0133-OLD</v>
      </c>
      <c r="B134" s="1">
        <v>45670</v>
      </c>
      <c r="C134" s="5"/>
      <c r="D134" s="5"/>
      <c r="E134" t="s">
        <v>67</v>
      </c>
      <c r="F134" s="32"/>
      <c r="G134" s="32"/>
      <c r="H134" s="5">
        <v>1528</v>
      </c>
      <c r="I134" t="s">
        <v>188</v>
      </c>
      <c r="J134" t="s">
        <v>148</v>
      </c>
      <c r="K134" s="5"/>
      <c r="L134" s="10" t="s">
        <v>83</v>
      </c>
      <c r="M134" s="49">
        <v>10</v>
      </c>
      <c r="N134" s="34">
        <f>PLANPRODUCCION[[#This Row],[PIEZAS PLANEADAS]]*PLANPRODUCCION[[#This Row],[PRECIO MAQUILAS]]</f>
        <v>0</v>
      </c>
      <c r="O134" s="5">
        <v>4</v>
      </c>
      <c r="P134" s="2">
        <v>0.375</v>
      </c>
      <c r="Q134" s="2">
        <v>0.75</v>
      </c>
      <c r="R134" s="24">
        <v>203</v>
      </c>
      <c r="S134" s="35">
        <f>PLANPRODUCCION[[#This Row],[PRECIO MAQUILAS]]*PLANPRODUCCION[[#This Row],[PIEZAS REAL]]</f>
        <v>2030</v>
      </c>
      <c r="T13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3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3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2232</v>
      </c>
      <c r="W13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-202</v>
      </c>
      <c r="X134" s="8"/>
      <c r="Y13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3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3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34" s="13" t="e">
        <f>IF(PLANPRODUCCION[[#This Row],[PIEZAS REAL]]&gt;0,PLANPRODUCCION[[#This Row],[PIEZAS REAL]]/PLANPRODUCCION[[#This Row],[PIEZAS ACTUALIZADO]],)</f>
        <v>#DIV/0!</v>
      </c>
      <c r="AC134" s="10" t="b">
        <f>PLANPRODUCCION[[#This Row],[INGRESO PLANEADO]]&lt;PLANPRODUCCION[[#This Row],[COSTO PLANEADO]]</f>
        <v>0</v>
      </c>
      <c r="AD134" t="s">
        <v>230</v>
      </c>
      <c r="AE134" s="10"/>
      <c r="AF134" s="10" t="b">
        <f>IF(COUNTIF(PLANPRODUCCION[[#This Row],[OBSERVACIONES]],"NO APLICA BONO*")&gt;0,TRUE,FALSE)</f>
        <v>0</v>
      </c>
    </row>
    <row r="135" spans="1:32" x14ac:dyDescent="0.25">
      <c r="A135" s="46" t="str">
        <f>UPPER(IF(PLANPRODUCCION[[#This Row],[FECHA]]&lt;=45701,_xlfn.CONCAT(TEXT(B135,"MMM"),"-",IF(ROW(A135)&lt;11,"000"&amp;ROW(A135)-1,IF(ROW(A135)&lt;101,"00"&amp;ROW(A135)-1,IF(ROW(A135)&lt;1001,"0"&amp;ROW(A135)-1,ROW(A135)-1))),"-OLD"),_xlfn.CONCAT(TEXT(B135,"MMM"),"-",IF(ROW(A135)&lt;473,"000"&amp;ROW(A135)-463,IF(ROW(A135)&lt;563,"00"&amp;ROW(A135)-463,IF(ROW(A135)&lt;1001,"0"&amp;ROW(A135)-463,ROW(A135)-463))))))</f>
        <v>ENE-0134-OLD</v>
      </c>
      <c r="B135" s="1">
        <v>45670</v>
      </c>
      <c r="C135" s="5"/>
      <c r="D135" s="5"/>
      <c r="E135" t="s">
        <v>67</v>
      </c>
      <c r="F135" s="32"/>
      <c r="G135" s="32"/>
      <c r="H135" s="5">
        <v>1525</v>
      </c>
      <c r="I135" t="s">
        <v>197</v>
      </c>
      <c r="J135" t="s">
        <v>198</v>
      </c>
      <c r="K135" s="5"/>
      <c r="L135" s="10" t="s">
        <v>57</v>
      </c>
      <c r="M135" s="49">
        <v>2</v>
      </c>
      <c r="N135" s="34">
        <f>PLANPRODUCCION[[#This Row],[PIEZAS PLANEADAS]]*PLANPRODUCCION[[#This Row],[PRECIO MAQUILAS]]</f>
        <v>0</v>
      </c>
      <c r="O135" s="5">
        <v>2</v>
      </c>
      <c r="P135" s="2">
        <v>0.66666666666666663</v>
      </c>
      <c r="Q135" s="2">
        <v>0.75</v>
      </c>
      <c r="R135" s="24">
        <v>550</v>
      </c>
      <c r="S135" s="35">
        <f>PLANPRODUCCION[[#This Row],[PRECIO MAQUILAS]]*PLANPRODUCCION[[#This Row],[PIEZAS REAL]]</f>
        <v>1100</v>
      </c>
      <c r="T13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3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3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13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852</v>
      </c>
      <c r="X135" s="8"/>
      <c r="Y13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3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3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35" s="13" t="e">
        <f>IF(PLANPRODUCCION[[#This Row],[PIEZAS REAL]]&gt;0,PLANPRODUCCION[[#This Row],[PIEZAS REAL]]/PLANPRODUCCION[[#This Row],[PIEZAS ACTUALIZADO]],)</f>
        <v>#DIV/0!</v>
      </c>
      <c r="AC135" s="10" t="b">
        <f>PLANPRODUCCION[[#This Row],[INGRESO PLANEADO]]&lt;PLANPRODUCCION[[#This Row],[COSTO PLANEADO]]</f>
        <v>0</v>
      </c>
      <c r="AD135" t="s">
        <v>231</v>
      </c>
      <c r="AE135" s="10"/>
      <c r="AF135" s="10" t="b">
        <f>IF(COUNTIF(PLANPRODUCCION[[#This Row],[OBSERVACIONES]],"NO APLICA BONO*")&gt;0,TRUE,FALSE)</f>
        <v>0</v>
      </c>
    </row>
    <row r="136" spans="1:32" x14ac:dyDescent="0.25">
      <c r="A136" s="46" t="str">
        <f>UPPER(IF(PLANPRODUCCION[[#This Row],[FECHA]]&lt;=45701,_xlfn.CONCAT(TEXT(B136,"MMM"),"-",IF(ROW(A136)&lt;11,"000"&amp;ROW(A136)-1,IF(ROW(A136)&lt;101,"00"&amp;ROW(A136)-1,IF(ROW(A136)&lt;1001,"0"&amp;ROW(A136)-1,ROW(A136)-1))),"-OLD"),_xlfn.CONCAT(TEXT(B136,"MMM"),"-",IF(ROW(A136)&lt;473,"000"&amp;ROW(A136)-463,IF(ROW(A136)&lt;563,"00"&amp;ROW(A136)-463,IF(ROW(A136)&lt;1001,"0"&amp;ROW(A136)-463,ROW(A136)-463))))))</f>
        <v>ENE-0135-OLD</v>
      </c>
      <c r="B136" s="1">
        <v>45670</v>
      </c>
      <c r="C136" s="5"/>
      <c r="D136" s="5"/>
      <c r="E136" t="s">
        <v>110</v>
      </c>
      <c r="F136" s="32"/>
      <c r="G136" s="32"/>
      <c r="H136" s="5">
        <v>1525</v>
      </c>
      <c r="I136" t="s">
        <v>197</v>
      </c>
      <c r="J136" t="s">
        <v>198</v>
      </c>
      <c r="K136" s="5"/>
      <c r="L136" s="10" t="s">
        <v>57</v>
      </c>
      <c r="M136" s="49">
        <v>2</v>
      </c>
      <c r="N136" s="34">
        <f>PLANPRODUCCION[[#This Row],[PIEZAS PLANEADAS]]*PLANPRODUCCION[[#This Row],[PRECIO MAQUILAS]]</f>
        <v>0</v>
      </c>
      <c r="O136" s="5">
        <v>3</v>
      </c>
      <c r="P136" s="2">
        <v>0.54166666666666663</v>
      </c>
      <c r="Q136" s="2">
        <v>0.86111111111111116</v>
      </c>
      <c r="R136" s="24">
        <v>2000</v>
      </c>
      <c r="S136" s="35">
        <f>PLANPRODUCCION[[#This Row],[PRECIO MAQUILAS]]*PLANPRODUCCION[[#This Row],[PIEZAS REAL]]</f>
        <v>4000</v>
      </c>
      <c r="T13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3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3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1782.5</v>
      </c>
      <c r="W13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2217.5</v>
      </c>
      <c r="X136" s="8"/>
      <c r="Y13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3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3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36" s="13" t="e">
        <f>IF(PLANPRODUCCION[[#This Row],[PIEZAS REAL]]&gt;0,PLANPRODUCCION[[#This Row],[PIEZAS REAL]]/PLANPRODUCCION[[#This Row],[PIEZAS ACTUALIZADO]],)</f>
        <v>#DIV/0!</v>
      </c>
      <c r="AC136" s="10" t="b">
        <f>PLANPRODUCCION[[#This Row],[INGRESO PLANEADO]]&lt;PLANPRODUCCION[[#This Row],[COSTO PLANEADO]]</f>
        <v>0</v>
      </c>
      <c r="AD136" t="s">
        <v>232</v>
      </c>
      <c r="AE136" s="10"/>
      <c r="AF136" s="10" t="b">
        <f>IF(COUNTIF(PLANPRODUCCION[[#This Row],[OBSERVACIONES]],"NO APLICA BONO*")&gt;0,TRUE,FALSE)</f>
        <v>0</v>
      </c>
    </row>
    <row r="137" spans="1:32" x14ac:dyDescent="0.25">
      <c r="A137" s="46" t="str">
        <f>UPPER(IF(PLANPRODUCCION[[#This Row],[FECHA]]&lt;=45701,_xlfn.CONCAT(TEXT(B137,"MMM"),"-",IF(ROW(A137)&lt;11,"000"&amp;ROW(A137)-1,IF(ROW(A137)&lt;101,"00"&amp;ROW(A137)-1,IF(ROW(A137)&lt;1001,"0"&amp;ROW(A137)-1,ROW(A137)-1))),"-OLD"),_xlfn.CONCAT(TEXT(B137,"MMM"),"-",IF(ROW(A137)&lt;473,"000"&amp;ROW(A137)-463,IF(ROW(A137)&lt;563,"00"&amp;ROW(A137)-463,IF(ROW(A137)&lt;1001,"0"&amp;ROW(A137)-463,ROW(A137)-463))))))</f>
        <v>ENE-0136-OLD</v>
      </c>
      <c r="B137" s="1">
        <v>45670</v>
      </c>
      <c r="C137" s="5"/>
      <c r="D137" s="5"/>
      <c r="E137" t="s">
        <v>72</v>
      </c>
      <c r="F137" s="32"/>
      <c r="G137" s="32"/>
      <c r="H137" s="5">
        <v>1528</v>
      </c>
      <c r="I137" t="s">
        <v>188</v>
      </c>
      <c r="J137" t="s">
        <v>144</v>
      </c>
      <c r="K137" s="5"/>
      <c r="L137" s="10" t="s">
        <v>57</v>
      </c>
      <c r="M137" s="49">
        <v>1</v>
      </c>
      <c r="N137" s="34">
        <f>PLANPRODUCCION[[#This Row],[PIEZAS PLANEADAS]]*PLANPRODUCCION[[#This Row],[PRECIO MAQUILAS]]</f>
        <v>0</v>
      </c>
      <c r="O137" s="5">
        <v>3</v>
      </c>
      <c r="P137" s="2">
        <v>0.66666666666666663</v>
      </c>
      <c r="Q137" s="2">
        <v>0.86111111111111116</v>
      </c>
      <c r="R137" s="24">
        <v>830</v>
      </c>
      <c r="S137" s="35">
        <f>PLANPRODUCCION[[#This Row],[PRECIO MAQUILAS]]*PLANPRODUCCION[[#This Row],[PIEZAS REAL]]</f>
        <v>830</v>
      </c>
      <c r="T13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3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3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868</v>
      </c>
      <c r="W13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-38</v>
      </c>
      <c r="X137" s="8"/>
      <c r="Y13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3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3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37" s="13" t="e">
        <f>IF(PLANPRODUCCION[[#This Row],[PIEZAS REAL]]&gt;0,PLANPRODUCCION[[#This Row],[PIEZAS REAL]]/PLANPRODUCCION[[#This Row],[PIEZAS ACTUALIZADO]],)</f>
        <v>#DIV/0!</v>
      </c>
      <c r="AC137" s="10" t="b">
        <f>PLANPRODUCCION[[#This Row],[INGRESO PLANEADO]]&lt;PLANPRODUCCION[[#This Row],[COSTO PLANEADO]]</f>
        <v>0</v>
      </c>
      <c r="AD137" t="s">
        <v>233</v>
      </c>
      <c r="AE137" s="10"/>
      <c r="AF137" s="10" t="b">
        <f>IF(COUNTIF(PLANPRODUCCION[[#This Row],[OBSERVACIONES]],"NO APLICA BONO*")&gt;0,TRUE,FALSE)</f>
        <v>0</v>
      </c>
    </row>
    <row r="138" spans="1:32" x14ac:dyDescent="0.25">
      <c r="A138" s="46" t="str">
        <f>UPPER(IF(PLANPRODUCCION[[#This Row],[FECHA]]&lt;=45701,_xlfn.CONCAT(TEXT(B138,"MMM"),"-",IF(ROW(A138)&lt;11,"000"&amp;ROW(A138)-1,IF(ROW(A138)&lt;101,"00"&amp;ROW(A138)-1,IF(ROW(A138)&lt;1001,"0"&amp;ROW(A138)-1,ROW(A138)-1))),"-OLD"),_xlfn.CONCAT(TEXT(B138,"MMM"),"-",IF(ROW(A138)&lt;473,"000"&amp;ROW(A138)-463,IF(ROW(A138)&lt;563,"00"&amp;ROW(A138)-463,IF(ROW(A138)&lt;1001,"0"&amp;ROW(A138)-463,ROW(A138)-463))))))</f>
        <v>ENE-0137-OLD</v>
      </c>
      <c r="B138" s="1">
        <v>45671</v>
      </c>
      <c r="C138" s="5"/>
      <c r="D138" s="5"/>
      <c r="E138" t="s">
        <v>54</v>
      </c>
      <c r="F138" s="32"/>
      <c r="G138" s="32"/>
      <c r="H138" s="5">
        <v>1525</v>
      </c>
      <c r="I138" t="s">
        <v>197</v>
      </c>
      <c r="J138" t="s">
        <v>198</v>
      </c>
      <c r="K138" s="5"/>
      <c r="L138" s="10" t="s">
        <v>57</v>
      </c>
      <c r="M138" s="49">
        <v>2</v>
      </c>
      <c r="N138" s="34">
        <f>PLANPRODUCCION[[#This Row],[PIEZAS PLANEADAS]]*PLANPRODUCCION[[#This Row],[PRECIO MAQUILAS]]</f>
        <v>0</v>
      </c>
      <c r="O138" s="5">
        <v>2</v>
      </c>
      <c r="P138" s="2">
        <v>0.25</v>
      </c>
      <c r="Q138" s="2">
        <v>0.63541666666666663</v>
      </c>
      <c r="R138" s="24">
        <v>2000</v>
      </c>
      <c r="S138" s="35">
        <f>PLANPRODUCCION[[#This Row],[PRECIO MAQUILAS]]*PLANPRODUCCION[[#This Row],[PIEZAS REAL]]</f>
        <v>4000</v>
      </c>
      <c r="T13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3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3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1147</v>
      </c>
      <c r="W13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2853</v>
      </c>
      <c r="X138" s="8"/>
      <c r="Y13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3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3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38" s="13" t="e">
        <f>IF(PLANPRODUCCION[[#This Row],[PIEZAS REAL]]&gt;0,PLANPRODUCCION[[#This Row],[PIEZAS REAL]]/PLANPRODUCCION[[#This Row],[PIEZAS ACTUALIZADO]],)</f>
        <v>#DIV/0!</v>
      </c>
      <c r="AC138" s="10" t="b">
        <f>PLANPRODUCCION[[#This Row],[INGRESO PLANEADO]]&lt;PLANPRODUCCION[[#This Row],[COSTO PLANEADO]]</f>
        <v>0</v>
      </c>
      <c r="AD138" t="s">
        <v>234</v>
      </c>
      <c r="AE138" s="10"/>
      <c r="AF138" s="10" t="b">
        <f>IF(COUNTIF(PLANPRODUCCION[[#This Row],[OBSERVACIONES]],"NO APLICA BONO*")&gt;0,TRUE,FALSE)</f>
        <v>0</v>
      </c>
    </row>
    <row r="139" spans="1:32" x14ac:dyDescent="0.25">
      <c r="A139" s="46" t="str">
        <f>UPPER(IF(PLANPRODUCCION[[#This Row],[FECHA]]&lt;=45701,_xlfn.CONCAT(TEXT(B139,"MMM"),"-",IF(ROW(A139)&lt;11,"000"&amp;ROW(A139)-1,IF(ROW(A139)&lt;101,"00"&amp;ROW(A139)-1,IF(ROW(A139)&lt;1001,"0"&amp;ROW(A139)-1,ROW(A139)-1))),"-OLD"),_xlfn.CONCAT(TEXT(B139,"MMM"),"-",IF(ROW(A139)&lt;473,"000"&amp;ROW(A139)-463,IF(ROW(A139)&lt;563,"00"&amp;ROW(A139)-463,IF(ROW(A139)&lt;1001,"0"&amp;ROW(A139)-463,ROW(A139)-463))))))</f>
        <v>ENE-0138-OLD</v>
      </c>
      <c r="B139" s="1">
        <v>45671</v>
      </c>
      <c r="C139" s="5"/>
      <c r="D139" s="5"/>
      <c r="E139" t="s">
        <v>54</v>
      </c>
      <c r="F139" s="32"/>
      <c r="G139" s="32"/>
      <c r="H139" s="5">
        <v>1528</v>
      </c>
      <c r="I139" t="s">
        <v>188</v>
      </c>
      <c r="J139" t="s">
        <v>144</v>
      </c>
      <c r="K139" s="5"/>
      <c r="L139" s="10" t="s">
        <v>57</v>
      </c>
      <c r="M139" s="49">
        <v>1</v>
      </c>
      <c r="N139" s="34">
        <f>PLANPRODUCCION[[#This Row],[PIEZAS PLANEADAS]]*PLANPRODUCCION[[#This Row],[PRECIO MAQUILAS]]</f>
        <v>0</v>
      </c>
      <c r="O139" s="5">
        <v>7</v>
      </c>
      <c r="P139" s="2">
        <v>0.25</v>
      </c>
      <c r="Q139" s="2">
        <v>0.34722222222222221</v>
      </c>
      <c r="R139" s="24">
        <v>500</v>
      </c>
      <c r="S139" s="35">
        <f>PLANPRODUCCION[[#This Row],[PRECIO MAQUILAS]]*PLANPRODUCCION[[#This Row],[PIEZAS REAL]]</f>
        <v>500</v>
      </c>
      <c r="T13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3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3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1012.6666666666666</v>
      </c>
      <c r="W13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-512.66666666666663</v>
      </c>
      <c r="X139" s="8"/>
      <c r="Y13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3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3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39" s="13" t="e">
        <f>IF(PLANPRODUCCION[[#This Row],[PIEZAS REAL]]&gt;0,PLANPRODUCCION[[#This Row],[PIEZAS REAL]]/PLANPRODUCCION[[#This Row],[PIEZAS ACTUALIZADO]],)</f>
        <v>#DIV/0!</v>
      </c>
      <c r="AC139" s="10" t="b">
        <f>PLANPRODUCCION[[#This Row],[INGRESO PLANEADO]]&lt;PLANPRODUCCION[[#This Row],[COSTO PLANEADO]]</f>
        <v>0</v>
      </c>
      <c r="AD139" t="s">
        <v>235</v>
      </c>
      <c r="AE139" s="10"/>
      <c r="AF139" s="10" t="b">
        <f>IF(COUNTIF(PLANPRODUCCION[[#This Row],[OBSERVACIONES]],"NO APLICA BONO*")&gt;0,TRUE,FALSE)</f>
        <v>0</v>
      </c>
    </row>
    <row r="140" spans="1:32" x14ac:dyDescent="0.25">
      <c r="A140" s="46" t="str">
        <f>UPPER(IF(PLANPRODUCCION[[#This Row],[FECHA]]&lt;=45701,_xlfn.CONCAT(TEXT(B140,"MMM"),"-",IF(ROW(A140)&lt;11,"000"&amp;ROW(A140)-1,IF(ROW(A140)&lt;101,"00"&amp;ROW(A140)-1,IF(ROW(A140)&lt;1001,"0"&amp;ROW(A140)-1,ROW(A140)-1))),"-OLD"),_xlfn.CONCAT(TEXT(B140,"MMM"),"-",IF(ROW(A140)&lt;473,"000"&amp;ROW(A140)-463,IF(ROW(A140)&lt;563,"00"&amp;ROW(A140)-463,IF(ROW(A140)&lt;1001,"0"&amp;ROW(A140)-463,ROW(A140)-463))))))</f>
        <v>ENE-0139-OLD</v>
      </c>
      <c r="B140" s="1">
        <v>45671</v>
      </c>
      <c r="C140" s="5"/>
      <c r="D140" s="5"/>
      <c r="E140" t="s">
        <v>54</v>
      </c>
      <c r="F140" s="32"/>
      <c r="G140" s="32"/>
      <c r="H140" s="5">
        <v>1528</v>
      </c>
      <c r="I140" t="s">
        <v>188</v>
      </c>
      <c r="J140" t="s">
        <v>144</v>
      </c>
      <c r="K140" s="5"/>
      <c r="L140" s="10" t="s">
        <v>57</v>
      </c>
      <c r="M140" s="49">
        <v>1</v>
      </c>
      <c r="N140" s="34">
        <f>PLANPRODUCCION[[#This Row],[PIEZAS PLANEADAS]]*PLANPRODUCCION[[#This Row],[PRECIO MAQUILAS]]</f>
        <v>0</v>
      </c>
      <c r="O140" s="5">
        <v>2</v>
      </c>
      <c r="P140" s="2">
        <v>0.25</v>
      </c>
      <c r="Q140" s="2">
        <v>0.63541666666666663</v>
      </c>
      <c r="R140" s="24">
        <v>1428</v>
      </c>
      <c r="S140" s="35">
        <f>PLANPRODUCCION[[#This Row],[PRECIO MAQUILAS]]*PLANPRODUCCION[[#This Row],[PIEZAS REAL]]</f>
        <v>1428</v>
      </c>
      <c r="T14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4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4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1147</v>
      </c>
      <c r="W14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281</v>
      </c>
      <c r="X140" s="8"/>
      <c r="Y14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4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4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40" s="13" t="e">
        <f>IF(PLANPRODUCCION[[#This Row],[PIEZAS REAL]]&gt;0,PLANPRODUCCION[[#This Row],[PIEZAS REAL]]/PLANPRODUCCION[[#This Row],[PIEZAS ACTUALIZADO]],)</f>
        <v>#DIV/0!</v>
      </c>
      <c r="AC140" s="10" t="b">
        <f>PLANPRODUCCION[[#This Row],[INGRESO PLANEADO]]&lt;PLANPRODUCCION[[#This Row],[COSTO PLANEADO]]</f>
        <v>0</v>
      </c>
      <c r="AD140" t="s">
        <v>236</v>
      </c>
      <c r="AE140" s="10"/>
      <c r="AF140" s="10" t="b">
        <f>IF(COUNTIF(PLANPRODUCCION[[#This Row],[OBSERVACIONES]],"NO APLICA BONO*")&gt;0,TRUE,FALSE)</f>
        <v>0</v>
      </c>
    </row>
    <row r="141" spans="1:32" x14ac:dyDescent="0.25">
      <c r="A141" s="46" t="str">
        <f>UPPER(IF(PLANPRODUCCION[[#This Row],[FECHA]]&lt;=45701,_xlfn.CONCAT(TEXT(B141,"MMM"),"-",IF(ROW(A141)&lt;11,"000"&amp;ROW(A141)-1,IF(ROW(A141)&lt;101,"00"&amp;ROW(A141)-1,IF(ROW(A141)&lt;1001,"0"&amp;ROW(A141)-1,ROW(A141)-1))),"-OLD"),_xlfn.CONCAT(TEXT(B141,"MMM"),"-",IF(ROW(A141)&lt;473,"000"&amp;ROW(A141)-463,IF(ROW(A141)&lt;563,"00"&amp;ROW(A141)-463,IF(ROW(A141)&lt;1001,"0"&amp;ROW(A141)-463,ROW(A141)-463))))))</f>
        <v>ENE-0140-OLD</v>
      </c>
      <c r="B141" s="1">
        <v>45671</v>
      </c>
      <c r="C141" s="5"/>
      <c r="D141" s="5"/>
      <c r="E141" t="s">
        <v>54</v>
      </c>
      <c r="F141" s="32"/>
      <c r="G141" s="32"/>
      <c r="H141" s="5">
        <v>1528</v>
      </c>
      <c r="I141" t="s">
        <v>188</v>
      </c>
      <c r="J141" t="s">
        <v>144</v>
      </c>
      <c r="K141" s="5"/>
      <c r="L141" s="10" t="s">
        <v>57</v>
      </c>
      <c r="M141" s="49">
        <v>1</v>
      </c>
      <c r="N141" s="34">
        <f>PLANPRODUCCION[[#This Row],[PIEZAS PLANEADAS]]*PLANPRODUCCION[[#This Row],[PRECIO MAQUILAS]]</f>
        <v>0</v>
      </c>
      <c r="O141" s="5">
        <v>2</v>
      </c>
      <c r="P141" s="2">
        <v>0.25</v>
      </c>
      <c r="Q141" s="2">
        <v>0.66666666666666663</v>
      </c>
      <c r="R141" s="24">
        <v>1283</v>
      </c>
      <c r="S141" s="35">
        <f>PLANPRODUCCION[[#This Row],[PRECIO MAQUILAS]]*PLANPRODUCCION[[#This Row],[PIEZAS REAL]]</f>
        <v>1283</v>
      </c>
      <c r="T14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4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4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14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43</v>
      </c>
      <c r="X141" s="8"/>
      <c r="Y14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4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4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41" s="13" t="e">
        <f>IF(PLANPRODUCCION[[#This Row],[PIEZAS REAL]]&gt;0,PLANPRODUCCION[[#This Row],[PIEZAS REAL]]/PLANPRODUCCION[[#This Row],[PIEZAS ACTUALIZADO]],)</f>
        <v>#DIV/0!</v>
      </c>
      <c r="AC141" s="10" t="b">
        <f>PLANPRODUCCION[[#This Row],[INGRESO PLANEADO]]&lt;PLANPRODUCCION[[#This Row],[COSTO PLANEADO]]</f>
        <v>0</v>
      </c>
      <c r="AD141" t="s">
        <v>237</v>
      </c>
      <c r="AE141" s="10"/>
      <c r="AF141" s="10" t="b">
        <f>IF(COUNTIF(PLANPRODUCCION[[#This Row],[OBSERVACIONES]],"NO APLICA BONO*")&gt;0,TRUE,FALSE)</f>
        <v>0</v>
      </c>
    </row>
    <row r="142" spans="1:32" x14ac:dyDescent="0.25">
      <c r="A142" s="46" t="str">
        <f>UPPER(IF(PLANPRODUCCION[[#This Row],[FECHA]]&lt;=45701,_xlfn.CONCAT(TEXT(B142,"MMM"),"-",IF(ROW(A142)&lt;11,"000"&amp;ROW(A142)-1,IF(ROW(A142)&lt;101,"00"&amp;ROW(A142)-1,IF(ROW(A142)&lt;1001,"0"&amp;ROW(A142)-1,ROW(A142)-1))),"-OLD"),_xlfn.CONCAT(TEXT(B142,"MMM"),"-",IF(ROW(A142)&lt;473,"000"&amp;ROW(A142)-463,IF(ROW(A142)&lt;563,"00"&amp;ROW(A142)-463,IF(ROW(A142)&lt;1001,"0"&amp;ROW(A142)-463,ROW(A142)-463))))))</f>
        <v>ENE-0141-OLD</v>
      </c>
      <c r="B142" s="1">
        <v>45671</v>
      </c>
      <c r="C142" s="5"/>
      <c r="D142" s="5"/>
      <c r="E142" t="s">
        <v>54</v>
      </c>
      <c r="F142" s="32"/>
      <c r="G142" s="32"/>
      <c r="H142" s="5">
        <v>1528</v>
      </c>
      <c r="I142" t="s">
        <v>188</v>
      </c>
      <c r="J142" t="s">
        <v>148</v>
      </c>
      <c r="K142" s="5"/>
      <c r="L142" s="10" t="s">
        <v>83</v>
      </c>
      <c r="M142" s="49">
        <v>10</v>
      </c>
      <c r="N142" s="34">
        <f>PLANPRODUCCION[[#This Row],[PIEZAS PLANEADAS]]*PLANPRODUCCION[[#This Row],[PRECIO MAQUILAS]]</f>
        <v>0</v>
      </c>
      <c r="O142" s="5">
        <v>7</v>
      </c>
      <c r="P142" s="2">
        <v>0.34722222222222221</v>
      </c>
      <c r="Q142" s="2">
        <v>0.63541666666666663</v>
      </c>
      <c r="R142" s="24">
        <v>235</v>
      </c>
      <c r="S142" s="35">
        <f>PLANPRODUCCION[[#This Row],[PRECIO MAQUILAS]]*PLANPRODUCCION[[#This Row],[PIEZAS REAL]]</f>
        <v>2350</v>
      </c>
      <c r="T14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4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4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3001.833333333333</v>
      </c>
      <c r="W14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-651.83333333333303</v>
      </c>
      <c r="X142" s="8"/>
      <c r="Y14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4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4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42" s="13" t="e">
        <f>IF(PLANPRODUCCION[[#This Row],[PIEZAS REAL]]&gt;0,PLANPRODUCCION[[#This Row],[PIEZAS REAL]]/PLANPRODUCCION[[#This Row],[PIEZAS ACTUALIZADO]],)</f>
        <v>#DIV/0!</v>
      </c>
      <c r="AC142" s="10" t="b">
        <f>PLANPRODUCCION[[#This Row],[INGRESO PLANEADO]]&lt;PLANPRODUCCION[[#This Row],[COSTO PLANEADO]]</f>
        <v>0</v>
      </c>
      <c r="AD142" t="s">
        <v>238</v>
      </c>
      <c r="AE142" s="10"/>
      <c r="AF142" s="10" t="b">
        <f>IF(COUNTIF(PLANPRODUCCION[[#This Row],[OBSERVACIONES]],"NO APLICA BONO*")&gt;0,TRUE,FALSE)</f>
        <v>0</v>
      </c>
    </row>
    <row r="143" spans="1:32" x14ac:dyDescent="0.25">
      <c r="A143" s="46" t="str">
        <f>UPPER(IF(PLANPRODUCCION[[#This Row],[FECHA]]&lt;=45701,_xlfn.CONCAT(TEXT(B143,"MMM"),"-",IF(ROW(A143)&lt;11,"000"&amp;ROW(A143)-1,IF(ROW(A143)&lt;101,"00"&amp;ROW(A143)-1,IF(ROW(A143)&lt;1001,"0"&amp;ROW(A143)-1,ROW(A143)-1))),"-OLD"),_xlfn.CONCAT(TEXT(B143,"MMM"),"-",IF(ROW(A143)&lt;473,"000"&amp;ROW(A143)-463,IF(ROW(A143)&lt;563,"00"&amp;ROW(A143)-463,IF(ROW(A143)&lt;1001,"0"&amp;ROW(A143)-463,ROW(A143)-463))))))</f>
        <v>ENE-0142-OLD</v>
      </c>
      <c r="B143" s="1">
        <v>45671</v>
      </c>
      <c r="C143" s="5"/>
      <c r="D143" s="5"/>
      <c r="E143" t="s">
        <v>67</v>
      </c>
      <c r="F143" s="32"/>
      <c r="G143" s="32"/>
      <c r="H143" s="5">
        <v>1533</v>
      </c>
      <c r="I143" t="s">
        <v>239</v>
      </c>
      <c r="J143" t="s">
        <v>240</v>
      </c>
      <c r="K143" s="5"/>
      <c r="L143" s="10" t="s">
        <v>83</v>
      </c>
      <c r="M143" s="49">
        <v>10</v>
      </c>
      <c r="N143" s="34">
        <f>PLANPRODUCCION[[#This Row],[PIEZAS PLANEADAS]]*PLANPRODUCCION[[#This Row],[PRECIO MAQUILAS]]</f>
        <v>0</v>
      </c>
      <c r="O143" s="5">
        <v>2</v>
      </c>
      <c r="P143" s="2">
        <v>0.33333333333333331</v>
      </c>
      <c r="Q143" s="2">
        <v>0.63194444444444442</v>
      </c>
      <c r="R143" s="24">
        <v>11500</v>
      </c>
      <c r="S143" s="35">
        <f>PLANPRODUCCION[[#This Row],[PRECIO MAQUILAS]]*PLANPRODUCCION[[#This Row],[PIEZAS REAL]]</f>
        <v>115000</v>
      </c>
      <c r="T14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4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4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888.66666666666663</v>
      </c>
      <c r="W14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114111.33333333333</v>
      </c>
      <c r="X143" s="8"/>
      <c r="Y14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4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4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43" s="13" t="e">
        <f>IF(PLANPRODUCCION[[#This Row],[PIEZAS REAL]]&gt;0,PLANPRODUCCION[[#This Row],[PIEZAS REAL]]/PLANPRODUCCION[[#This Row],[PIEZAS ACTUALIZADO]],)</f>
        <v>#DIV/0!</v>
      </c>
      <c r="AC143" s="10" t="b">
        <f>PLANPRODUCCION[[#This Row],[INGRESO PLANEADO]]&lt;PLANPRODUCCION[[#This Row],[COSTO PLANEADO]]</f>
        <v>0</v>
      </c>
      <c r="AD143" t="s">
        <v>241</v>
      </c>
      <c r="AE143" s="10"/>
      <c r="AF143" s="10" t="b">
        <f>IF(COUNTIF(PLANPRODUCCION[[#This Row],[OBSERVACIONES]],"NO APLICA BONO*")&gt;0,TRUE,FALSE)</f>
        <v>0</v>
      </c>
    </row>
    <row r="144" spans="1:32" x14ac:dyDescent="0.25">
      <c r="A144" s="46" t="str">
        <f>UPPER(IF(PLANPRODUCCION[[#This Row],[FECHA]]&lt;=45701,_xlfn.CONCAT(TEXT(B144,"MMM"),"-",IF(ROW(A144)&lt;11,"000"&amp;ROW(A144)-1,IF(ROW(A144)&lt;101,"00"&amp;ROW(A144)-1,IF(ROW(A144)&lt;1001,"0"&amp;ROW(A144)-1,ROW(A144)-1))),"-OLD"),_xlfn.CONCAT(TEXT(B144,"MMM"),"-",IF(ROW(A144)&lt;473,"000"&amp;ROW(A144)-463,IF(ROW(A144)&lt;563,"00"&amp;ROW(A144)-463,IF(ROW(A144)&lt;1001,"0"&amp;ROW(A144)-463,ROW(A144)-463))))))</f>
        <v>ENE-0143-OLD</v>
      </c>
      <c r="B144" s="1">
        <v>45671</v>
      </c>
      <c r="C144" s="5"/>
      <c r="D144" s="5"/>
      <c r="E144" t="s">
        <v>67</v>
      </c>
      <c r="F144" s="32"/>
      <c r="G144" s="32"/>
      <c r="H144" s="5">
        <v>1528</v>
      </c>
      <c r="I144" t="s">
        <v>188</v>
      </c>
      <c r="J144" t="s">
        <v>142</v>
      </c>
      <c r="K144" s="5"/>
      <c r="L144" s="10" t="s">
        <v>57</v>
      </c>
      <c r="M144" s="49">
        <v>0.5</v>
      </c>
      <c r="N144" s="34">
        <f>PLANPRODUCCION[[#This Row],[PIEZAS PLANEADAS]]*PLANPRODUCCION[[#This Row],[PRECIO MAQUILAS]]</f>
        <v>0</v>
      </c>
      <c r="O144" s="5">
        <v>2</v>
      </c>
      <c r="P144" s="2">
        <v>0.375</v>
      </c>
      <c r="Q144" s="2">
        <v>0.70833333333333337</v>
      </c>
      <c r="R144" s="24">
        <v>118</v>
      </c>
      <c r="S144" s="35">
        <f>PLANPRODUCCION[[#This Row],[PRECIO MAQUILAS]]*PLANPRODUCCION[[#This Row],[PIEZAS REAL]]</f>
        <v>59</v>
      </c>
      <c r="T14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4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4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992</v>
      </c>
      <c r="W14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-933</v>
      </c>
      <c r="X144" s="8"/>
      <c r="Y14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4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4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44" s="13" t="e">
        <f>IF(PLANPRODUCCION[[#This Row],[PIEZAS REAL]]&gt;0,PLANPRODUCCION[[#This Row],[PIEZAS REAL]]/PLANPRODUCCION[[#This Row],[PIEZAS ACTUALIZADO]],)</f>
        <v>#DIV/0!</v>
      </c>
      <c r="AC144" s="10" t="b">
        <f>PLANPRODUCCION[[#This Row],[INGRESO PLANEADO]]&lt;PLANPRODUCCION[[#This Row],[COSTO PLANEADO]]</f>
        <v>0</v>
      </c>
      <c r="AD144" t="s">
        <v>242</v>
      </c>
      <c r="AE144" s="10"/>
      <c r="AF144" s="10" t="b">
        <f>IF(COUNTIF(PLANPRODUCCION[[#This Row],[OBSERVACIONES]],"NO APLICA BONO*")&gt;0,TRUE,FALSE)</f>
        <v>0</v>
      </c>
    </row>
    <row r="145" spans="1:32" x14ac:dyDescent="0.25">
      <c r="A145" s="46" t="str">
        <f>UPPER(IF(PLANPRODUCCION[[#This Row],[FECHA]]&lt;=45701,_xlfn.CONCAT(TEXT(B145,"MMM"),"-",IF(ROW(A145)&lt;11,"000"&amp;ROW(A145)-1,IF(ROW(A145)&lt;101,"00"&amp;ROW(A145)-1,IF(ROW(A145)&lt;1001,"0"&amp;ROW(A145)-1,ROW(A145)-1))),"-OLD"),_xlfn.CONCAT(TEXT(B145,"MMM"),"-",IF(ROW(A145)&lt;473,"000"&amp;ROW(A145)-463,IF(ROW(A145)&lt;563,"00"&amp;ROW(A145)-463,IF(ROW(A145)&lt;1001,"0"&amp;ROW(A145)-463,ROW(A145)-463))))))</f>
        <v>ENE-0144-OLD</v>
      </c>
      <c r="B145" s="1">
        <v>45671</v>
      </c>
      <c r="C145" s="5"/>
      <c r="D145" s="5"/>
      <c r="E145" t="s">
        <v>67</v>
      </c>
      <c r="F145" s="32"/>
      <c r="G145" s="32"/>
      <c r="H145" s="5">
        <v>1528</v>
      </c>
      <c r="I145" t="s">
        <v>188</v>
      </c>
      <c r="J145" t="s">
        <v>148</v>
      </c>
      <c r="K145" s="5"/>
      <c r="L145" s="10" t="s">
        <v>83</v>
      </c>
      <c r="M145" s="49">
        <v>10</v>
      </c>
      <c r="N145" s="34">
        <f>PLANPRODUCCION[[#This Row],[PIEZAS PLANEADAS]]*PLANPRODUCCION[[#This Row],[PRECIO MAQUILAS]]</f>
        <v>0</v>
      </c>
      <c r="O145" s="5">
        <v>4</v>
      </c>
      <c r="P145" s="2">
        <v>0.375</v>
      </c>
      <c r="Q145" s="2">
        <v>0.70833333333333337</v>
      </c>
      <c r="R145" s="24">
        <v>210</v>
      </c>
      <c r="S145" s="35">
        <f>PLANPRODUCCION[[#This Row],[PRECIO MAQUILAS]]*PLANPRODUCCION[[#This Row],[PIEZAS REAL]]</f>
        <v>2100</v>
      </c>
      <c r="T14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4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4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1984</v>
      </c>
      <c r="W14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116</v>
      </c>
      <c r="X145" s="8"/>
      <c r="Y14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4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4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45" s="13" t="e">
        <f>IF(PLANPRODUCCION[[#This Row],[PIEZAS REAL]]&gt;0,PLANPRODUCCION[[#This Row],[PIEZAS REAL]]/PLANPRODUCCION[[#This Row],[PIEZAS ACTUALIZADO]],)</f>
        <v>#DIV/0!</v>
      </c>
      <c r="AC145" s="10" t="b">
        <f>PLANPRODUCCION[[#This Row],[INGRESO PLANEADO]]&lt;PLANPRODUCCION[[#This Row],[COSTO PLANEADO]]</f>
        <v>0</v>
      </c>
      <c r="AD145" t="s">
        <v>243</v>
      </c>
      <c r="AE145" s="10"/>
      <c r="AF145" s="10" t="b">
        <f>IF(COUNTIF(PLANPRODUCCION[[#This Row],[OBSERVACIONES]],"NO APLICA BONO*")&gt;0,TRUE,FALSE)</f>
        <v>0</v>
      </c>
    </row>
    <row r="146" spans="1:32" x14ac:dyDescent="0.25">
      <c r="A146" s="46" t="str">
        <f>UPPER(IF(PLANPRODUCCION[[#This Row],[FECHA]]&lt;=45701,_xlfn.CONCAT(TEXT(B146,"MMM"),"-",IF(ROW(A146)&lt;11,"000"&amp;ROW(A146)-1,IF(ROW(A146)&lt;101,"00"&amp;ROW(A146)-1,IF(ROW(A146)&lt;1001,"0"&amp;ROW(A146)-1,ROW(A146)-1))),"-OLD"),_xlfn.CONCAT(TEXT(B146,"MMM"),"-",IF(ROW(A146)&lt;473,"000"&amp;ROW(A146)-463,IF(ROW(A146)&lt;563,"00"&amp;ROW(A146)-463,IF(ROW(A146)&lt;1001,"0"&amp;ROW(A146)-463,ROW(A146)-463))))))</f>
        <v>ENE-0145-OLD</v>
      </c>
      <c r="B146" s="1">
        <v>45671</v>
      </c>
      <c r="C146" s="5"/>
      <c r="D146" s="5"/>
      <c r="E146" t="s">
        <v>67</v>
      </c>
      <c r="F146" s="32"/>
      <c r="G146" s="32"/>
      <c r="H146" s="5">
        <v>1527</v>
      </c>
      <c r="I146" t="s">
        <v>59</v>
      </c>
      <c r="J146" t="s">
        <v>193</v>
      </c>
      <c r="K146" s="5"/>
      <c r="L146" s="10" t="s">
        <v>57</v>
      </c>
      <c r="M146" s="49">
        <v>4</v>
      </c>
      <c r="N146" s="34">
        <f>PLANPRODUCCION[[#This Row],[PIEZAS PLANEADAS]]*PLANPRODUCCION[[#This Row],[PRECIO MAQUILAS]]</f>
        <v>0</v>
      </c>
      <c r="O146" s="5">
        <v>2</v>
      </c>
      <c r="P146" s="2">
        <v>0.63194444444444442</v>
      </c>
      <c r="Q146" s="2">
        <v>0.75</v>
      </c>
      <c r="R146" s="24">
        <v>60</v>
      </c>
      <c r="S146" s="35">
        <f>PLANPRODUCCION[[#This Row],[PRECIO MAQUILAS]]*PLANPRODUCCION[[#This Row],[PIEZAS REAL]]</f>
        <v>240</v>
      </c>
      <c r="T14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4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4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351.33333333333331</v>
      </c>
      <c r="W14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-111.33333333333331</v>
      </c>
      <c r="X146" s="8"/>
      <c r="Y14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4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4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46" s="13" t="e">
        <f>IF(PLANPRODUCCION[[#This Row],[PIEZAS REAL]]&gt;0,PLANPRODUCCION[[#This Row],[PIEZAS REAL]]/PLANPRODUCCION[[#This Row],[PIEZAS ACTUALIZADO]],)</f>
        <v>#DIV/0!</v>
      </c>
      <c r="AC146" s="10" t="b">
        <f>PLANPRODUCCION[[#This Row],[INGRESO PLANEADO]]&lt;PLANPRODUCCION[[#This Row],[COSTO PLANEADO]]</f>
        <v>0</v>
      </c>
      <c r="AD146" t="s">
        <v>244</v>
      </c>
      <c r="AE146" s="10"/>
      <c r="AF146" s="10" t="b">
        <f>IF(COUNTIF(PLANPRODUCCION[[#This Row],[OBSERVACIONES]],"NO APLICA BONO*")&gt;0,TRUE,FALSE)</f>
        <v>0</v>
      </c>
    </row>
    <row r="147" spans="1:32" x14ac:dyDescent="0.25">
      <c r="A147" s="46" t="str">
        <f>UPPER(IF(PLANPRODUCCION[[#This Row],[FECHA]]&lt;=45701,_xlfn.CONCAT(TEXT(B147,"MMM"),"-",IF(ROW(A147)&lt;11,"000"&amp;ROW(A147)-1,IF(ROW(A147)&lt;101,"00"&amp;ROW(A147)-1,IF(ROW(A147)&lt;1001,"0"&amp;ROW(A147)-1,ROW(A147)-1))),"-OLD"),_xlfn.CONCAT(TEXT(B147,"MMM"),"-",IF(ROW(A147)&lt;473,"000"&amp;ROW(A147)-463,IF(ROW(A147)&lt;563,"00"&amp;ROW(A147)-463,IF(ROW(A147)&lt;1001,"0"&amp;ROW(A147)-463,ROW(A147)-463))))))</f>
        <v>ENE-0146-OLD</v>
      </c>
      <c r="B147" s="1">
        <v>45671</v>
      </c>
      <c r="C147" s="5"/>
      <c r="D147" s="5"/>
      <c r="E147" t="s">
        <v>110</v>
      </c>
      <c r="F147" s="32"/>
      <c r="G147" s="32"/>
      <c r="H147" s="5">
        <v>1527</v>
      </c>
      <c r="I147" t="s">
        <v>59</v>
      </c>
      <c r="J147" t="s">
        <v>193</v>
      </c>
      <c r="K147" s="5"/>
      <c r="L147" s="10" t="s">
        <v>57</v>
      </c>
      <c r="M147" s="49">
        <v>4</v>
      </c>
      <c r="N147" s="34">
        <f>PLANPRODUCCION[[#This Row],[PIEZAS PLANEADAS]]*PLANPRODUCCION[[#This Row],[PRECIO MAQUILAS]]</f>
        <v>0</v>
      </c>
      <c r="O147" s="5">
        <v>1</v>
      </c>
      <c r="P147" s="2">
        <v>0.54166666666666663</v>
      </c>
      <c r="Q147" s="2">
        <v>0.66666666666666663</v>
      </c>
      <c r="R147" s="24">
        <v>0</v>
      </c>
      <c r="S147" s="35">
        <f>PLANPRODUCCION[[#This Row],[PRECIO MAQUILAS]]*PLANPRODUCCION[[#This Row],[PIEZAS REAL]]</f>
        <v>0</v>
      </c>
      <c r="T14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4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4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232.5</v>
      </c>
      <c r="W14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-232.5</v>
      </c>
      <c r="X147" s="8"/>
      <c r="Y14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4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47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147" s="13">
        <f>IF(PLANPRODUCCION[[#This Row],[PIEZAS REAL]]&gt;0,PLANPRODUCCION[[#This Row],[PIEZAS REAL]]/PLANPRODUCCION[[#This Row],[PIEZAS ACTUALIZADO]],)</f>
        <v>0</v>
      </c>
      <c r="AC147" s="10" t="b">
        <f>PLANPRODUCCION[[#This Row],[INGRESO PLANEADO]]&lt;PLANPRODUCCION[[#This Row],[COSTO PLANEADO]]</f>
        <v>0</v>
      </c>
      <c r="AD147" t="s">
        <v>245</v>
      </c>
      <c r="AE147" s="10"/>
      <c r="AF147" s="10" t="b">
        <f>IF(COUNTIF(PLANPRODUCCION[[#This Row],[OBSERVACIONES]],"NO APLICA BONO*")&gt;0,TRUE,FALSE)</f>
        <v>0</v>
      </c>
    </row>
    <row r="148" spans="1:32" x14ac:dyDescent="0.25">
      <c r="A148" s="46" t="str">
        <f>UPPER(IF(PLANPRODUCCION[[#This Row],[FECHA]]&lt;=45701,_xlfn.CONCAT(TEXT(B148,"MMM"),"-",IF(ROW(A148)&lt;11,"000"&amp;ROW(A148)-1,IF(ROW(A148)&lt;101,"00"&amp;ROW(A148)-1,IF(ROW(A148)&lt;1001,"0"&amp;ROW(A148)-1,ROW(A148)-1))),"-OLD"),_xlfn.CONCAT(TEXT(B148,"MMM"),"-",IF(ROW(A148)&lt;473,"000"&amp;ROW(A148)-463,IF(ROW(A148)&lt;563,"00"&amp;ROW(A148)-463,IF(ROW(A148)&lt;1001,"0"&amp;ROW(A148)-463,ROW(A148)-463))))))</f>
        <v>ENE-0147-OLD</v>
      </c>
      <c r="B148" s="1">
        <v>45671</v>
      </c>
      <c r="C148" s="5"/>
      <c r="D148" s="5"/>
      <c r="E148" t="s">
        <v>110</v>
      </c>
      <c r="F148" s="32"/>
      <c r="G148" s="32"/>
      <c r="H148" s="5">
        <v>1527</v>
      </c>
      <c r="I148" t="s">
        <v>59</v>
      </c>
      <c r="J148" t="s">
        <v>193</v>
      </c>
      <c r="K148" s="5"/>
      <c r="L148" s="10" t="s">
        <v>57</v>
      </c>
      <c r="M148" s="49">
        <v>4</v>
      </c>
      <c r="N148" s="34">
        <f>PLANPRODUCCION[[#This Row],[PIEZAS PLANEADAS]]*PLANPRODUCCION[[#This Row],[PRECIO MAQUILAS]]</f>
        <v>0</v>
      </c>
      <c r="O148" s="5">
        <v>3</v>
      </c>
      <c r="P148" s="2">
        <v>0.54166666666666663</v>
      </c>
      <c r="Q148" s="2">
        <v>0.86111111111111116</v>
      </c>
      <c r="R148" s="24">
        <v>610</v>
      </c>
      <c r="S148" s="35">
        <f>PLANPRODUCCION[[#This Row],[PRECIO MAQUILAS]]*PLANPRODUCCION[[#This Row],[PIEZAS REAL]]</f>
        <v>2440</v>
      </c>
      <c r="T14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4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4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1782.5</v>
      </c>
      <c r="W14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657.5</v>
      </c>
      <c r="X148" s="8"/>
      <c r="Y14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4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4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48" s="13" t="e">
        <f>IF(PLANPRODUCCION[[#This Row],[PIEZAS REAL]]&gt;0,PLANPRODUCCION[[#This Row],[PIEZAS REAL]]/PLANPRODUCCION[[#This Row],[PIEZAS ACTUALIZADO]],)</f>
        <v>#DIV/0!</v>
      </c>
      <c r="AC148" s="10" t="b">
        <f>PLANPRODUCCION[[#This Row],[INGRESO PLANEADO]]&lt;PLANPRODUCCION[[#This Row],[COSTO PLANEADO]]</f>
        <v>0</v>
      </c>
      <c r="AD148" t="s">
        <v>246</v>
      </c>
      <c r="AE148" s="10"/>
      <c r="AF148" s="10" t="b">
        <f>IF(COUNTIF(PLANPRODUCCION[[#This Row],[OBSERVACIONES]],"NO APLICA BONO*")&gt;0,TRUE,FALSE)</f>
        <v>0</v>
      </c>
    </row>
    <row r="149" spans="1:32" x14ac:dyDescent="0.25">
      <c r="A149" s="46" t="str">
        <f>UPPER(IF(PLANPRODUCCION[[#This Row],[FECHA]]&lt;=45701,_xlfn.CONCAT(TEXT(B149,"MMM"),"-",IF(ROW(A149)&lt;11,"000"&amp;ROW(A149)-1,IF(ROW(A149)&lt;101,"00"&amp;ROW(A149)-1,IF(ROW(A149)&lt;1001,"0"&amp;ROW(A149)-1,ROW(A149)-1))),"-OLD"),_xlfn.CONCAT(TEXT(B149,"MMM"),"-",IF(ROW(A149)&lt;473,"000"&amp;ROW(A149)-463,IF(ROW(A149)&lt;563,"00"&amp;ROW(A149)-463,IF(ROW(A149)&lt;1001,"0"&amp;ROW(A149)-463,ROW(A149)-463))))))</f>
        <v>ENE-0148-OLD</v>
      </c>
      <c r="B149" s="1">
        <v>45671</v>
      </c>
      <c r="C149" s="5"/>
      <c r="D149" s="5"/>
      <c r="E149" t="s">
        <v>72</v>
      </c>
      <c r="F149" s="32"/>
      <c r="G149" s="32"/>
      <c r="H149" s="5">
        <v>1528</v>
      </c>
      <c r="I149" t="s">
        <v>188</v>
      </c>
      <c r="J149" t="s">
        <v>142</v>
      </c>
      <c r="K149" s="5"/>
      <c r="L149" s="10" t="s">
        <v>57</v>
      </c>
      <c r="M149" s="49">
        <v>0.5</v>
      </c>
      <c r="N149" s="34">
        <f>PLANPRODUCCION[[#This Row],[PIEZAS PLANEADAS]]*PLANPRODUCCION[[#This Row],[PRECIO MAQUILAS]]</f>
        <v>0</v>
      </c>
      <c r="O149" s="5">
        <v>3</v>
      </c>
      <c r="P149" s="2">
        <v>0.66666666666666663</v>
      </c>
      <c r="Q149" s="2">
        <v>0.86111111111111116</v>
      </c>
      <c r="R149" s="24">
        <v>1050</v>
      </c>
      <c r="S149" s="35">
        <f>PLANPRODUCCION[[#This Row],[PRECIO MAQUILAS]]*PLANPRODUCCION[[#This Row],[PIEZAS REAL]]</f>
        <v>525</v>
      </c>
      <c r="T14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4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4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868</v>
      </c>
      <c r="W14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-343</v>
      </c>
      <c r="X149" s="8"/>
      <c r="Y14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4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4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49" s="13" t="e">
        <f>IF(PLANPRODUCCION[[#This Row],[PIEZAS REAL]]&gt;0,PLANPRODUCCION[[#This Row],[PIEZAS REAL]]/PLANPRODUCCION[[#This Row],[PIEZAS ACTUALIZADO]],)</f>
        <v>#DIV/0!</v>
      </c>
      <c r="AC149" s="10" t="b">
        <f>PLANPRODUCCION[[#This Row],[INGRESO PLANEADO]]&lt;PLANPRODUCCION[[#This Row],[COSTO PLANEADO]]</f>
        <v>0</v>
      </c>
      <c r="AD149" t="s">
        <v>247</v>
      </c>
      <c r="AE149" s="10"/>
      <c r="AF149" s="10" t="b">
        <f>IF(COUNTIF(PLANPRODUCCION[[#This Row],[OBSERVACIONES]],"NO APLICA BONO*")&gt;0,TRUE,FALSE)</f>
        <v>0</v>
      </c>
    </row>
    <row r="150" spans="1:32" x14ac:dyDescent="0.25">
      <c r="A150" s="46" t="str">
        <f>UPPER(IF(PLANPRODUCCION[[#This Row],[FECHA]]&lt;=45701,_xlfn.CONCAT(TEXT(B150,"MMM"),"-",IF(ROW(A150)&lt;11,"000"&amp;ROW(A150)-1,IF(ROW(A150)&lt;101,"00"&amp;ROW(A150)-1,IF(ROW(A150)&lt;1001,"0"&amp;ROW(A150)-1,ROW(A150)-1))),"-OLD"),_xlfn.CONCAT(TEXT(B150,"MMM"),"-",IF(ROW(A150)&lt;473,"000"&amp;ROW(A150)-463,IF(ROW(A150)&lt;563,"00"&amp;ROW(A150)-463,IF(ROW(A150)&lt;1001,"0"&amp;ROW(A150)-463,ROW(A150)-463))))))</f>
        <v>ENE-0149-OLD</v>
      </c>
      <c r="B150" s="1">
        <v>45671</v>
      </c>
      <c r="C150" s="5"/>
      <c r="D150" s="5"/>
      <c r="E150" t="s">
        <v>72</v>
      </c>
      <c r="F150" s="32"/>
      <c r="G150" s="32"/>
      <c r="H150" s="5">
        <v>1528</v>
      </c>
      <c r="I150" t="s">
        <v>188</v>
      </c>
      <c r="J150" t="s">
        <v>142</v>
      </c>
      <c r="K150" s="5"/>
      <c r="L150" s="10" t="s">
        <v>57</v>
      </c>
      <c r="M150" s="49">
        <v>0.5</v>
      </c>
      <c r="N150" s="34">
        <f>PLANPRODUCCION[[#This Row],[PIEZAS PLANEADAS]]*PLANPRODUCCION[[#This Row],[PRECIO MAQUILAS]]</f>
        <v>0</v>
      </c>
      <c r="O150" s="5">
        <v>5</v>
      </c>
      <c r="P150" s="2">
        <v>0.66666666666666663</v>
      </c>
      <c r="Q150" s="2">
        <v>0.86111111111111116</v>
      </c>
      <c r="R150" s="24">
        <v>1050</v>
      </c>
      <c r="S150" s="35">
        <f>PLANPRODUCCION[[#This Row],[PRECIO MAQUILAS]]*PLANPRODUCCION[[#This Row],[PIEZAS REAL]]</f>
        <v>525</v>
      </c>
      <c r="T15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5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5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1446.6666666666665</v>
      </c>
      <c r="W15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-921.66666666666652</v>
      </c>
      <c r="X150" s="8"/>
      <c r="Y15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5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5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50" s="13" t="e">
        <f>IF(PLANPRODUCCION[[#This Row],[PIEZAS REAL]]&gt;0,PLANPRODUCCION[[#This Row],[PIEZAS REAL]]/PLANPRODUCCION[[#This Row],[PIEZAS ACTUALIZADO]],)</f>
        <v>#DIV/0!</v>
      </c>
      <c r="AC150" s="10" t="b">
        <f>PLANPRODUCCION[[#This Row],[INGRESO PLANEADO]]&lt;PLANPRODUCCION[[#This Row],[COSTO PLANEADO]]</f>
        <v>0</v>
      </c>
      <c r="AD150" t="s">
        <v>248</v>
      </c>
      <c r="AE150" s="10"/>
      <c r="AF150" s="10" t="b">
        <f>IF(COUNTIF(PLANPRODUCCION[[#This Row],[OBSERVACIONES]],"NO APLICA BONO*")&gt;0,TRUE,FALSE)</f>
        <v>0</v>
      </c>
    </row>
    <row r="151" spans="1:32" x14ac:dyDescent="0.25">
      <c r="A151" s="46" t="str">
        <f>UPPER(IF(PLANPRODUCCION[[#This Row],[FECHA]]&lt;=45701,_xlfn.CONCAT(TEXT(B151,"MMM"),"-",IF(ROW(A151)&lt;11,"000"&amp;ROW(A151)-1,IF(ROW(A151)&lt;101,"00"&amp;ROW(A151)-1,IF(ROW(A151)&lt;1001,"0"&amp;ROW(A151)-1,ROW(A151)-1))),"-OLD"),_xlfn.CONCAT(TEXT(B151,"MMM"),"-",IF(ROW(A151)&lt;473,"000"&amp;ROW(A151)-463,IF(ROW(A151)&lt;563,"00"&amp;ROW(A151)-463,IF(ROW(A151)&lt;1001,"0"&amp;ROW(A151)-463,ROW(A151)-463))))))</f>
        <v>ENE-0150-OLD</v>
      </c>
      <c r="B151" s="1">
        <v>45672</v>
      </c>
      <c r="C151" s="5"/>
      <c r="D151" s="5"/>
      <c r="E151" t="s">
        <v>54</v>
      </c>
      <c r="F151" s="32"/>
      <c r="G151" s="32"/>
      <c r="H151" s="5">
        <v>1528</v>
      </c>
      <c r="I151" t="s">
        <v>188</v>
      </c>
      <c r="J151" t="s">
        <v>144</v>
      </c>
      <c r="K151" s="5"/>
      <c r="L151" s="10" t="s">
        <v>57</v>
      </c>
      <c r="M151" s="49">
        <v>1</v>
      </c>
      <c r="N151" s="34">
        <f>PLANPRODUCCION[[#This Row],[PIEZAS PLANEADAS]]*PLANPRODUCCION[[#This Row],[PRECIO MAQUILAS]]</f>
        <v>0</v>
      </c>
      <c r="O151" s="5">
        <v>2</v>
      </c>
      <c r="P151" s="2">
        <v>0.25</v>
      </c>
      <c r="Q151" s="2">
        <v>0.66666666666666663</v>
      </c>
      <c r="R151" s="24">
        <v>1400</v>
      </c>
      <c r="S151" s="35">
        <f>PLANPRODUCCION[[#This Row],[PRECIO MAQUILAS]]*PLANPRODUCCION[[#This Row],[PIEZAS REAL]]</f>
        <v>1400</v>
      </c>
      <c r="T15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5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5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15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160</v>
      </c>
      <c r="X151" s="8"/>
      <c r="Y15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5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5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51" s="13" t="e">
        <f>IF(PLANPRODUCCION[[#This Row],[PIEZAS REAL]]&gt;0,PLANPRODUCCION[[#This Row],[PIEZAS REAL]]/PLANPRODUCCION[[#This Row],[PIEZAS ACTUALIZADO]],)</f>
        <v>#DIV/0!</v>
      </c>
      <c r="AC151" s="10" t="b">
        <f>PLANPRODUCCION[[#This Row],[INGRESO PLANEADO]]&lt;PLANPRODUCCION[[#This Row],[COSTO PLANEADO]]</f>
        <v>0</v>
      </c>
      <c r="AD151" t="s">
        <v>249</v>
      </c>
      <c r="AE151" s="10"/>
      <c r="AF151" s="10" t="b">
        <f>IF(COUNTIF(PLANPRODUCCION[[#This Row],[OBSERVACIONES]],"NO APLICA BONO*")&gt;0,TRUE,FALSE)</f>
        <v>0</v>
      </c>
    </row>
    <row r="152" spans="1:32" x14ac:dyDescent="0.25">
      <c r="A152" s="46" t="str">
        <f>UPPER(IF(PLANPRODUCCION[[#This Row],[FECHA]]&lt;=45701,_xlfn.CONCAT(TEXT(B152,"MMM"),"-",IF(ROW(A152)&lt;11,"000"&amp;ROW(A152)-1,IF(ROW(A152)&lt;101,"00"&amp;ROW(A152)-1,IF(ROW(A152)&lt;1001,"0"&amp;ROW(A152)-1,ROW(A152)-1))),"-OLD"),_xlfn.CONCAT(TEXT(B152,"MMM"),"-",IF(ROW(A152)&lt;473,"000"&amp;ROW(A152)-463,IF(ROW(A152)&lt;563,"00"&amp;ROW(A152)-463,IF(ROW(A152)&lt;1001,"0"&amp;ROW(A152)-463,ROW(A152)-463))))))</f>
        <v>ENE-0151-OLD</v>
      </c>
      <c r="B152" s="1">
        <v>45672</v>
      </c>
      <c r="C152" s="5"/>
      <c r="D152" s="5"/>
      <c r="E152" t="s">
        <v>54</v>
      </c>
      <c r="F152" s="32"/>
      <c r="G152" s="32"/>
      <c r="H152" s="5">
        <v>1528</v>
      </c>
      <c r="I152" t="s">
        <v>188</v>
      </c>
      <c r="J152" t="s">
        <v>144</v>
      </c>
      <c r="K152" s="5"/>
      <c r="L152" s="10" t="s">
        <v>57</v>
      </c>
      <c r="M152" s="49">
        <v>1</v>
      </c>
      <c r="N152" s="34">
        <f>PLANPRODUCCION[[#This Row],[PIEZAS PLANEADAS]]*PLANPRODUCCION[[#This Row],[PRECIO MAQUILAS]]</f>
        <v>0</v>
      </c>
      <c r="O152" s="5">
        <v>3</v>
      </c>
      <c r="P152" s="2">
        <v>0.25</v>
      </c>
      <c r="Q152" s="2">
        <v>0.66666666666666663</v>
      </c>
      <c r="R152" s="24">
        <v>1428</v>
      </c>
      <c r="S152" s="35">
        <f>PLANPRODUCCION[[#This Row],[PRECIO MAQUILAS]]*PLANPRODUCCION[[#This Row],[PIEZAS REAL]]</f>
        <v>1428</v>
      </c>
      <c r="T15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5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5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15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-432</v>
      </c>
      <c r="X152" s="8"/>
      <c r="Y15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5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5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52" s="13" t="e">
        <f>IF(PLANPRODUCCION[[#This Row],[PIEZAS REAL]]&gt;0,PLANPRODUCCION[[#This Row],[PIEZAS REAL]]/PLANPRODUCCION[[#This Row],[PIEZAS ACTUALIZADO]],)</f>
        <v>#DIV/0!</v>
      </c>
      <c r="AC152" s="10" t="b">
        <f>PLANPRODUCCION[[#This Row],[INGRESO PLANEADO]]&lt;PLANPRODUCCION[[#This Row],[COSTO PLANEADO]]</f>
        <v>0</v>
      </c>
      <c r="AD152" t="s">
        <v>250</v>
      </c>
      <c r="AE152" s="10"/>
      <c r="AF152" s="10" t="b">
        <f>IF(COUNTIF(PLANPRODUCCION[[#This Row],[OBSERVACIONES]],"NO APLICA BONO*")&gt;0,TRUE,FALSE)</f>
        <v>0</v>
      </c>
    </row>
    <row r="153" spans="1:32" x14ac:dyDescent="0.25">
      <c r="A153" s="46" t="str">
        <f>UPPER(IF(PLANPRODUCCION[[#This Row],[FECHA]]&lt;=45701,_xlfn.CONCAT(TEXT(B153,"MMM"),"-",IF(ROW(A153)&lt;11,"000"&amp;ROW(A153)-1,IF(ROW(A153)&lt;101,"00"&amp;ROW(A153)-1,IF(ROW(A153)&lt;1001,"0"&amp;ROW(A153)-1,ROW(A153)-1))),"-OLD"),_xlfn.CONCAT(TEXT(B153,"MMM"),"-",IF(ROW(A153)&lt;473,"000"&amp;ROW(A153)-463,IF(ROW(A153)&lt;563,"00"&amp;ROW(A153)-463,IF(ROW(A153)&lt;1001,"0"&amp;ROW(A153)-463,ROW(A153)-463))))))</f>
        <v>ENE-0152-OLD</v>
      </c>
      <c r="B153" s="1">
        <v>45672</v>
      </c>
      <c r="C153" s="5"/>
      <c r="D153" s="5"/>
      <c r="E153" t="s">
        <v>54</v>
      </c>
      <c r="F153" s="32"/>
      <c r="G153" s="32"/>
      <c r="H153" s="5">
        <v>1528</v>
      </c>
      <c r="I153" t="s">
        <v>188</v>
      </c>
      <c r="J153" t="s">
        <v>148</v>
      </c>
      <c r="K153" s="5"/>
      <c r="L153" s="10" t="s">
        <v>83</v>
      </c>
      <c r="M153" s="49">
        <v>10</v>
      </c>
      <c r="N153" s="34">
        <f>PLANPRODUCCION[[#This Row],[PIEZAS PLANEADAS]]*PLANPRODUCCION[[#This Row],[PRECIO MAQUILAS]]</f>
        <v>0</v>
      </c>
      <c r="O153" s="5">
        <v>7</v>
      </c>
      <c r="P153" s="2">
        <v>0.25</v>
      </c>
      <c r="Q153" s="2">
        <v>0.66666666666666663</v>
      </c>
      <c r="R153" s="24">
        <v>220</v>
      </c>
      <c r="S153" s="35">
        <f>PLANPRODUCCION[[#This Row],[PRECIO MAQUILAS]]*PLANPRODUCCION[[#This Row],[PIEZAS REAL]]</f>
        <v>2200</v>
      </c>
      <c r="T15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5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5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4340</v>
      </c>
      <c r="W15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-2140</v>
      </c>
      <c r="X153" s="8"/>
      <c r="Y15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5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5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53" s="13" t="e">
        <f>IF(PLANPRODUCCION[[#This Row],[PIEZAS REAL]]&gt;0,PLANPRODUCCION[[#This Row],[PIEZAS REAL]]/PLANPRODUCCION[[#This Row],[PIEZAS ACTUALIZADO]],)</f>
        <v>#DIV/0!</v>
      </c>
      <c r="AC153" s="10" t="b">
        <f>PLANPRODUCCION[[#This Row],[INGRESO PLANEADO]]&lt;PLANPRODUCCION[[#This Row],[COSTO PLANEADO]]</f>
        <v>0</v>
      </c>
      <c r="AD153" t="s">
        <v>251</v>
      </c>
      <c r="AE153" s="10"/>
      <c r="AF153" s="10" t="b">
        <f>IF(COUNTIF(PLANPRODUCCION[[#This Row],[OBSERVACIONES]],"NO APLICA BONO*")&gt;0,TRUE,FALSE)</f>
        <v>0</v>
      </c>
    </row>
    <row r="154" spans="1:32" x14ac:dyDescent="0.25">
      <c r="A154" s="46" t="str">
        <f>UPPER(IF(PLANPRODUCCION[[#This Row],[FECHA]]&lt;=45701,_xlfn.CONCAT(TEXT(B154,"MMM"),"-",IF(ROW(A154)&lt;11,"000"&amp;ROW(A154)-1,IF(ROW(A154)&lt;101,"00"&amp;ROW(A154)-1,IF(ROW(A154)&lt;1001,"0"&amp;ROW(A154)-1,ROW(A154)-1))),"-OLD"),_xlfn.CONCAT(TEXT(B154,"MMM"),"-",IF(ROW(A154)&lt;473,"000"&amp;ROW(A154)-463,IF(ROW(A154)&lt;563,"00"&amp;ROW(A154)-463,IF(ROW(A154)&lt;1001,"0"&amp;ROW(A154)-463,ROW(A154)-463))))))</f>
        <v>ENE-0153-OLD</v>
      </c>
      <c r="B154" s="1">
        <v>45672</v>
      </c>
      <c r="C154" s="5"/>
      <c r="D154" s="5"/>
      <c r="E154" t="s">
        <v>54</v>
      </c>
      <c r="F154" s="32"/>
      <c r="G154" s="32"/>
      <c r="H154" s="5">
        <v>1528</v>
      </c>
      <c r="I154" t="s">
        <v>188</v>
      </c>
      <c r="J154" t="s">
        <v>148</v>
      </c>
      <c r="K154" s="5"/>
      <c r="L154" s="10" t="s">
        <v>83</v>
      </c>
      <c r="M154" s="49">
        <v>10</v>
      </c>
      <c r="N154" s="34">
        <f>PLANPRODUCCION[[#This Row],[PIEZAS PLANEADAS]]*PLANPRODUCCION[[#This Row],[PRECIO MAQUILAS]]</f>
        <v>0</v>
      </c>
      <c r="O154" s="5">
        <v>6</v>
      </c>
      <c r="P154" s="2">
        <v>0.58333333333333337</v>
      </c>
      <c r="Q154" s="2">
        <v>0.66666666666666663</v>
      </c>
      <c r="R154" s="24">
        <v>50</v>
      </c>
      <c r="S154" s="35">
        <f>PLANPRODUCCION[[#This Row],[PRECIO MAQUILAS]]*PLANPRODUCCION[[#This Row],[PIEZAS REAL]]</f>
        <v>500</v>
      </c>
      <c r="T15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5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5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15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-244</v>
      </c>
      <c r="X154" s="8"/>
      <c r="Y15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5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5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54" s="13" t="e">
        <f>IF(PLANPRODUCCION[[#This Row],[PIEZAS REAL]]&gt;0,PLANPRODUCCION[[#This Row],[PIEZAS REAL]]/PLANPRODUCCION[[#This Row],[PIEZAS ACTUALIZADO]],)</f>
        <v>#DIV/0!</v>
      </c>
      <c r="AC154" s="10" t="b">
        <f>PLANPRODUCCION[[#This Row],[INGRESO PLANEADO]]&lt;PLANPRODUCCION[[#This Row],[COSTO PLANEADO]]</f>
        <v>0</v>
      </c>
      <c r="AD154" t="s">
        <v>252</v>
      </c>
      <c r="AE154" s="10"/>
      <c r="AF154" s="10" t="b">
        <f>IF(COUNTIF(PLANPRODUCCION[[#This Row],[OBSERVACIONES]],"NO APLICA BONO*")&gt;0,TRUE,FALSE)</f>
        <v>0</v>
      </c>
    </row>
    <row r="155" spans="1:32" x14ac:dyDescent="0.25">
      <c r="A155" s="46" t="str">
        <f>UPPER(IF(PLANPRODUCCION[[#This Row],[FECHA]]&lt;=45701,_xlfn.CONCAT(TEXT(B155,"MMM"),"-",IF(ROW(A155)&lt;11,"000"&amp;ROW(A155)-1,IF(ROW(A155)&lt;101,"00"&amp;ROW(A155)-1,IF(ROW(A155)&lt;1001,"0"&amp;ROW(A155)-1,ROW(A155)-1))),"-OLD"),_xlfn.CONCAT(TEXT(B155,"MMM"),"-",IF(ROW(A155)&lt;473,"000"&amp;ROW(A155)-463,IF(ROW(A155)&lt;563,"00"&amp;ROW(A155)-463,IF(ROW(A155)&lt;1001,"0"&amp;ROW(A155)-463,ROW(A155)-463))))))</f>
        <v>ENE-0154-OLD</v>
      </c>
      <c r="B155" s="1">
        <v>45672</v>
      </c>
      <c r="C155" s="5"/>
      <c r="D155" s="5"/>
      <c r="E155" t="s">
        <v>67</v>
      </c>
      <c r="F155" s="32"/>
      <c r="G155" s="32"/>
      <c r="H155" s="5">
        <v>1525</v>
      </c>
      <c r="I155" t="s">
        <v>197</v>
      </c>
      <c r="J155" t="s">
        <v>198</v>
      </c>
      <c r="K155" s="5"/>
      <c r="L155" s="10" t="s">
        <v>57</v>
      </c>
      <c r="M155" s="49">
        <v>2</v>
      </c>
      <c r="N155" s="34">
        <f>PLANPRODUCCION[[#This Row],[PIEZAS PLANEADAS]]*PLANPRODUCCION[[#This Row],[PRECIO MAQUILAS]]</f>
        <v>0</v>
      </c>
      <c r="O155" s="5">
        <v>3</v>
      </c>
      <c r="P155" s="2">
        <v>0.33333333333333331</v>
      </c>
      <c r="Q155" s="2">
        <v>0.75</v>
      </c>
      <c r="R155" s="24">
        <v>2800</v>
      </c>
      <c r="S155" s="35">
        <f>PLANPRODUCCION[[#This Row],[PRECIO MAQUILAS]]*PLANPRODUCCION[[#This Row],[PIEZAS REAL]]</f>
        <v>5600</v>
      </c>
      <c r="T15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5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5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15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3740</v>
      </c>
      <c r="X155" s="8"/>
      <c r="Y15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5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5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55" s="13" t="e">
        <f>IF(PLANPRODUCCION[[#This Row],[PIEZAS REAL]]&gt;0,PLANPRODUCCION[[#This Row],[PIEZAS REAL]]/PLANPRODUCCION[[#This Row],[PIEZAS ACTUALIZADO]],)</f>
        <v>#DIV/0!</v>
      </c>
      <c r="AC155" s="10" t="b">
        <f>PLANPRODUCCION[[#This Row],[INGRESO PLANEADO]]&lt;PLANPRODUCCION[[#This Row],[COSTO PLANEADO]]</f>
        <v>0</v>
      </c>
      <c r="AD155" t="s">
        <v>253</v>
      </c>
      <c r="AE155" s="10"/>
      <c r="AF155" s="10" t="b">
        <f>IF(COUNTIF(PLANPRODUCCION[[#This Row],[OBSERVACIONES]],"NO APLICA BONO*")&gt;0,TRUE,FALSE)</f>
        <v>0</v>
      </c>
    </row>
    <row r="156" spans="1:32" x14ac:dyDescent="0.25">
      <c r="A156" s="46" t="str">
        <f>UPPER(IF(PLANPRODUCCION[[#This Row],[FECHA]]&lt;=45701,_xlfn.CONCAT(TEXT(B156,"MMM"),"-",IF(ROW(A156)&lt;11,"000"&amp;ROW(A156)-1,IF(ROW(A156)&lt;101,"00"&amp;ROW(A156)-1,IF(ROW(A156)&lt;1001,"0"&amp;ROW(A156)-1,ROW(A156)-1))),"-OLD"),_xlfn.CONCAT(TEXT(B156,"MMM"),"-",IF(ROW(A156)&lt;473,"000"&amp;ROW(A156)-463,IF(ROW(A156)&lt;563,"00"&amp;ROW(A156)-463,IF(ROW(A156)&lt;1001,"0"&amp;ROW(A156)-463,ROW(A156)-463))))))</f>
        <v>ENE-0155-OLD</v>
      </c>
      <c r="B156" s="1">
        <v>45672</v>
      </c>
      <c r="C156" s="5"/>
      <c r="D156" s="5"/>
      <c r="E156" t="s">
        <v>67</v>
      </c>
      <c r="F156" s="32"/>
      <c r="G156" s="32"/>
      <c r="H156" s="5">
        <v>1525</v>
      </c>
      <c r="I156" t="s">
        <v>197</v>
      </c>
      <c r="J156" t="s">
        <v>198</v>
      </c>
      <c r="K156" s="5"/>
      <c r="L156" s="10" t="s">
        <v>57</v>
      </c>
      <c r="M156" s="49">
        <v>2</v>
      </c>
      <c r="N156" s="34">
        <f>PLANPRODUCCION[[#This Row],[PIEZAS PLANEADAS]]*PLANPRODUCCION[[#This Row],[PRECIO MAQUILAS]]</f>
        <v>0</v>
      </c>
      <c r="O156" s="5">
        <v>3</v>
      </c>
      <c r="P156" s="2">
        <v>0.33333333333333331</v>
      </c>
      <c r="Q156" s="2">
        <v>0.75</v>
      </c>
      <c r="R156" s="24">
        <v>2450</v>
      </c>
      <c r="S156" s="35">
        <f>PLANPRODUCCION[[#This Row],[PRECIO MAQUILAS]]*PLANPRODUCCION[[#This Row],[PIEZAS REAL]]</f>
        <v>4900</v>
      </c>
      <c r="T15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5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5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15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3040</v>
      </c>
      <c r="X156" s="8"/>
      <c r="Y15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5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5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56" s="13" t="e">
        <f>IF(PLANPRODUCCION[[#This Row],[PIEZAS REAL]]&gt;0,PLANPRODUCCION[[#This Row],[PIEZAS REAL]]/PLANPRODUCCION[[#This Row],[PIEZAS ACTUALIZADO]],)</f>
        <v>#DIV/0!</v>
      </c>
      <c r="AC156" s="10" t="b">
        <f>PLANPRODUCCION[[#This Row],[INGRESO PLANEADO]]&lt;PLANPRODUCCION[[#This Row],[COSTO PLANEADO]]</f>
        <v>0</v>
      </c>
      <c r="AD156" t="s">
        <v>254</v>
      </c>
      <c r="AE156" s="10"/>
      <c r="AF156" s="10" t="b">
        <f>IF(COUNTIF(PLANPRODUCCION[[#This Row],[OBSERVACIONES]],"NO APLICA BONO*")&gt;0,TRUE,FALSE)</f>
        <v>0</v>
      </c>
    </row>
    <row r="157" spans="1:32" x14ac:dyDescent="0.25">
      <c r="A157" s="46" t="str">
        <f>UPPER(IF(PLANPRODUCCION[[#This Row],[FECHA]]&lt;=45701,_xlfn.CONCAT(TEXT(B157,"MMM"),"-",IF(ROW(A157)&lt;11,"000"&amp;ROW(A157)-1,IF(ROW(A157)&lt;101,"00"&amp;ROW(A157)-1,IF(ROW(A157)&lt;1001,"0"&amp;ROW(A157)-1,ROW(A157)-1))),"-OLD"),_xlfn.CONCAT(TEXT(B157,"MMM"),"-",IF(ROW(A157)&lt;473,"000"&amp;ROW(A157)-463,IF(ROW(A157)&lt;563,"00"&amp;ROW(A157)-463,IF(ROW(A157)&lt;1001,"0"&amp;ROW(A157)-463,ROW(A157)-463))))))</f>
        <v>ENE-0156-OLD</v>
      </c>
      <c r="B157" s="1">
        <v>45672</v>
      </c>
      <c r="C157" s="5"/>
      <c r="D157" s="5"/>
      <c r="E157" t="s">
        <v>67</v>
      </c>
      <c r="F157" s="32"/>
      <c r="G157" s="32"/>
      <c r="H157" s="5">
        <v>1527</v>
      </c>
      <c r="I157" t="s">
        <v>59</v>
      </c>
      <c r="J157" t="s">
        <v>193</v>
      </c>
      <c r="K157" s="5"/>
      <c r="L157" s="10" t="s">
        <v>57</v>
      </c>
      <c r="M157" s="49">
        <v>4</v>
      </c>
      <c r="N157" s="34">
        <f>PLANPRODUCCION[[#This Row],[PIEZAS PLANEADAS]]*PLANPRODUCCION[[#This Row],[PRECIO MAQUILAS]]</f>
        <v>0</v>
      </c>
      <c r="O157" s="5">
        <v>2</v>
      </c>
      <c r="P157" s="2">
        <v>0.33333333333333331</v>
      </c>
      <c r="Q157" s="2">
        <v>0.66666666666666663</v>
      </c>
      <c r="R157" s="24">
        <v>375</v>
      </c>
      <c r="S157" s="35">
        <f>PLANPRODUCCION[[#This Row],[PRECIO MAQUILAS]]*PLANPRODUCCION[[#This Row],[PIEZAS REAL]]</f>
        <v>1500</v>
      </c>
      <c r="T15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5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5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992</v>
      </c>
      <c r="W15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508</v>
      </c>
      <c r="X157" s="8"/>
      <c r="Y15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5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5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57" s="13" t="e">
        <f>IF(PLANPRODUCCION[[#This Row],[PIEZAS REAL]]&gt;0,PLANPRODUCCION[[#This Row],[PIEZAS REAL]]/PLANPRODUCCION[[#This Row],[PIEZAS ACTUALIZADO]],)</f>
        <v>#DIV/0!</v>
      </c>
      <c r="AC157" s="10" t="b">
        <f>PLANPRODUCCION[[#This Row],[INGRESO PLANEADO]]&lt;PLANPRODUCCION[[#This Row],[COSTO PLANEADO]]</f>
        <v>0</v>
      </c>
      <c r="AD157" t="s">
        <v>255</v>
      </c>
      <c r="AE157" s="10"/>
      <c r="AF157" s="10" t="b">
        <f>IF(COUNTIF(PLANPRODUCCION[[#This Row],[OBSERVACIONES]],"NO APLICA BONO*")&gt;0,TRUE,FALSE)</f>
        <v>0</v>
      </c>
    </row>
    <row r="158" spans="1:32" x14ac:dyDescent="0.25">
      <c r="A158" s="46" t="str">
        <f>UPPER(IF(PLANPRODUCCION[[#This Row],[FECHA]]&lt;=45701,_xlfn.CONCAT(TEXT(B158,"MMM"),"-",IF(ROW(A158)&lt;11,"000"&amp;ROW(A158)-1,IF(ROW(A158)&lt;101,"00"&amp;ROW(A158)-1,IF(ROW(A158)&lt;1001,"0"&amp;ROW(A158)-1,ROW(A158)-1))),"-OLD"),_xlfn.CONCAT(TEXT(B158,"MMM"),"-",IF(ROW(A158)&lt;473,"000"&amp;ROW(A158)-463,IF(ROW(A158)&lt;563,"00"&amp;ROW(A158)-463,IF(ROW(A158)&lt;1001,"0"&amp;ROW(A158)-463,ROW(A158)-463))))))</f>
        <v>ENE-0157-OLD</v>
      </c>
      <c r="B158" s="1">
        <v>45672</v>
      </c>
      <c r="C158" s="5"/>
      <c r="D158" s="5"/>
      <c r="E158" t="s">
        <v>67</v>
      </c>
      <c r="F158" s="32"/>
      <c r="G158" s="32"/>
      <c r="H158" s="5">
        <v>1528</v>
      </c>
      <c r="I158" t="s">
        <v>188</v>
      </c>
      <c r="J158" t="s">
        <v>144</v>
      </c>
      <c r="K158" s="5"/>
      <c r="L158" s="10" t="s">
        <v>57</v>
      </c>
      <c r="M158" s="49">
        <v>1</v>
      </c>
      <c r="N158" s="34">
        <f>PLANPRODUCCION[[#This Row],[PIEZAS PLANEADAS]]*PLANPRODUCCION[[#This Row],[PRECIO MAQUILAS]]</f>
        <v>0</v>
      </c>
      <c r="O158" s="5">
        <v>2</v>
      </c>
      <c r="P158" s="2">
        <v>0.33333333333333331</v>
      </c>
      <c r="Q158" s="2">
        <v>0.75</v>
      </c>
      <c r="R158" s="24">
        <v>1162</v>
      </c>
      <c r="S158" s="35">
        <f>PLANPRODUCCION[[#This Row],[PRECIO MAQUILAS]]*PLANPRODUCCION[[#This Row],[PIEZAS REAL]]</f>
        <v>1162</v>
      </c>
      <c r="T15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5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5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15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-78</v>
      </c>
      <c r="X158" s="8"/>
      <c r="Y15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5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5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58" s="13" t="e">
        <f>IF(PLANPRODUCCION[[#This Row],[PIEZAS REAL]]&gt;0,PLANPRODUCCION[[#This Row],[PIEZAS REAL]]/PLANPRODUCCION[[#This Row],[PIEZAS ACTUALIZADO]],)</f>
        <v>#DIV/0!</v>
      </c>
      <c r="AC158" s="10" t="b">
        <f>PLANPRODUCCION[[#This Row],[INGRESO PLANEADO]]&lt;PLANPRODUCCION[[#This Row],[COSTO PLANEADO]]</f>
        <v>0</v>
      </c>
      <c r="AD158" t="s">
        <v>256</v>
      </c>
      <c r="AE158" s="10"/>
      <c r="AF158" s="10" t="b">
        <f>IF(COUNTIF(PLANPRODUCCION[[#This Row],[OBSERVACIONES]],"NO APLICA BONO*")&gt;0,TRUE,FALSE)</f>
        <v>0</v>
      </c>
    </row>
    <row r="159" spans="1:32" x14ac:dyDescent="0.25">
      <c r="A159" s="46" t="str">
        <f>UPPER(IF(PLANPRODUCCION[[#This Row],[FECHA]]&lt;=45701,_xlfn.CONCAT(TEXT(B159,"MMM"),"-",IF(ROW(A159)&lt;11,"000"&amp;ROW(A159)-1,IF(ROW(A159)&lt;101,"00"&amp;ROW(A159)-1,IF(ROW(A159)&lt;1001,"0"&amp;ROW(A159)-1,ROW(A159)-1))),"-OLD"),_xlfn.CONCAT(TEXT(B159,"MMM"),"-",IF(ROW(A159)&lt;473,"000"&amp;ROW(A159)-463,IF(ROW(A159)&lt;563,"00"&amp;ROW(A159)-463,IF(ROW(A159)&lt;1001,"0"&amp;ROW(A159)-463,ROW(A159)-463))))))</f>
        <v>ENE-0158-OLD</v>
      </c>
      <c r="B159" s="1">
        <v>45672</v>
      </c>
      <c r="C159" s="5"/>
      <c r="D159" s="5"/>
      <c r="E159" t="s">
        <v>67</v>
      </c>
      <c r="F159" s="32"/>
      <c r="G159" s="32"/>
      <c r="H159" s="5">
        <v>1528</v>
      </c>
      <c r="I159" t="s">
        <v>188</v>
      </c>
      <c r="J159" t="s">
        <v>142</v>
      </c>
      <c r="K159" s="5"/>
      <c r="L159" s="10" t="s">
        <v>57</v>
      </c>
      <c r="M159" s="49">
        <v>0.5</v>
      </c>
      <c r="N159" s="34">
        <f>PLANPRODUCCION[[#This Row],[PIEZAS PLANEADAS]]*PLANPRODUCCION[[#This Row],[PRECIO MAQUILAS]]</f>
        <v>0</v>
      </c>
      <c r="O159" s="5">
        <v>4</v>
      </c>
      <c r="P159" s="2">
        <v>0.66666666666666663</v>
      </c>
      <c r="Q159" s="2">
        <v>0.75</v>
      </c>
      <c r="R159" s="24">
        <v>515</v>
      </c>
      <c r="S159" s="35">
        <f>PLANPRODUCCION[[#This Row],[PRECIO MAQUILAS]]*PLANPRODUCCION[[#This Row],[PIEZAS REAL]]</f>
        <v>257.5</v>
      </c>
      <c r="T15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5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5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496</v>
      </c>
      <c r="W15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-238.5</v>
      </c>
      <c r="X159" s="8"/>
      <c r="Y15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5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5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59" s="13" t="e">
        <f>IF(PLANPRODUCCION[[#This Row],[PIEZAS REAL]]&gt;0,PLANPRODUCCION[[#This Row],[PIEZAS REAL]]/PLANPRODUCCION[[#This Row],[PIEZAS ACTUALIZADO]],)</f>
        <v>#DIV/0!</v>
      </c>
      <c r="AC159" s="10" t="b">
        <f>PLANPRODUCCION[[#This Row],[INGRESO PLANEADO]]&lt;PLANPRODUCCION[[#This Row],[COSTO PLANEADO]]</f>
        <v>0</v>
      </c>
      <c r="AD159" t="s">
        <v>257</v>
      </c>
      <c r="AE159" s="10"/>
      <c r="AF159" s="10" t="b">
        <f>IF(COUNTIF(PLANPRODUCCION[[#This Row],[OBSERVACIONES]],"NO APLICA BONO*")&gt;0,TRUE,FALSE)</f>
        <v>0</v>
      </c>
    </row>
    <row r="160" spans="1:32" x14ac:dyDescent="0.25">
      <c r="A160" s="46" t="str">
        <f>UPPER(IF(PLANPRODUCCION[[#This Row],[FECHA]]&lt;=45701,_xlfn.CONCAT(TEXT(B160,"MMM"),"-",IF(ROW(A160)&lt;11,"000"&amp;ROW(A160)-1,IF(ROW(A160)&lt;101,"00"&amp;ROW(A160)-1,IF(ROW(A160)&lt;1001,"0"&amp;ROW(A160)-1,ROW(A160)-1))),"-OLD"),_xlfn.CONCAT(TEXT(B160,"MMM"),"-",IF(ROW(A160)&lt;473,"000"&amp;ROW(A160)-463,IF(ROW(A160)&lt;563,"00"&amp;ROW(A160)-463,IF(ROW(A160)&lt;1001,"0"&amp;ROW(A160)-463,ROW(A160)-463))))))</f>
        <v>ENE-0159-OLD</v>
      </c>
      <c r="B160" s="1">
        <v>45672</v>
      </c>
      <c r="C160" s="5"/>
      <c r="D160" s="5"/>
      <c r="E160" t="s">
        <v>67</v>
      </c>
      <c r="F160" s="32"/>
      <c r="G160" s="32"/>
      <c r="H160" s="5">
        <v>1527</v>
      </c>
      <c r="I160" t="s">
        <v>59</v>
      </c>
      <c r="J160" t="s">
        <v>193</v>
      </c>
      <c r="K160" s="5"/>
      <c r="L160" s="10" t="s">
        <v>57</v>
      </c>
      <c r="M160" s="49">
        <v>4</v>
      </c>
      <c r="N160" s="34">
        <f>PLANPRODUCCION[[#This Row],[PIEZAS PLANEADAS]]*PLANPRODUCCION[[#This Row],[PRECIO MAQUILAS]]</f>
        <v>0</v>
      </c>
      <c r="O160" s="5">
        <v>4</v>
      </c>
      <c r="P160" s="2">
        <v>0.75</v>
      </c>
      <c r="Q160" s="2">
        <v>0.83333333333333337</v>
      </c>
      <c r="R160" s="24">
        <v>110</v>
      </c>
      <c r="S160" s="35">
        <f>PLANPRODUCCION[[#This Row],[PRECIO MAQUILAS]]*PLANPRODUCCION[[#This Row],[PIEZAS REAL]]</f>
        <v>440</v>
      </c>
      <c r="T16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6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6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496</v>
      </c>
      <c r="W16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-56</v>
      </c>
      <c r="X160" s="8"/>
      <c r="Y16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6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6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60" s="13" t="e">
        <f>IF(PLANPRODUCCION[[#This Row],[PIEZAS REAL]]&gt;0,PLANPRODUCCION[[#This Row],[PIEZAS REAL]]/PLANPRODUCCION[[#This Row],[PIEZAS ACTUALIZADO]],)</f>
        <v>#DIV/0!</v>
      </c>
      <c r="AC160" s="10" t="b">
        <f>PLANPRODUCCION[[#This Row],[INGRESO PLANEADO]]&lt;PLANPRODUCCION[[#This Row],[COSTO PLANEADO]]</f>
        <v>0</v>
      </c>
      <c r="AD160" t="s">
        <v>258</v>
      </c>
      <c r="AE160" s="10"/>
      <c r="AF160" s="10" t="b">
        <f>IF(COUNTIF(PLANPRODUCCION[[#This Row],[OBSERVACIONES]],"NO APLICA BONO*")&gt;0,TRUE,FALSE)</f>
        <v>0</v>
      </c>
    </row>
    <row r="161" spans="1:32" x14ac:dyDescent="0.25">
      <c r="A161" s="46" t="str">
        <f>UPPER(IF(PLANPRODUCCION[[#This Row],[FECHA]]&lt;=45701,_xlfn.CONCAT(TEXT(B161,"MMM"),"-",IF(ROW(A161)&lt;11,"000"&amp;ROW(A161)-1,IF(ROW(A161)&lt;101,"00"&amp;ROW(A161)-1,IF(ROW(A161)&lt;1001,"0"&amp;ROW(A161)-1,ROW(A161)-1))),"-OLD"),_xlfn.CONCAT(TEXT(B161,"MMM"),"-",IF(ROW(A161)&lt;473,"000"&amp;ROW(A161)-463,IF(ROW(A161)&lt;563,"00"&amp;ROW(A161)-463,IF(ROW(A161)&lt;1001,"0"&amp;ROW(A161)-463,ROW(A161)-463))))))</f>
        <v>ENE-0160-OLD</v>
      </c>
      <c r="B161" s="1">
        <v>45672</v>
      </c>
      <c r="C161" s="5"/>
      <c r="D161" s="5"/>
      <c r="E161" t="s">
        <v>67</v>
      </c>
      <c r="F161" s="32"/>
      <c r="G161" s="32"/>
      <c r="H161" s="5">
        <v>1525</v>
      </c>
      <c r="I161" t="s">
        <v>197</v>
      </c>
      <c r="J161" t="s">
        <v>198</v>
      </c>
      <c r="K161" s="5"/>
      <c r="L161" s="10" t="s">
        <v>57</v>
      </c>
      <c r="M161" s="49">
        <v>2</v>
      </c>
      <c r="N161" s="34">
        <f>PLANPRODUCCION[[#This Row],[PIEZAS PLANEADAS]]*PLANPRODUCCION[[#This Row],[PRECIO MAQUILAS]]</f>
        <v>0</v>
      </c>
      <c r="O161" s="5">
        <v>2</v>
      </c>
      <c r="P161" s="2">
        <v>0.83333333333333337</v>
      </c>
      <c r="Q161" s="2">
        <v>0.875</v>
      </c>
      <c r="R161" s="24">
        <v>450</v>
      </c>
      <c r="S161" s="35">
        <f>PLANPRODUCCION[[#This Row],[PRECIO MAQUILAS]]*PLANPRODUCCION[[#This Row],[PIEZAS REAL]]</f>
        <v>900</v>
      </c>
      <c r="T16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6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6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</v>
      </c>
      <c r="W16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776</v>
      </c>
      <c r="X161" s="8"/>
      <c r="Y16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6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6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61" s="13" t="e">
        <f>IF(PLANPRODUCCION[[#This Row],[PIEZAS REAL]]&gt;0,PLANPRODUCCION[[#This Row],[PIEZAS REAL]]/PLANPRODUCCION[[#This Row],[PIEZAS ACTUALIZADO]],)</f>
        <v>#DIV/0!</v>
      </c>
      <c r="AC161" s="10" t="b">
        <f>PLANPRODUCCION[[#This Row],[INGRESO PLANEADO]]&lt;PLANPRODUCCION[[#This Row],[COSTO PLANEADO]]</f>
        <v>0</v>
      </c>
      <c r="AD161" t="s">
        <v>259</v>
      </c>
      <c r="AE161" s="10"/>
      <c r="AF161" s="10" t="b">
        <f>IF(COUNTIF(PLANPRODUCCION[[#This Row],[OBSERVACIONES]],"NO APLICA BONO*")&gt;0,TRUE,FALSE)</f>
        <v>0</v>
      </c>
    </row>
    <row r="162" spans="1:32" x14ac:dyDescent="0.25">
      <c r="A162" s="46" t="str">
        <f>UPPER(IF(PLANPRODUCCION[[#This Row],[FECHA]]&lt;=45701,_xlfn.CONCAT(TEXT(B162,"MMM"),"-",IF(ROW(A162)&lt;11,"000"&amp;ROW(A162)-1,IF(ROW(A162)&lt;101,"00"&amp;ROW(A162)-1,IF(ROW(A162)&lt;1001,"0"&amp;ROW(A162)-1,ROW(A162)-1))),"-OLD"),_xlfn.CONCAT(TEXT(B162,"MMM"),"-",IF(ROW(A162)&lt;473,"000"&amp;ROW(A162)-463,IF(ROW(A162)&lt;563,"00"&amp;ROW(A162)-463,IF(ROW(A162)&lt;1001,"0"&amp;ROW(A162)-463,ROW(A162)-463))))))</f>
        <v>ENE-0161-OLD</v>
      </c>
      <c r="B162" s="1">
        <v>45672</v>
      </c>
      <c r="C162" s="5"/>
      <c r="D162" s="5"/>
      <c r="E162" t="s">
        <v>110</v>
      </c>
      <c r="F162" s="32"/>
      <c r="G162" s="32"/>
      <c r="H162" s="5">
        <v>1525</v>
      </c>
      <c r="I162" t="s">
        <v>197</v>
      </c>
      <c r="J162" t="s">
        <v>198</v>
      </c>
      <c r="K162" s="5"/>
      <c r="L162" s="10" t="s">
        <v>57</v>
      </c>
      <c r="M162" s="49">
        <v>2</v>
      </c>
      <c r="N162" s="34">
        <f>PLANPRODUCCION[[#This Row],[PIEZAS PLANEADAS]]*PLANPRODUCCION[[#This Row],[PRECIO MAQUILAS]]</f>
        <v>0</v>
      </c>
      <c r="O162" s="5">
        <v>3</v>
      </c>
      <c r="P162" s="2">
        <v>0.54166666666666663</v>
      </c>
      <c r="Q162" s="2">
        <v>0.875</v>
      </c>
      <c r="R162" s="24">
        <v>1950</v>
      </c>
      <c r="S162" s="35">
        <f>PLANPRODUCCION[[#This Row],[PRECIO MAQUILAS]]*PLANPRODUCCION[[#This Row],[PIEZAS REAL]]</f>
        <v>3900</v>
      </c>
      <c r="T16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6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6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16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2040</v>
      </c>
      <c r="X162" s="8"/>
      <c r="Y16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6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6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62" s="13" t="e">
        <f>IF(PLANPRODUCCION[[#This Row],[PIEZAS REAL]]&gt;0,PLANPRODUCCION[[#This Row],[PIEZAS REAL]]/PLANPRODUCCION[[#This Row],[PIEZAS ACTUALIZADO]],)</f>
        <v>#DIV/0!</v>
      </c>
      <c r="AC162" s="10" t="b">
        <f>PLANPRODUCCION[[#This Row],[INGRESO PLANEADO]]&lt;PLANPRODUCCION[[#This Row],[COSTO PLANEADO]]</f>
        <v>0</v>
      </c>
      <c r="AD162" t="s">
        <v>260</v>
      </c>
      <c r="AE162" s="10"/>
      <c r="AF162" s="10" t="b">
        <f>IF(COUNTIF(PLANPRODUCCION[[#This Row],[OBSERVACIONES]],"NO APLICA BONO*")&gt;0,TRUE,FALSE)</f>
        <v>0</v>
      </c>
    </row>
    <row r="163" spans="1:32" x14ac:dyDescent="0.25">
      <c r="A163" s="46" t="str">
        <f>UPPER(IF(PLANPRODUCCION[[#This Row],[FECHA]]&lt;=45701,_xlfn.CONCAT(TEXT(B163,"MMM"),"-",IF(ROW(A163)&lt;11,"000"&amp;ROW(A163)-1,IF(ROW(A163)&lt;101,"00"&amp;ROW(A163)-1,IF(ROW(A163)&lt;1001,"0"&amp;ROW(A163)-1,ROW(A163)-1))),"-OLD"),_xlfn.CONCAT(TEXT(B163,"MMM"),"-",IF(ROW(A163)&lt;473,"000"&amp;ROW(A163)-463,IF(ROW(A163)&lt;563,"00"&amp;ROW(A163)-463,IF(ROW(A163)&lt;1001,"0"&amp;ROW(A163)-463,ROW(A163)-463))))))</f>
        <v>ENE-0162-OLD</v>
      </c>
      <c r="B163" s="1">
        <v>45672</v>
      </c>
      <c r="C163" s="5"/>
      <c r="D163" s="5"/>
      <c r="E163" t="s">
        <v>72</v>
      </c>
      <c r="F163" s="32"/>
      <c r="G163" s="32"/>
      <c r="H163" s="5">
        <v>1527</v>
      </c>
      <c r="I163" t="s">
        <v>59</v>
      </c>
      <c r="J163" t="s">
        <v>193</v>
      </c>
      <c r="K163" s="5"/>
      <c r="L163" s="10" t="s">
        <v>57</v>
      </c>
      <c r="M163" s="49">
        <v>4</v>
      </c>
      <c r="N163" s="34">
        <f>PLANPRODUCCION[[#This Row],[PIEZAS PLANEADAS]]*PLANPRODUCCION[[#This Row],[PRECIO MAQUILAS]]</f>
        <v>0</v>
      </c>
      <c r="O163" s="5">
        <v>5</v>
      </c>
      <c r="P163" s="2">
        <v>0.66666666666666663</v>
      </c>
      <c r="Q163" s="2">
        <v>0.86111111111111116</v>
      </c>
      <c r="R163" s="24">
        <v>450</v>
      </c>
      <c r="S163" s="35">
        <f>PLANPRODUCCION[[#This Row],[PRECIO MAQUILAS]]*PLANPRODUCCION[[#This Row],[PIEZAS REAL]]</f>
        <v>1800</v>
      </c>
      <c r="T16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6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6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1446.6666666666665</v>
      </c>
      <c r="W16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353.33333333333348</v>
      </c>
      <c r="X163" s="8"/>
      <c r="Y16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6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6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63" s="13" t="e">
        <f>IF(PLANPRODUCCION[[#This Row],[PIEZAS REAL]]&gt;0,PLANPRODUCCION[[#This Row],[PIEZAS REAL]]/PLANPRODUCCION[[#This Row],[PIEZAS ACTUALIZADO]],)</f>
        <v>#DIV/0!</v>
      </c>
      <c r="AC163" s="10" t="b">
        <f>PLANPRODUCCION[[#This Row],[INGRESO PLANEADO]]&lt;PLANPRODUCCION[[#This Row],[COSTO PLANEADO]]</f>
        <v>0</v>
      </c>
      <c r="AD163" t="s">
        <v>261</v>
      </c>
      <c r="AE163" s="10"/>
      <c r="AF163" s="10" t="b">
        <f>IF(COUNTIF(PLANPRODUCCION[[#This Row],[OBSERVACIONES]],"NO APLICA BONO*")&gt;0,TRUE,FALSE)</f>
        <v>0</v>
      </c>
    </row>
    <row r="164" spans="1:32" x14ac:dyDescent="0.25">
      <c r="A164" s="46" t="str">
        <f>UPPER(IF(PLANPRODUCCION[[#This Row],[FECHA]]&lt;=45701,_xlfn.CONCAT(TEXT(B164,"MMM"),"-",IF(ROW(A164)&lt;11,"000"&amp;ROW(A164)-1,IF(ROW(A164)&lt;101,"00"&amp;ROW(A164)-1,IF(ROW(A164)&lt;1001,"0"&amp;ROW(A164)-1,ROW(A164)-1))),"-OLD"),_xlfn.CONCAT(TEXT(B164,"MMM"),"-",IF(ROW(A164)&lt;473,"000"&amp;ROW(A164)-463,IF(ROW(A164)&lt;563,"00"&amp;ROW(A164)-463,IF(ROW(A164)&lt;1001,"0"&amp;ROW(A164)-463,ROW(A164)-463))))))</f>
        <v>ENE-0163-OLD</v>
      </c>
      <c r="B164" s="1">
        <v>45672</v>
      </c>
      <c r="C164" s="5"/>
      <c r="D164" s="5"/>
      <c r="E164" t="s">
        <v>75</v>
      </c>
      <c r="F164" s="32"/>
      <c r="G164" s="32"/>
      <c r="H164" s="5">
        <v>1528</v>
      </c>
      <c r="I164" t="s">
        <v>188</v>
      </c>
      <c r="J164" t="s">
        <v>148</v>
      </c>
      <c r="K164" s="5"/>
      <c r="L164" s="10" t="s">
        <v>83</v>
      </c>
      <c r="M164" s="49">
        <v>10</v>
      </c>
      <c r="N164" s="34">
        <f>PLANPRODUCCION[[#This Row],[PIEZAS PLANEADAS]]*PLANPRODUCCION[[#This Row],[PRECIO MAQUILAS]]</f>
        <v>0</v>
      </c>
      <c r="O164" s="5">
        <v>5</v>
      </c>
      <c r="P164" s="2">
        <v>0.875</v>
      </c>
      <c r="Q164" s="2">
        <v>0.25</v>
      </c>
      <c r="R164" s="24">
        <v>213</v>
      </c>
      <c r="S164" s="35">
        <f>PLANPRODUCCION[[#This Row],[PRECIO MAQUILAS]]*PLANPRODUCCION[[#This Row],[PIEZAS REAL]]</f>
        <v>2130</v>
      </c>
      <c r="T16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6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6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3750</v>
      </c>
      <c r="W16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-1620</v>
      </c>
      <c r="X164" s="8"/>
      <c r="Y16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6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6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64" s="13" t="e">
        <f>IF(PLANPRODUCCION[[#This Row],[PIEZAS REAL]]&gt;0,PLANPRODUCCION[[#This Row],[PIEZAS REAL]]/PLANPRODUCCION[[#This Row],[PIEZAS ACTUALIZADO]],)</f>
        <v>#DIV/0!</v>
      </c>
      <c r="AC164" s="10" t="b">
        <f>PLANPRODUCCION[[#This Row],[INGRESO PLANEADO]]&lt;PLANPRODUCCION[[#This Row],[COSTO PLANEADO]]</f>
        <v>0</v>
      </c>
      <c r="AD164" t="s">
        <v>262</v>
      </c>
      <c r="AE164" s="10"/>
      <c r="AF164" s="10" t="b">
        <f>IF(COUNTIF(PLANPRODUCCION[[#This Row],[OBSERVACIONES]],"NO APLICA BONO*")&gt;0,TRUE,FALSE)</f>
        <v>0</v>
      </c>
    </row>
    <row r="165" spans="1:32" x14ac:dyDescent="0.25">
      <c r="A165" s="46" t="str">
        <f>UPPER(IF(PLANPRODUCCION[[#This Row],[FECHA]]&lt;=45701,_xlfn.CONCAT(TEXT(B165,"MMM"),"-",IF(ROW(A165)&lt;11,"000"&amp;ROW(A165)-1,IF(ROW(A165)&lt;101,"00"&amp;ROW(A165)-1,IF(ROW(A165)&lt;1001,"0"&amp;ROW(A165)-1,ROW(A165)-1))),"-OLD"),_xlfn.CONCAT(TEXT(B165,"MMM"),"-",IF(ROW(A165)&lt;473,"000"&amp;ROW(A165)-463,IF(ROW(A165)&lt;563,"00"&amp;ROW(A165)-463,IF(ROW(A165)&lt;1001,"0"&amp;ROW(A165)-463,ROW(A165)-463))))))</f>
        <v>ENE-0164-OLD</v>
      </c>
      <c r="B165" s="1">
        <v>45673</v>
      </c>
      <c r="C165" s="5"/>
      <c r="D165" s="5"/>
      <c r="E165" t="s">
        <v>54</v>
      </c>
      <c r="F165" s="32"/>
      <c r="G165" s="32"/>
      <c r="H165" s="5">
        <v>1525</v>
      </c>
      <c r="I165" t="s">
        <v>197</v>
      </c>
      <c r="J165" t="s">
        <v>198</v>
      </c>
      <c r="K165" s="5"/>
      <c r="L165" s="10" t="s">
        <v>57</v>
      </c>
      <c r="M165" s="49">
        <v>2</v>
      </c>
      <c r="N165" s="34">
        <f>PLANPRODUCCION[[#This Row],[PIEZAS PLANEADAS]]*PLANPRODUCCION[[#This Row],[PRECIO MAQUILAS]]</f>
        <v>0</v>
      </c>
      <c r="O165" s="5">
        <v>6</v>
      </c>
      <c r="P165" s="2">
        <v>0.25</v>
      </c>
      <c r="Q165" s="2">
        <v>0.875</v>
      </c>
      <c r="R165" s="24">
        <v>3000</v>
      </c>
      <c r="S165" s="35">
        <f>PLANPRODUCCION[[#This Row],[PRECIO MAQUILAS]]*PLANPRODUCCION[[#This Row],[PIEZAS REAL]]</f>
        <v>6000</v>
      </c>
      <c r="T16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6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6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5580</v>
      </c>
      <c r="W16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420</v>
      </c>
      <c r="X165" s="8"/>
      <c r="Y16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6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6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65" s="13" t="e">
        <f>IF(PLANPRODUCCION[[#This Row],[PIEZAS REAL]]&gt;0,PLANPRODUCCION[[#This Row],[PIEZAS REAL]]/PLANPRODUCCION[[#This Row],[PIEZAS ACTUALIZADO]],)</f>
        <v>#DIV/0!</v>
      </c>
      <c r="AC165" s="10" t="b">
        <f>PLANPRODUCCION[[#This Row],[INGRESO PLANEADO]]&lt;PLANPRODUCCION[[#This Row],[COSTO PLANEADO]]</f>
        <v>0</v>
      </c>
      <c r="AD165" s="46" t="s">
        <v>263</v>
      </c>
      <c r="AE165" s="10"/>
      <c r="AF165" s="10" t="b">
        <f>IF(COUNTIF(PLANPRODUCCION[[#This Row],[OBSERVACIONES]],"NO APLICA BONO*")&gt;0,TRUE,FALSE)</f>
        <v>0</v>
      </c>
    </row>
    <row r="166" spans="1:32" x14ac:dyDescent="0.25">
      <c r="A166" s="46" t="str">
        <f>UPPER(IF(PLANPRODUCCION[[#This Row],[FECHA]]&lt;=45701,_xlfn.CONCAT(TEXT(B166,"MMM"),"-",IF(ROW(A166)&lt;11,"000"&amp;ROW(A166)-1,IF(ROW(A166)&lt;101,"00"&amp;ROW(A166)-1,IF(ROW(A166)&lt;1001,"0"&amp;ROW(A166)-1,ROW(A166)-1))),"-OLD"),_xlfn.CONCAT(TEXT(B166,"MMM"),"-",IF(ROW(A166)&lt;473,"000"&amp;ROW(A166)-463,IF(ROW(A166)&lt;563,"00"&amp;ROW(A166)-463,IF(ROW(A166)&lt;1001,"0"&amp;ROW(A166)-463,ROW(A166)-463))))))</f>
        <v>ENE-0165-OLD</v>
      </c>
      <c r="B166" s="1">
        <v>45673</v>
      </c>
      <c r="C166" s="5"/>
      <c r="D166" s="5"/>
      <c r="E166" t="s">
        <v>54</v>
      </c>
      <c r="F166" s="32"/>
      <c r="G166" s="32"/>
      <c r="H166" s="5">
        <v>1527</v>
      </c>
      <c r="I166" t="s">
        <v>59</v>
      </c>
      <c r="J166" t="s">
        <v>193</v>
      </c>
      <c r="K166" s="5"/>
      <c r="L166" s="10" t="s">
        <v>57</v>
      </c>
      <c r="M166" s="49">
        <v>4</v>
      </c>
      <c r="N166" s="34">
        <f>PLANPRODUCCION[[#This Row],[PIEZAS PLANEADAS]]*PLANPRODUCCION[[#This Row],[PRECIO MAQUILAS]]</f>
        <v>0</v>
      </c>
      <c r="O166" s="5">
        <v>2</v>
      </c>
      <c r="P166" s="2">
        <v>0.25</v>
      </c>
      <c r="Q166" s="2">
        <v>0.33333333333333331</v>
      </c>
      <c r="R166" s="24">
        <v>113</v>
      </c>
      <c r="S166" s="35">
        <f>PLANPRODUCCION[[#This Row],[PRECIO MAQUILAS]]*PLANPRODUCCION[[#This Row],[PIEZAS REAL]]</f>
        <v>452</v>
      </c>
      <c r="T16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6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6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16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204</v>
      </c>
      <c r="X166" s="8"/>
      <c r="Y16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6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6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66" s="13" t="e">
        <f>IF(PLANPRODUCCION[[#This Row],[PIEZAS REAL]]&gt;0,PLANPRODUCCION[[#This Row],[PIEZAS REAL]]/PLANPRODUCCION[[#This Row],[PIEZAS ACTUALIZADO]],)</f>
        <v>#DIV/0!</v>
      </c>
      <c r="AC166" s="10" t="b">
        <f>PLANPRODUCCION[[#This Row],[INGRESO PLANEADO]]&lt;PLANPRODUCCION[[#This Row],[COSTO PLANEADO]]</f>
        <v>0</v>
      </c>
      <c r="AD166" s="46" t="s">
        <v>264</v>
      </c>
      <c r="AE166" s="10"/>
      <c r="AF166" s="10" t="b">
        <f>IF(COUNTIF(PLANPRODUCCION[[#This Row],[OBSERVACIONES]],"NO APLICA BONO*")&gt;0,TRUE,FALSE)</f>
        <v>0</v>
      </c>
    </row>
    <row r="167" spans="1:32" x14ac:dyDescent="0.25">
      <c r="A167" s="46" t="str">
        <f>UPPER(IF(PLANPRODUCCION[[#This Row],[FECHA]]&lt;=45701,_xlfn.CONCAT(TEXT(B167,"MMM"),"-",IF(ROW(A167)&lt;11,"000"&amp;ROW(A167)-1,IF(ROW(A167)&lt;101,"00"&amp;ROW(A167)-1,IF(ROW(A167)&lt;1001,"0"&amp;ROW(A167)-1,ROW(A167)-1))),"-OLD"),_xlfn.CONCAT(TEXT(B167,"MMM"),"-",IF(ROW(A167)&lt;473,"000"&amp;ROW(A167)-463,IF(ROW(A167)&lt;563,"00"&amp;ROW(A167)-463,IF(ROW(A167)&lt;1001,"0"&amp;ROW(A167)-463,ROW(A167)-463))))))</f>
        <v>ENE-0166-OLD</v>
      </c>
      <c r="B167" s="1">
        <v>45673</v>
      </c>
      <c r="C167" s="5"/>
      <c r="D167" s="5"/>
      <c r="E167" t="s">
        <v>54</v>
      </c>
      <c r="F167" s="32"/>
      <c r="G167" s="32"/>
      <c r="H167" s="5">
        <v>1528</v>
      </c>
      <c r="I167" t="s">
        <v>188</v>
      </c>
      <c r="J167" t="s">
        <v>144</v>
      </c>
      <c r="K167" s="5"/>
      <c r="L167" s="10" t="s">
        <v>57</v>
      </c>
      <c r="M167" s="49">
        <v>1</v>
      </c>
      <c r="N167" s="34">
        <f>PLANPRODUCCION[[#This Row],[PIEZAS PLANEADAS]]*PLANPRODUCCION[[#This Row],[PRECIO MAQUILAS]]</f>
        <v>0</v>
      </c>
      <c r="O167" s="5">
        <v>7</v>
      </c>
      <c r="P167" s="2">
        <v>0.25</v>
      </c>
      <c r="Q167" s="2">
        <v>0.5</v>
      </c>
      <c r="R167" s="24">
        <v>678</v>
      </c>
      <c r="S167" s="35">
        <f>PLANPRODUCCION[[#This Row],[PRECIO MAQUILAS]]*PLANPRODUCCION[[#This Row],[PIEZAS REAL]]</f>
        <v>678</v>
      </c>
      <c r="T16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6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6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2604</v>
      </c>
      <c r="W16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-1926</v>
      </c>
      <c r="X167" s="8"/>
      <c r="Y16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6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6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67" s="13" t="e">
        <f>IF(PLANPRODUCCION[[#This Row],[PIEZAS REAL]]&gt;0,PLANPRODUCCION[[#This Row],[PIEZAS REAL]]/PLANPRODUCCION[[#This Row],[PIEZAS ACTUALIZADO]],)</f>
        <v>#DIV/0!</v>
      </c>
      <c r="AC167" s="10" t="b">
        <f>PLANPRODUCCION[[#This Row],[INGRESO PLANEADO]]&lt;PLANPRODUCCION[[#This Row],[COSTO PLANEADO]]</f>
        <v>0</v>
      </c>
      <c r="AD167" s="46" t="s">
        <v>265</v>
      </c>
      <c r="AE167" s="10"/>
      <c r="AF167" s="10" t="b">
        <f>IF(COUNTIF(PLANPRODUCCION[[#This Row],[OBSERVACIONES]],"NO APLICA BONO*")&gt;0,TRUE,FALSE)</f>
        <v>0</v>
      </c>
    </row>
    <row r="168" spans="1:32" x14ac:dyDescent="0.25">
      <c r="A168" s="46" t="str">
        <f>UPPER(IF(PLANPRODUCCION[[#This Row],[FECHA]]&lt;=45701,_xlfn.CONCAT(TEXT(B168,"MMM"),"-",IF(ROW(A168)&lt;11,"000"&amp;ROW(A168)-1,IF(ROW(A168)&lt;101,"00"&amp;ROW(A168)-1,IF(ROW(A168)&lt;1001,"0"&amp;ROW(A168)-1,ROW(A168)-1))),"-OLD"),_xlfn.CONCAT(TEXT(B168,"MMM"),"-",IF(ROW(A168)&lt;473,"000"&amp;ROW(A168)-463,IF(ROW(A168)&lt;563,"00"&amp;ROW(A168)-463,IF(ROW(A168)&lt;1001,"0"&amp;ROW(A168)-463,ROW(A168)-463))))))</f>
        <v>ENE-0167-OLD</v>
      </c>
      <c r="B168" s="1">
        <v>45673</v>
      </c>
      <c r="C168" s="5"/>
      <c r="D168" s="5"/>
      <c r="E168" t="s">
        <v>54</v>
      </c>
      <c r="F168" s="32"/>
      <c r="G168" s="32"/>
      <c r="H168" s="5">
        <v>1534</v>
      </c>
      <c r="I168" t="s">
        <v>266</v>
      </c>
      <c r="J168" t="s">
        <v>267</v>
      </c>
      <c r="K168" s="5"/>
      <c r="L168" s="10" t="s">
        <v>57</v>
      </c>
      <c r="M168" s="49">
        <v>1</v>
      </c>
      <c r="N168" s="34">
        <f>PLANPRODUCCION[[#This Row],[PIEZAS PLANEADAS]]*PLANPRODUCCION[[#This Row],[PRECIO MAQUILAS]]</f>
        <v>0</v>
      </c>
      <c r="O168" s="5">
        <v>3</v>
      </c>
      <c r="P168" s="2">
        <v>0.25</v>
      </c>
      <c r="Q168" s="2">
        <v>0.3125</v>
      </c>
      <c r="R168" s="24">
        <v>2018</v>
      </c>
      <c r="S168" s="35">
        <f>PLANPRODUCCION[[#This Row],[PRECIO MAQUILAS]]*PLANPRODUCCION[[#This Row],[PIEZAS REAL]]</f>
        <v>2018</v>
      </c>
      <c r="T16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6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6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</v>
      </c>
      <c r="W16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1739</v>
      </c>
      <c r="X168" s="8"/>
      <c r="Y16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6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6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68" s="13" t="e">
        <f>IF(PLANPRODUCCION[[#This Row],[PIEZAS REAL]]&gt;0,PLANPRODUCCION[[#This Row],[PIEZAS REAL]]/PLANPRODUCCION[[#This Row],[PIEZAS ACTUALIZADO]],)</f>
        <v>#DIV/0!</v>
      </c>
      <c r="AC168" s="10" t="b">
        <f>PLANPRODUCCION[[#This Row],[INGRESO PLANEADO]]&lt;PLANPRODUCCION[[#This Row],[COSTO PLANEADO]]</f>
        <v>0</v>
      </c>
      <c r="AD168" s="46" t="s">
        <v>268</v>
      </c>
      <c r="AE168" s="10"/>
      <c r="AF168" s="10" t="b">
        <f>IF(COUNTIF(PLANPRODUCCION[[#This Row],[OBSERVACIONES]],"NO APLICA BONO*")&gt;0,TRUE,FALSE)</f>
        <v>0</v>
      </c>
    </row>
    <row r="169" spans="1:32" x14ac:dyDescent="0.25">
      <c r="A169" s="46" t="str">
        <f>UPPER(IF(PLANPRODUCCION[[#This Row],[FECHA]]&lt;=45701,_xlfn.CONCAT(TEXT(B169,"MMM"),"-",IF(ROW(A169)&lt;11,"000"&amp;ROW(A169)-1,IF(ROW(A169)&lt;101,"00"&amp;ROW(A169)-1,IF(ROW(A169)&lt;1001,"0"&amp;ROW(A169)-1,ROW(A169)-1))),"-OLD"),_xlfn.CONCAT(TEXT(B169,"MMM"),"-",IF(ROW(A169)&lt;473,"000"&amp;ROW(A169)-463,IF(ROW(A169)&lt;563,"00"&amp;ROW(A169)-463,IF(ROW(A169)&lt;1001,"0"&amp;ROW(A169)-463,ROW(A169)-463))))))</f>
        <v>ENE-0168-OLD</v>
      </c>
      <c r="B169" s="1">
        <v>45673</v>
      </c>
      <c r="C169" s="5"/>
      <c r="D169" s="5"/>
      <c r="E169" t="s">
        <v>54</v>
      </c>
      <c r="F169" s="32"/>
      <c r="G169" s="32"/>
      <c r="H169" s="5">
        <v>1528</v>
      </c>
      <c r="I169" t="s">
        <v>188</v>
      </c>
      <c r="J169" t="s">
        <v>144</v>
      </c>
      <c r="K169" s="5"/>
      <c r="L169" s="10" t="s">
        <v>57</v>
      </c>
      <c r="M169" s="49">
        <v>1</v>
      </c>
      <c r="N169" s="34">
        <f>PLANPRODUCCION[[#This Row],[PIEZAS PLANEADAS]]*PLANPRODUCCION[[#This Row],[PRECIO MAQUILAS]]</f>
        <v>0</v>
      </c>
      <c r="O169" s="5">
        <v>3</v>
      </c>
      <c r="P169" s="2">
        <v>0.32291666666666669</v>
      </c>
      <c r="Q169" s="2">
        <v>0.41666666666666669</v>
      </c>
      <c r="R169" s="24">
        <v>159</v>
      </c>
      <c r="S169" s="35">
        <f>PLANPRODUCCION[[#This Row],[PRECIO MAQUILAS]]*PLANPRODUCCION[[#This Row],[PIEZAS REAL]]</f>
        <v>159</v>
      </c>
      <c r="T16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6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6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418.5</v>
      </c>
      <c r="W16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-259.5</v>
      </c>
      <c r="X169" s="8"/>
      <c r="Y16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6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6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69" s="13" t="e">
        <f>IF(PLANPRODUCCION[[#This Row],[PIEZAS REAL]]&gt;0,PLANPRODUCCION[[#This Row],[PIEZAS REAL]]/PLANPRODUCCION[[#This Row],[PIEZAS ACTUALIZADO]],)</f>
        <v>#DIV/0!</v>
      </c>
      <c r="AC169" s="10" t="b">
        <f>PLANPRODUCCION[[#This Row],[INGRESO PLANEADO]]&lt;PLANPRODUCCION[[#This Row],[COSTO PLANEADO]]</f>
        <v>0</v>
      </c>
      <c r="AD169" s="46" t="s">
        <v>269</v>
      </c>
      <c r="AE169" s="10"/>
      <c r="AF169" s="10" t="b">
        <f>IF(COUNTIF(PLANPRODUCCION[[#This Row],[OBSERVACIONES]],"NO APLICA BONO*")&gt;0,TRUE,FALSE)</f>
        <v>0</v>
      </c>
    </row>
    <row r="170" spans="1:32" x14ac:dyDescent="0.25">
      <c r="A170" s="46" t="str">
        <f>UPPER(IF(PLANPRODUCCION[[#This Row],[FECHA]]&lt;=45701,_xlfn.CONCAT(TEXT(B170,"MMM"),"-",IF(ROW(A170)&lt;11,"000"&amp;ROW(A170)-1,IF(ROW(A170)&lt;101,"00"&amp;ROW(A170)-1,IF(ROW(A170)&lt;1001,"0"&amp;ROW(A170)-1,ROW(A170)-1))),"-OLD"),_xlfn.CONCAT(TEXT(B170,"MMM"),"-",IF(ROW(A170)&lt;473,"000"&amp;ROW(A170)-463,IF(ROW(A170)&lt;563,"00"&amp;ROW(A170)-463,IF(ROW(A170)&lt;1001,"0"&amp;ROW(A170)-463,ROW(A170)-463))))))</f>
        <v>ENE-0169-OLD</v>
      </c>
      <c r="B170" s="1">
        <v>45673</v>
      </c>
      <c r="C170" s="5"/>
      <c r="D170" s="5"/>
      <c r="E170" t="s">
        <v>54</v>
      </c>
      <c r="F170" s="32"/>
      <c r="G170" s="32"/>
      <c r="H170" s="5">
        <v>1528</v>
      </c>
      <c r="I170" t="s">
        <v>188</v>
      </c>
      <c r="J170" t="s">
        <v>144</v>
      </c>
      <c r="K170" s="5"/>
      <c r="L170" s="10" t="s">
        <v>57</v>
      </c>
      <c r="M170" s="49">
        <v>1</v>
      </c>
      <c r="N170" s="34">
        <f>PLANPRODUCCION[[#This Row],[PIEZAS PLANEADAS]]*PLANPRODUCCION[[#This Row],[PRECIO MAQUILAS]]</f>
        <v>0</v>
      </c>
      <c r="O170" s="5">
        <v>2</v>
      </c>
      <c r="P170" s="2">
        <v>0.33680555555555558</v>
      </c>
      <c r="Q170" s="2">
        <v>0.51388888888888884</v>
      </c>
      <c r="R170" s="24">
        <v>153</v>
      </c>
      <c r="S170" s="35">
        <f>PLANPRODUCCION[[#This Row],[PRECIO MAQUILAS]]*PLANPRODUCCION[[#This Row],[PIEZAS REAL]]</f>
        <v>153</v>
      </c>
      <c r="T17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7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7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527</v>
      </c>
      <c r="W17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-374</v>
      </c>
      <c r="X170" s="8"/>
      <c r="Y17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7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7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70" s="13" t="e">
        <f>IF(PLANPRODUCCION[[#This Row],[PIEZAS REAL]]&gt;0,PLANPRODUCCION[[#This Row],[PIEZAS REAL]]/PLANPRODUCCION[[#This Row],[PIEZAS ACTUALIZADO]],)</f>
        <v>#DIV/0!</v>
      </c>
      <c r="AC170" s="10" t="b">
        <f>PLANPRODUCCION[[#This Row],[INGRESO PLANEADO]]&lt;PLANPRODUCCION[[#This Row],[COSTO PLANEADO]]</f>
        <v>0</v>
      </c>
      <c r="AD170" s="46" t="s">
        <v>270</v>
      </c>
      <c r="AE170" s="10"/>
      <c r="AF170" s="10" t="b">
        <f>IF(COUNTIF(PLANPRODUCCION[[#This Row],[OBSERVACIONES]],"NO APLICA BONO*")&gt;0,TRUE,FALSE)</f>
        <v>0</v>
      </c>
    </row>
    <row r="171" spans="1:32" x14ac:dyDescent="0.25">
      <c r="A171" s="46" t="str">
        <f>UPPER(IF(PLANPRODUCCION[[#This Row],[FECHA]]&lt;=45701,_xlfn.CONCAT(TEXT(B171,"MMM"),"-",IF(ROW(A171)&lt;11,"000"&amp;ROW(A171)-1,IF(ROW(A171)&lt;101,"00"&amp;ROW(A171)-1,IF(ROW(A171)&lt;1001,"0"&amp;ROW(A171)-1,ROW(A171)-1))),"-OLD"),_xlfn.CONCAT(TEXT(B171,"MMM"),"-",IF(ROW(A171)&lt;473,"000"&amp;ROW(A171)-463,IF(ROW(A171)&lt;563,"00"&amp;ROW(A171)-463,IF(ROW(A171)&lt;1001,"0"&amp;ROW(A171)-463,ROW(A171)-463))))))</f>
        <v>ENE-0170-OLD</v>
      </c>
      <c r="B171" s="1">
        <v>45673</v>
      </c>
      <c r="C171" s="5"/>
      <c r="D171" s="5"/>
      <c r="E171" t="s">
        <v>54</v>
      </c>
      <c r="F171" s="32"/>
      <c r="G171" s="32"/>
      <c r="H171" s="5">
        <v>1527</v>
      </c>
      <c r="I171" t="s">
        <v>59</v>
      </c>
      <c r="J171" t="s">
        <v>193</v>
      </c>
      <c r="K171" s="5"/>
      <c r="L171" s="10" t="s">
        <v>57</v>
      </c>
      <c r="M171" s="49">
        <v>4</v>
      </c>
      <c r="N171" s="34">
        <f>PLANPRODUCCION[[#This Row],[PIEZAS PLANEADAS]]*PLANPRODUCCION[[#This Row],[PRECIO MAQUILAS]]</f>
        <v>0</v>
      </c>
      <c r="O171" s="5">
        <v>3</v>
      </c>
      <c r="P171" s="2">
        <v>0.41736111111111113</v>
      </c>
      <c r="Q171" s="2">
        <v>0.66666666666666663</v>
      </c>
      <c r="R171" s="24">
        <v>1050</v>
      </c>
      <c r="S171" s="35">
        <f>PLANPRODUCCION[[#This Row],[PRECIO MAQUILAS]]*PLANPRODUCCION[[#This Row],[PIEZAS REAL]]</f>
        <v>4200</v>
      </c>
      <c r="T17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7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7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1112.8999999999999</v>
      </c>
      <c r="W17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3087.1000000000004</v>
      </c>
      <c r="X171" s="8"/>
      <c r="Y17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7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7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71" s="13" t="e">
        <f>IF(PLANPRODUCCION[[#This Row],[PIEZAS REAL]]&gt;0,PLANPRODUCCION[[#This Row],[PIEZAS REAL]]/PLANPRODUCCION[[#This Row],[PIEZAS ACTUALIZADO]],)</f>
        <v>#DIV/0!</v>
      </c>
      <c r="AC171" s="10" t="b">
        <f>PLANPRODUCCION[[#This Row],[INGRESO PLANEADO]]&lt;PLANPRODUCCION[[#This Row],[COSTO PLANEADO]]</f>
        <v>0</v>
      </c>
      <c r="AD171" s="46" t="s">
        <v>271</v>
      </c>
      <c r="AE171" s="10"/>
      <c r="AF171" s="10" t="b">
        <f>IF(COUNTIF(PLANPRODUCCION[[#This Row],[OBSERVACIONES]],"NO APLICA BONO*")&gt;0,TRUE,FALSE)</f>
        <v>0</v>
      </c>
    </row>
    <row r="172" spans="1:32" x14ac:dyDescent="0.25">
      <c r="A172" s="46" t="str">
        <f>UPPER(IF(PLANPRODUCCION[[#This Row],[FECHA]]&lt;=45701,_xlfn.CONCAT(TEXT(B172,"MMM"),"-",IF(ROW(A172)&lt;11,"000"&amp;ROW(A172)-1,IF(ROW(A172)&lt;101,"00"&amp;ROW(A172)-1,IF(ROW(A172)&lt;1001,"0"&amp;ROW(A172)-1,ROW(A172)-1))),"-OLD"),_xlfn.CONCAT(TEXT(B172,"MMM"),"-",IF(ROW(A172)&lt;473,"000"&amp;ROW(A172)-463,IF(ROW(A172)&lt;563,"00"&amp;ROW(A172)-463,IF(ROW(A172)&lt;1001,"0"&amp;ROW(A172)-463,ROW(A172)-463))))))</f>
        <v>ENE-0171-OLD</v>
      </c>
      <c r="B172" s="1">
        <v>45673</v>
      </c>
      <c r="C172" s="5"/>
      <c r="D172" s="5"/>
      <c r="E172" t="s">
        <v>54</v>
      </c>
      <c r="F172" s="32"/>
      <c r="G172" s="32"/>
      <c r="H172" s="5">
        <v>1528</v>
      </c>
      <c r="I172" t="s">
        <v>188</v>
      </c>
      <c r="J172" t="s">
        <v>148</v>
      </c>
      <c r="K172" s="5"/>
      <c r="L172" s="10" t="s">
        <v>83</v>
      </c>
      <c r="M172" s="49">
        <v>10</v>
      </c>
      <c r="N172" s="34">
        <f>PLANPRODUCCION[[#This Row],[PIEZAS PLANEADAS]]*PLANPRODUCCION[[#This Row],[PRECIO MAQUILAS]]</f>
        <v>0</v>
      </c>
      <c r="O172" s="5">
        <v>6</v>
      </c>
      <c r="P172" s="2">
        <v>0.50347222222222221</v>
      </c>
      <c r="Q172" s="2">
        <v>0.66666666666666663</v>
      </c>
      <c r="R172" s="24">
        <v>99</v>
      </c>
      <c r="S172" s="35">
        <f>PLANPRODUCCION[[#This Row],[PRECIO MAQUILAS]]*PLANPRODUCCION[[#This Row],[PIEZAS REAL]]</f>
        <v>990</v>
      </c>
      <c r="T17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7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7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1457</v>
      </c>
      <c r="W17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-467</v>
      </c>
      <c r="X172" s="8"/>
      <c r="Y17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7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7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72" s="13" t="e">
        <f>IF(PLANPRODUCCION[[#This Row],[PIEZAS REAL]]&gt;0,PLANPRODUCCION[[#This Row],[PIEZAS REAL]]/PLANPRODUCCION[[#This Row],[PIEZAS ACTUALIZADO]],)</f>
        <v>#DIV/0!</v>
      </c>
      <c r="AC172" s="10" t="b">
        <f>PLANPRODUCCION[[#This Row],[INGRESO PLANEADO]]&lt;PLANPRODUCCION[[#This Row],[COSTO PLANEADO]]</f>
        <v>0</v>
      </c>
      <c r="AD172" s="46" t="s">
        <v>272</v>
      </c>
      <c r="AE172" s="10"/>
      <c r="AF172" s="10" t="b">
        <f>IF(COUNTIF(PLANPRODUCCION[[#This Row],[OBSERVACIONES]],"NO APLICA BONO*")&gt;0,TRUE,FALSE)</f>
        <v>0</v>
      </c>
    </row>
    <row r="173" spans="1:32" x14ac:dyDescent="0.25">
      <c r="A173" s="46" t="str">
        <f>UPPER(IF(PLANPRODUCCION[[#This Row],[FECHA]]&lt;=45701,_xlfn.CONCAT(TEXT(B173,"MMM"),"-",IF(ROW(A173)&lt;11,"000"&amp;ROW(A173)-1,IF(ROW(A173)&lt;101,"00"&amp;ROW(A173)-1,IF(ROW(A173)&lt;1001,"0"&amp;ROW(A173)-1,ROW(A173)-1))),"-OLD"),_xlfn.CONCAT(TEXT(B173,"MMM"),"-",IF(ROW(A173)&lt;473,"000"&amp;ROW(A173)-463,IF(ROW(A173)&lt;563,"00"&amp;ROW(A173)-463,IF(ROW(A173)&lt;1001,"0"&amp;ROW(A173)-463,ROW(A173)-463))))))</f>
        <v>ENE-0172-OLD</v>
      </c>
      <c r="B173" s="1">
        <v>45673</v>
      </c>
      <c r="C173" s="5"/>
      <c r="D173" s="5"/>
      <c r="E173" t="s">
        <v>54</v>
      </c>
      <c r="F173" s="32"/>
      <c r="G173" s="32"/>
      <c r="H173" s="5">
        <v>1525</v>
      </c>
      <c r="I173" t="s">
        <v>197</v>
      </c>
      <c r="J173" t="s">
        <v>198</v>
      </c>
      <c r="K173" s="5"/>
      <c r="L173" s="10" t="s">
        <v>57</v>
      </c>
      <c r="M173" s="49">
        <v>2</v>
      </c>
      <c r="N173" s="34">
        <f>PLANPRODUCCION[[#This Row],[PIEZAS PLANEADAS]]*PLANPRODUCCION[[#This Row],[PRECIO MAQUILAS]]</f>
        <v>0</v>
      </c>
      <c r="O173" s="5">
        <v>2</v>
      </c>
      <c r="P173" s="2">
        <v>0.51736111111111116</v>
      </c>
      <c r="Q173" s="2">
        <v>0.66666666666666663</v>
      </c>
      <c r="R173" s="24">
        <v>550</v>
      </c>
      <c r="S173" s="35">
        <f>PLANPRODUCCION[[#This Row],[PRECIO MAQUILAS]]*PLANPRODUCCION[[#This Row],[PIEZAS REAL]]</f>
        <v>1100</v>
      </c>
      <c r="T17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7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7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444.33333333333331</v>
      </c>
      <c r="W17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655.66666666666674</v>
      </c>
      <c r="X173" s="8"/>
      <c r="Y17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7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7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73" s="13" t="e">
        <f>IF(PLANPRODUCCION[[#This Row],[PIEZAS REAL]]&gt;0,PLANPRODUCCION[[#This Row],[PIEZAS REAL]]/PLANPRODUCCION[[#This Row],[PIEZAS ACTUALIZADO]],)</f>
        <v>#DIV/0!</v>
      </c>
      <c r="AC173" s="10" t="b">
        <f>PLANPRODUCCION[[#This Row],[INGRESO PLANEADO]]&lt;PLANPRODUCCION[[#This Row],[COSTO PLANEADO]]</f>
        <v>0</v>
      </c>
      <c r="AD173" s="46" t="s">
        <v>273</v>
      </c>
      <c r="AE173" s="10"/>
      <c r="AF173" s="10" t="b">
        <f>IF(COUNTIF(PLANPRODUCCION[[#This Row],[OBSERVACIONES]],"NO APLICA BONO*")&gt;0,TRUE,FALSE)</f>
        <v>0</v>
      </c>
    </row>
    <row r="174" spans="1:32" x14ac:dyDescent="0.25">
      <c r="A174" s="46" t="str">
        <f>UPPER(IF(PLANPRODUCCION[[#This Row],[FECHA]]&lt;=45701,_xlfn.CONCAT(TEXT(B174,"MMM"),"-",IF(ROW(A174)&lt;11,"000"&amp;ROW(A174)-1,IF(ROW(A174)&lt;101,"00"&amp;ROW(A174)-1,IF(ROW(A174)&lt;1001,"0"&amp;ROW(A174)-1,ROW(A174)-1))),"-OLD"),_xlfn.CONCAT(TEXT(B174,"MMM"),"-",IF(ROW(A174)&lt;473,"000"&amp;ROW(A174)-463,IF(ROW(A174)&lt;563,"00"&amp;ROW(A174)-463,IF(ROW(A174)&lt;1001,"0"&amp;ROW(A174)-463,ROW(A174)-463))))))</f>
        <v>ENE-0173-OLD</v>
      </c>
      <c r="B174" s="1">
        <v>45673</v>
      </c>
      <c r="C174" s="5"/>
      <c r="D174" s="5"/>
      <c r="E174" t="s">
        <v>67</v>
      </c>
      <c r="F174" s="32"/>
      <c r="G174" s="32"/>
      <c r="H174" s="5">
        <v>1525</v>
      </c>
      <c r="I174" t="s">
        <v>197</v>
      </c>
      <c r="J174" t="s">
        <v>198</v>
      </c>
      <c r="K174" s="5"/>
      <c r="L174" s="10" t="s">
        <v>57</v>
      </c>
      <c r="M174" s="49">
        <v>2</v>
      </c>
      <c r="N174" s="34">
        <f>PLANPRODUCCION[[#This Row],[PIEZAS PLANEADAS]]*PLANPRODUCCION[[#This Row],[PRECIO MAQUILAS]]</f>
        <v>0</v>
      </c>
      <c r="O174" s="5">
        <v>3</v>
      </c>
      <c r="P174" s="2">
        <v>0.33333333333333331</v>
      </c>
      <c r="Q174" s="2">
        <v>0.75</v>
      </c>
      <c r="R174" s="24">
        <v>3050</v>
      </c>
      <c r="S174" s="35">
        <f>PLANPRODUCCION[[#This Row],[PRECIO MAQUILAS]]*PLANPRODUCCION[[#This Row],[PIEZAS REAL]]</f>
        <v>6100</v>
      </c>
      <c r="T17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7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7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17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4240</v>
      </c>
      <c r="X174" s="8"/>
      <c r="Y17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7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7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74" s="13" t="e">
        <f>IF(PLANPRODUCCION[[#This Row],[PIEZAS REAL]]&gt;0,PLANPRODUCCION[[#This Row],[PIEZAS REAL]]/PLANPRODUCCION[[#This Row],[PIEZAS ACTUALIZADO]],)</f>
        <v>#DIV/0!</v>
      </c>
      <c r="AC174" s="10" t="b">
        <f>PLANPRODUCCION[[#This Row],[INGRESO PLANEADO]]&lt;PLANPRODUCCION[[#This Row],[COSTO PLANEADO]]</f>
        <v>0</v>
      </c>
      <c r="AD174" s="46" t="s">
        <v>274</v>
      </c>
      <c r="AE174" s="10"/>
      <c r="AF174" s="10" t="b">
        <f>IF(COUNTIF(PLANPRODUCCION[[#This Row],[OBSERVACIONES]],"NO APLICA BONO*")&gt;0,TRUE,FALSE)</f>
        <v>0</v>
      </c>
    </row>
    <row r="175" spans="1:32" x14ac:dyDescent="0.25">
      <c r="A175" s="46" t="str">
        <f>UPPER(IF(PLANPRODUCCION[[#This Row],[FECHA]]&lt;=45701,_xlfn.CONCAT(TEXT(B175,"MMM"),"-",IF(ROW(A175)&lt;11,"000"&amp;ROW(A175)-1,IF(ROW(A175)&lt;101,"00"&amp;ROW(A175)-1,IF(ROW(A175)&lt;1001,"0"&amp;ROW(A175)-1,ROW(A175)-1))),"-OLD"),_xlfn.CONCAT(TEXT(B175,"MMM"),"-",IF(ROW(A175)&lt;473,"000"&amp;ROW(A175)-463,IF(ROW(A175)&lt;563,"00"&amp;ROW(A175)-463,IF(ROW(A175)&lt;1001,"0"&amp;ROW(A175)-463,ROW(A175)-463))))))</f>
        <v>ENE-0174-OLD</v>
      </c>
      <c r="B175" s="1">
        <v>45673</v>
      </c>
      <c r="C175" s="5"/>
      <c r="D175" s="5"/>
      <c r="E175" t="s">
        <v>67</v>
      </c>
      <c r="F175" s="32"/>
      <c r="G175" s="32"/>
      <c r="H175" s="5">
        <v>1525</v>
      </c>
      <c r="I175" t="s">
        <v>197</v>
      </c>
      <c r="J175" t="s">
        <v>198</v>
      </c>
      <c r="K175" s="5"/>
      <c r="L175" s="10" t="s">
        <v>57</v>
      </c>
      <c r="M175" s="49">
        <v>2</v>
      </c>
      <c r="N175" s="34">
        <f>PLANPRODUCCION[[#This Row],[PIEZAS PLANEADAS]]*PLANPRODUCCION[[#This Row],[PRECIO MAQUILAS]]</f>
        <v>0</v>
      </c>
      <c r="O175" s="5">
        <v>3</v>
      </c>
      <c r="P175" s="2">
        <v>0.33333333333333331</v>
      </c>
      <c r="Q175" s="2">
        <v>0.75</v>
      </c>
      <c r="R175" s="24">
        <v>2536</v>
      </c>
      <c r="S175" s="35">
        <f>PLANPRODUCCION[[#This Row],[PRECIO MAQUILAS]]*PLANPRODUCCION[[#This Row],[PIEZAS REAL]]</f>
        <v>5072</v>
      </c>
      <c r="T17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7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7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17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3212</v>
      </c>
      <c r="X175" s="8"/>
      <c r="Y17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7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7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75" s="13" t="e">
        <f>IF(PLANPRODUCCION[[#This Row],[PIEZAS REAL]]&gt;0,PLANPRODUCCION[[#This Row],[PIEZAS REAL]]/PLANPRODUCCION[[#This Row],[PIEZAS ACTUALIZADO]],)</f>
        <v>#DIV/0!</v>
      </c>
      <c r="AC175" s="10" t="b">
        <f>PLANPRODUCCION[[#This Row],[INGRESO PLANEADO]]&lt;PLANPRODUCCION[[#This Row],[COSTO PLANEADO]]</f>
        <v>0</v>
      </c>
      <c r="AD175" s="46" t="s">
        <v>275</v>
      </c>
      <c r="AE175" s="10"/>
      <c r="AF175" s="10" t="b">
        <f>IF(COUNTIF(PLANPRODUCCION[[#This Row],[OBSERVACIONES]],"NO APLICA BONO*")&gt;0,TRUE,FALSE)</f>
        <v>0</v>
      </c>
    </row>
    <row r="176" spans="1:32" x14ac:dyDescent="0.25">
      <c r="A176" s="46" t="str">
        <f>UPPER(IF(PLANPRODUCCION[[#This Row],[FECHA]]&lt;=45701,_xlfn.CONCAT(TEXT(B176,"MMM"),"-",IF(ROW(A176)&lt;11,"000"&amp;ROW(A176)-1,IF(ROW(A176)&lt;101,"00"&amp;ROW(A176)-1,IF(ROW(A176)&lt;1001,"0"&amp;ROW(A176)-1,ROW(A176)-1))),"-OLD"),_xlfn.CONCAT(TEXT(B176,"MMM"),"-",IF(ROW(A176)&lt;473,"000"&amp;ROW(A176)-463,IF(ROW(A176)&lt;563,"00"&amp;ROW(A176)-463,IF(ROW(A176)&lt;1001,"0"&amp;ROW(A176)-463,ROW(A176)-463))))))</f>
        <v>ENE-0175-OLD</v>
      </c>
      <c r="B176" s="1">
        <v>45673</v>
      </c>
      <c r="C176" s="5"/>
      <c r="D176" s="5"/>
      <c r="E176" t="s">
        <v>110</v>
      </c>
      <c r="F176" s="32"/>
      <c r="G176" s="32"/>
      <c r="H176" s="5">
        <v>1525</v>
      </c>
      <c r="I176" t="s">
        <v>197</v>
      </c>
      <c r="J176" t="s">
        <v>198</v>
      </c>
      <c r="K176" s="5"/>
      <c r="L176" s="10" t="s">
        <v>57</v>
      </c>
      <c r="M176" s="49">
        <v>2</v>
      </c>
      <c r="N176" s="34">
        <f>PLANPRODUCCION[[#This Row],[PIEZAS PLANEADAS]]*PLANPRODUCCION[[#This Row],[PRECIO MAQUILAS]]</f>
        <v>0</v>
      </c>
      <c r="O176" s="5">
        <v>2</v>
      </c>
      <c r="P176" s="2">
        <v>0.54166666666666663</v>
      </c>
      <c r="Q176" s="2">
        <v>0.875</v>
      </c>
      <c r="R176" s="24">
        <v>1800</v>
      </c>
      <c r="S176" s="35">
        <f>PLANPRODUCCION[[#This Row],[PRECIO MAQUILAS]]*PLANPRODUCCION[[#This Row],[PIEZAS REAL]]</f>
        <v>3600</v>
      </c>
      <c r="T17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7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7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17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2360</v>
      </c>
      <c r="X176" s="8"/>
      <c r="Y17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7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7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76" s="13" t="e">
        <f>IF(PLANPRODUCCION[[#This Row],[PIEZAS REAL]]&gt;0,PLANPRODUCCION[[#This Row],[PIEZAS REAL]]/PLANPRODUCCION[[#This Row],[PIEZAS ACTUALIZADO]],)</f>
        <v>#DIV/0!</v>
      </c>
      <c r="AC176" s="10" t="b">
        <f>PLANPRODUCCION[[#This Row],[INGRESO PLANEADO]]&lt;PLANPRODUCCION[[#This Row],[COSTO PLANEADO]]</f>
        <v>0</v>
      </c>
      <c r="AD176" s="46" t="s">
        <v>276</v>
      </c>
      <c r="AE176" s="10"/>
      <c r="AF176" s="10" t="b">
        <f>IF(COUNTIF(PLANPRODUCCION[[#This Row],[OBSERVACIONES]],"NO APLICA BONO*")&gt;0,TRUE,FALSE)</f>
        <v>0</v>
      </c>
    </row>
    <row r="177" spans="1:32" x14ac:dyDescent="0.25">
      <c r="A177" s="46" t="str">
        <f>UPPER(IF(PLANPRODUCCION[[#This Row],[FECHA]]&lt;=45701,_xlfn.CONCAT(TEXT(B177,"MMM"),"-",IF(ROW(A177)&lt;11,"000"&amp;ROW(A177)-1,IF(ROW(A177)&lt;101,"00"&amp;ROW(A177)-1,IF(ROW(A177)&lt;1001,"0"&amp;ROW(A177)-1,ROW(A177)-1))),"-OLD"),_xlfn.CONCAT(TEXT(B177,"MMM"),"-",IF(ROW(A177)&lt;473,"000"&amp;ROW(A177)-463,IF(ROW(A177)&lt;563,"00"&amp;ROW(A177)-463,IF(ROW(A177)&lt;1001,"0"&amp;ROW(A177)-463,ROW(A177)-463))))))</f>
        <v>ENE-0176-OLD</v>
      </c>
      <c r="B177" s="1">
        <v>45674</v>
      </c>
      <c r="C177" s="5"/>
      <c r="D177" s="5"/>
      <c r="E177" t="s">
        <v>54</v>
      </c>
      <c r="F177" s="32"/>
      <c r="G177" s="32"/>
      <c r="H177" s="5">
        <v>1525</v>
      </c>
      <c r="I177" t="s">
        <v>197</v>
      </c>
      <c r="J177" t="s">
        <v>198</v>
      </c>
      <c r="K177" s="5"/>
      <c r="L177" s="10" t="s">
        <v>57</v>
      </c>
      <c r="M177" s="49">
        <v>2</v>
      </c>
      <c r="N177" s="34">
        <f>PLANPRODUCCION[[#This Row],[PIEZAS PLANEADAS]]*PLANPRODUCCION[[#This Row],[PRECIO MAQUILAS]]</f>
        <v>0</v>
      </c>
      <c r="O177" s="5">
        <v>4</v>
      </c>
      <c r="P177" s="2">
        <v>0.25</v>
      </c>
      <c r="Q177" s="2">
        <v>0.625</v>
      </c>
      <c r="R177" s="24">
        <v>3500</v>
      </c>
      <c r="S177" s="35">
        <f>PLANPRODUCCION[[#This Row],[PRECIO MAQUILAS]]*PLANPRODUCCION[[#This Row],[PIEZAS REAL]]</f>
        <v>7000</v>
      </c>
      <c r="T17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7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7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2232</v>
      </c>
      <c r="W17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4768</v>
      </c>
      <c r="X177" s="8"/>
      <c r="Y17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7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7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77" s="13" t="e">
        <f>IF(PLANPRODUCCION[[#This Row],[PIEZAS REAL]]&gt;0,PLANPRODUCCION[[#This Row],[PIEZAS REAL]]/PLANPRODUCCION[[#This Row],[PIEZAS ACTUALIZADO]],)</f>
        <v>#DIV/0!</v>
      </c>
      <c r="AC177" s="10" t="b">
        <f>PLANPRODUCCION[[#This Row],[INGRESO PLANEADO]]&lt;PLANPRODUCCION[[#This Row],[COSTO PLANEADO]]</f>
        <v>0</v>
      </c>
      <c r="AD177" s="46" t="s">
        <v>277</v>
      </c>
      <c r="AE177" s="10"/>
      <c r="AF177" s="10" t="b">
        <f>IF(COUNTIF(PLANPRODUCCION[[#This Row],[OBSERVACIONES]],"NO APLICA BONO*")&gt;0,TRUE,FALSE)</f>
        <v>0</v>
      </c>
    </row>
    <row r="178" spans="1:32" x14ac:dyDescent="0.25">
      <c r="A178" s="46" t="str">
        <f>UPPER(IF(PLANPRODUCCION[[#This Row],[FECHA]]&lt;=45701,_xlfn.CONCAT(TEXT(B178,"MMM"),"-",IF(ROW(A178)&lt;11,"000"&amp;ROW(A178)-1,IF(ROW(A178)&lt;101,"00"&amp;ROW(A178)-1,IF(ROW(A178)&lt;1001,"0"&amp;ROW(A178)-1,ROW(A178)-1))),"-OLD"),_xlfn.CONCAT(TEXT(B178,"MMM"),"-",IF(ROW(A178)&lt;473,"000"&amp;ROW(A178)-463,IF(ROW(A178)&lt;563,"00"&amp;ROW(A178)-463,IF(ROW(A178)&lt;1001,"0"&amp;ROW(A178)-463,ROW(A178)-463))))))</f>
        <v>ENE-0177-OLD</v>
      </c>
      <c r="B178" s="1">
        <v>45674</v>
      </c>
      <c r="C178" s="5"/>
      <c r="D178" s="5"/>
      <c r="E178" t="s">
        <v>54</v>
      </c>
      <c r="F178" s="32"/>
      <c r="G178" s="32"/>
      <c r="H178" s="5">
        <v>1525</v>
      </c>
      <c r="I178" t="s">
        <v>197</v>
      </c>
      <c r="J178" t="s">
        <v>278</v>
      </c>
      <c r="K178" s="5"/>
      <c r="L178" s="10" t="s">
        <v>57</v>
      </c>
      <c r="M178" s="49">
        <v>0.21</v>
      </c>
      <c r="N178" s="34">
        <f>PLANPRODUCCION[[#This Row],[PIEZAS PLANEADAS]]*PLANPRODUCCION[[#This Row],[PRECIO MAQUILAS]]</f>
        <v>0</v>
      </c>
      <c r="O178" s="5">
        <v>2</v>
      </c>
      <c r="P178" s="2">
        <v>0.25</v>
      </c>
      <c r="Q178" s="2">
        <v>0.66666666666666663</v>
      </c>
      <c r="R178" s="24">
        <v>12</v>
      </c>
      <c r="S178" s="35">
        <f>PLANPRODUCCION[[#This Row],[PRECIO MAQUILAS]]*PLANPRODUCCION[[#This Row],[PIEZAS REAL]]</f>
        <v>2.52</v>
      </c>
      <c r="T17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7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7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17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-1237.48</v>
      </c>
      <c r="X178" s="8"/>
      <c r="Y17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7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7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78" s="13" t="e">
        <f>IF(PLANPRODUCCION[[#This Row],[PIEZAS REAL]]&gt;0,PLANPRODUCCION[[#This Row],[PIEZAS REAL]]/PLANPRODUCCION[[#This Row],[PIEZAS ACTUALIZADO]],)</f>
        <v>#DIV/0!</v>
      </c>
      <c r="AC178" s="10" t="b">
        <f>PLANPRODUCCION[[#This Row],[INGRESO PLANEADO]]&lt;PLANPRODUCCION[[#This Row],[COSTO PLANEADO]]</f>
        <v>0</v>
      </c>
      <c r="AD178" s="46" t="s">
        <v>279</v>
      </c>
      <c r="AE178" s="10"/>
      <c r="AF178" s="10" t="b">
        <f>IF(COUNTIF(PLANPRODUCCION[[#This Row],[OBSERVACIONES]],"NO APLICA BONO*")&gt;0,TRUE,FALSE)</f>
        <v>0</v>
      </c>
    </row>
    <row r="179" spans="1:32" x14ac:dyDescent="0.25">
      <c r="A179" s="46" t="str">
        <f>UPPER(IF(PLANPRODUCCION[[#This Row],[FECHA]]&lt;=45701,_xlfn.CONCAT(TEXT(B179,"MMM"),"-",IF(ROW(A179)&lt;11,"000"&amp;ROW(A179)-1,IF(ROW(A179)&lt;101,"00"&amp;ROW(A179)-1,IF(ROW(A179)&lt;1001,"0"&amp;ROW(A179)-1,ROW(A179)-1))),"-OLD"),_xlfn.CONCAT(TEXT(B179,"MMM"),"-",IF(ROW(A179)&lt;473,"000"&amp;ROW(A179)-463,IF(ROW(A179)&lt;563,"00"&amp;ROW(A179)-463,IF(ROW(A179)&lt;1001,"0"&amp;ROW(A179)-463,ROW(A179)-463))))))</f>
        <v>ENE-0178-OLD</v>
      </c>
      <c r="B179" s="1">
        <v>45674</v>
      </c>
      <c r="C179" s="5"/>
      <c r="D179" s="5"/>
      <c r="E179" t="s">
        <v>54</v>
      </c>
      <c r="F179" s="32"/>
      <c r="G179" s="32"/>
      <c r="H179" s="5">
        <v>1525</v>
      </c>
      <c r="I179" t="s">
        <v>197</v>
      </c>
      <c r="J179" t="s">
        <v>278</v>
      </c>
      <c r="K179" s="5"/>
      <c r="L179" s="10" t="s">
        <v>57</v>
      </c>
      <c r="M179" s="49">
        <v>0.21</v>
      </c>
      <c r="N179" s="34">
        <f>PLANPRODUCCION[[#This Row],[PIEZAS PLANEADAS]]*PLANPRODUCCION[[#This Row],[PRECIO MAQUILAS]]</f>
        <v>0</v>
      </c>
      <c r="O179" s="5">
        <v>4</v>
      </c>
      <c r="P179" s="2">
        <v>0.25</v>
      </c>
      <c r="Q179" s="2">
        <v>0.5</v>
      </c>
      <c r="R179" s="24">
        <v>12</v>
      </c>
      <c r="S179" s="35">
        <f>PLANPRODUCCION[[#This Row],[PRECIO MAQUILAS]]*PLANPRODUCCION[[#This Row],[PIEZAS REAL]]</f>
        <v>2.52</v>
      </c>
      <c r="T17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7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7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17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-1485.48</v>
      </c>
      <c r="X179" s="8"/>
      <c r="Y17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7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7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79" s="13" t="e">
        <f>IF(PLANPRODUCCION[[#This Row],[PIEZAS REAL]]&gt;0,PLANPRODUCCION[[#This Row],[PIEZAS REAL]]/PLANPRODUCCION[[#This Row],[PIEZAS ACTUALIZADO]],)</f>
        <v>#DIV/0!</v>
      </c>
      <c r="AC179" s="10" t="b">
        <f>PLANPRODUCCION[[#This Row],[INGRESO PLANEADO]]&lt;PLANPRODUCCION[[#This Row],[COSTO PLANEADO]]</f>
        <v>0</v>
      </c>
      <c r="AD179" s="46" t="s">
        <v>280</v>
      </c>
      <c r="AE179" s="10"/>
      <c r="AF179" s="10" t="b">
        <f>IF(COUNTIF(PLANPRODUCCION[[#This Row],[OBSERVACIONES]],"NO APLICA BONO*")&gt;0,TRUE,FALSE)</f>
        <v>0</v>
      </c>
    </row>
    <row r="180" spans="1:32" x14ac:dyDescent="0.25">
      <c r="A180" s="46" t="str">
        <f>UPPER(IF(PLANPRODUCCION[[#This Row],[FECHA]]&lt;=45701,_xlfn.CONCAT(TEXT(B180,"MMM"),"-",IF(ROW(A180)&lt;11,"000"&amp;ROW(A180)-1,IF(ROW(A180)&lt;101,"00"&amp;ROW(A180)-1,IF(ROW(A180)&lt;1001,"0"&amp;ROW(A180)-1,ROW(A180)-1))),"-OLD"),_xlfn.CONCAT(TEXT(B180,"MMM"),"-",IF(ROW(A180)&lt;473,"000"&amp;ROW(A180)-463,IF(ROW(A180)&lt;563,"00"&amp;ROW(A180)-463,IF(ROW(A180)&lt;1001,"0"&amp;ROW(A180)-463,ROW(A180)-463))))))</f>
        <v>ENE-0179-OLD</v>
      </c>
      <c r="B180" s="1">
        <v>45674</v>
      </c>
      <c r="C180" s="5"/>
      <c r="D180" s="5"/>
      <c r="E180" t="s">
        <v>54</v>
      </c>
      <c r="F180" s="32"/>
      <c r="G180" s="32"/>
      <c r="H180" s="5">
        <v>1538</v>
      </c>
      <c r="I180" t="s">
        <v>281</v>
      </c>
      <c r="J180" t="s">
        <v>282</v>
      </c>
      <c r="K180" s="5"/>
      <c r="L180" s="10" t="s">
        <v>283</v>
      </c>
      <c r="M180" s="49">
        <v>12</v>
      </c>
      <c r="N180" s="34">
        <f>PLANPRODUCCION[[#This Row],[PIEZAS PLANEADAS]]*PLANPRODUCCION[[#This Row],[PRECIO MAQUILAS]]</f>
        <v>0</v>
      </c>
      <c r="O180" s="5">
        <v>6</v>
      </c>
      <c r="P180" s="2">
        <v>0.50069444444444444</v>
      </c>
      <c r="Q180" s="2">
        <v>0.66666666666666663</v>
      </c>
      <c r="R180" s="24">
        <v>20</v>
      </c>
      <c r="S180" s="35">
        <f>PLANPRODUCCION[[#This Row],[PRECIO MAQUILAS]]*PLANPRODUCCION[[#This Row],[PIEZAS REAL]]</f>
        <v>240</v>
      </c>
      <c r="T18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8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8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1481.8</v>
      </c>
      <c r="W18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-1241.8</v>
      </c>
      <c r="X180" s="8"/>
      <c r="Y18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8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8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80" s="13" t="e">
        <f>IF(PLANPRODUCCION[[#This Row],[PIEZAS REAL]]&gt;0,PLANPRODUCCION[[#This Row],[PIEZAS REAL]]/PLANPRODUCCION[[#This Row],[PIEZAS ACTUALIZADO]],)</f>
        <v>#DIV/0!</v>
      </c>
      <c r="AC180" s="10" t="b">
        <f>PLANPRODUCCION[[#This Row],[INGRESO PLANEADO]]&lt;PLANPRODUCCION[[#This Row],[COSTO PLANEADO]]</f>
        <v>0</v>
      </c>
      <c r="AD180" s="46" t="s">
        <v>284</v>
      </c>
      <c r="AE180" s="10"/>
      <c r="AF180" s="10" t="b">
        <f>IF(COUNTIF(PLANPRODUCCION[[#This Row],[OBSERVACIONES]],"NO APLICA BONO*")&gt;0,TRUE,FALSE)</f>
        <v>0</v>
      </c>
    </row>
    <row r="181" spans="1:32" x14ac:dyDescent="0.25">
      <c r="A181" s="46" t="str">
        <f>UPPER(IF(PLANPRODUCCION[[#This Row],[FECHA]]&lt;=45701,_xlfn.CONCAT(TEXT(B181,"MMM"),"-",IF(ROW(A181)&lt;11,"000"&amp;ROW(A181)-1,IF(ROW(A181)&lt;101,"00"&amp;ROW(A181)-1,IF(ROW(A181)&lt;1001,"0"&amp;ROW(A181)-1,ROW(A181)-1))),"-OLD"),_xlfn.CONCAT(TEXT(B181,"MMM"),"-",IF(ROW(A181)&lt;473,"000"&amp;ROW(A181)-463,IF(ROW(A181)&lt;563,"00"&amp;ROW(A181)-463,IF(ROW(A181)&lt;1001,"0"&amp;ROW(A181)-463,ROW(A181)-463))))))</f>
        <v>ENE-0180-OLD</v>
      </c>
      <c r="B181" s="1">
        <v>45674</v>
      </c>
      <c r="C181" s="5"/>
      <c r="D181" s="5"/>
      <c r="E181" t="s">
        <v>54</v>
      </c>
      <c r="F181" s="32"/>
      <c r="G181" s="32"/>
      <c r="H181" s="5">
        <v>1541</v>
      </c>
      <c r="I181" t="s">
        <v>285</v>
      </c>
      <c r="J181" t="s">
        <v>286</v>
      </c>
      <c r="K181" s="5"/>
      <c r="L181" s="10" t="s">
        <v>83</v>
      </c>
      <c r="M181" s="49">
        <v>17.8</v>
      </c>
      <c r="N181" s="34">
        <f>PLANPRODUCCION[[#This Row],[PIEZAS PLANEADAS]]*PLANPRODUCCION[[#This Row],[PRECIO MAQUILAS]]</f>
        <v>0</v>
      </c>
      <c r="O181" s="5">
        <v>4</v>
      </c>
      <c r="P181" s="2">
        <v>0.625</v>
      </c>
      <c r="Q181" s="2">
        <v>0.66666666666666663</v>
      </c>
      <c r="R181" s="24">
        <v>15</v>
      </c>
      <c r="S181" s="35">
        <f>PLANPRODUCCION[[#This Row],[PRECIO MAQUILAS]]*PLANPRODUCCION[[#This Row],[PIEZAS REAL]]</f>
        <v>267</v>
      </c>
      <c r="T18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8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8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18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19</v>
      </c>
      <c r="X181" s="8"/>
      <c r="Y18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8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8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81" s="13" t="e">
        <f>IF(PLANPRODUCCION[[#This Row],[PIEZAS REAL]]&gt;0,PLANPRODUCCION[[#This Row],[PIEZAS REAL]]/PLANPRODUCCION[[#This Row],[PIEZAS ACTUALIZADO]],)</f>
        <v>#DIV/0!</v>
      </c>
      <c r="AC181" s="10" t="b">
        <f>PLANPRODUCCION[[#This Row],[INGRESO PLANEADO]]&lt;PLANPRODUCCION[[#This Row],[COSTO PLANEADO]]</f>
        <v>0</v>
      </c>
      <c r="AD181" s="46" t="s">
        <v>287</v>
      </c>
      <c r="AE181" s="10"/>
      <c r="AF181" s="10" t="b">
        <f>IF(COUNTIF(PLANPRODUCCION[[#This Row],[OBSERVACIONES]],"NO APLICA BONO*")&gt;0,TRUE,FALSE)</f>
        <v>0</v>
      </c>
    </row>
    <row r="182" spans="1:32" x14ac:dyDescent="0.25">
      <c r="A182" s="46" t="str">
        <f>UPPER(IF(PLANPRODUCCION[[#This Row],[FECHA]]&lt;=45701,_xlfn.CONCAT(TEXT(B182,"MMM"),"-",IF(ROW(A182)&lt;11,"000"&amp;ROW(A182)-1,IF(ROW(A182)&lt;101,"00"&amp;ROW(A182)-1,IF(ROW(A182)&lt;1001,"0"&amp;ROW(A182)-1,ROW(A182)-1))),"-OLD"),_xlfn.CONCAT(TEXT(B182,"MMM"),"-",IF(ROW(A182)&lt;473,"000"&amp;ROW(A182)-463,IF(ROW(A182)&lt;563,"00"&amp;ROW(A182)-463,IF(ROW(A182)&lt;1001,"0"&amp;ROW(A182)-463,ROW(A182)-463))))))</f>
        <v>ENE-0181-OLD</v>
      </c>
      <c r="B182" s="1">
        <v>45674</v>
      </c>
      <c r="C182" s="5"/>
      <c r="D182" s="5"/>
      <c r="E182" t="s">
        <v>54</v>
      </c>
      <c r="F182" s="32"/>
      <c r="G182" s="32"/>
      <c r="H182" s="5">
        <v>1525</v>
      </c>
      <c r="I182" t="s">
        <v>197</v>
      </c>
      <c r="J182" t="s">
        <v>278</v>
      </c>
      <c r="K182" s="5"/>
      <c r="L182" s="10" t="s">
        <v>57</v>
      </c>
      <c r="M182" s="49">
        <v>0.21</v>
      </c>
      <c r="N182" s="34">
        <f>PLANPRODUCCION[[#This Row],[PIEZAS PLANEADAS]]*PLANPRODUCCION[[#This Row],[PRECIO MAQUILAS]]</f>
        <v>0</v>
      </c>
      <c r="O182" s="5">
        <v>1</v>
      </c>
      <c r="P182" s="2">
        <v>0.62916666666666665</v>
      </c>
      <c r="Q182" s="2">
        <v>0.66666666666666663</v>
      </c>
      <c r="R182" s="24">
        <v>2</v>
      </c>
      <c r="S182" s="35">
        <f>PLANPRODUCCION[[#This Row],[PRECIO MAQUILAS]]*PLANPRODUCCION[[#This Row],[PIEZAS REAL]]</f>
        <v>0.42</v>
      </c>
      <c r="T18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8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8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55.8</v>
      </c>
      <c r="W18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-55.379999999999995</v>
      </c>
      <c r="X182" s="8"/>
      <c r="Y18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8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8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82" s="13" t="e">
        <f>IF(PLANPRODUCCION[[#This Row],[PIEZAS REAL]]&gt;0,PLANPRODUCCION[[#This Row],[PIEZAS REAL]]/PLANPRODUCCION[[#This Row],[PIEZAS ACTUALIZADO]],)</f>
        <v>#DIV/0!</v>
      </c>
      <c r="AC182" s="10" t="b">
        <f>PLANPRODUCCION[[#This Row],[INGRESO PLANEADO]]&lt;PLANPRODUCCION[[#This Row],[COSTO PLANEADO]]</f>
        <v>0</v>
      </c>
      <c r="AD182" s="46" t="s">
        <v>288</v>
      </c>
      <c r="AE182" s="10"/>
      <c r="AF182" s="10" t="b">
        <f>IF(COUNTIF(PLANPRODUCCION[[#This Row],[OBSERVACIONES]],"NO APLICA BONO*")&gt;0,TRUE,FALSE)</f>
        <v>0</v>
      </c>
    </row>
    <row r="183" spans="1:32" x14ac:dyDescent="0.25">
      <c r="A183" s="46" t="str">
        <f>UPPER(IF(PLANPRODUCCION[[#This Row],[FECHA]]&lt;=45701,_xlfn.CONCAT(TEXT(B183,"MMM"),"-",IF(ROW(A183)&lt;11,"000"&amp;ROW(A183)-1,IF(ROW(A183)&lt;101,"00"&amp;ROW(A183)-1,IF(ROW(A183)&lt;1001,"0"&amp;ROW(A183)-1,ROW(A183)-1))),"-OLD"),_xlfn.CONCAT(TEXT(B183,"MMM"),"-",IF(ROW(A183)&lt;473,"000"&amp;ROW(A183)-463,IF(ROW(A183)&lt;563,"00"&amp;ROW(A183)-463,IF(ROW(A183)&lt;1001,"0"&amp;ROW(A183)-463,ROW(A183)-463))))))</f>
        <v>ENE-0182-OLD</v>
      </c>
      <c r="B183" s="1">
        <v>45674</v>
      </c>
      <c r="C183" s="5"/>
      <c r="D183" s="5"/>
      <c r="E183" t="s">
        <v>54</v>
      </c>
      <c r="F183" s="32"/>
      <c r="G183" s="32"/>
      <c r="H183" s="5">
        <v>1538</v>
      </c>
      <c r="I183" t="s">
        <v>281</v>
      </c>
      <c r="J183" t="s">
        <v>282</v>
      </c>
      <c r="K183" s="5"/>
      <c r="L183" s="10" t="s">
        <v>283</v>
      </c>
      <c r="M183" s="49">
        <v>12</v>
      </c>
      <c r="N183" s="34">
        <f>PLANPRODUCCION[[#This Row],[PIEZAS PLANEADAS]]*PLANPRODUCCION[[#This Row],[PRECIO MAQUILAS]]</f>
        <v>0</v>
      </c>
      <c r="O183" s="5">
        <v>4</v>
      </c>
      <c r="P183" s="2">
        <v>0.62916666666666665</v>
      </c>
      <c r="Q183" s="2">
        <v>0.66666666666666663</v>
      </c>
      <c r="R183" s="24">
        <v>16</v>
      </c>
      <c r="S183" s="35">
        <f>PLANPRODUCCION[[#This Row],[PRECIO MAQUILAS]]*PLANPRODUCCION[[#This Row],[PIEZAS REAL]]</f>
        <v>192</v>
      </c>
      <c r="T18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8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8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223.2</v>
      </c>
      <c r="W18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-31.199999999999989</v>
      </c>
      <c r="X183" s="8"/>
      <c r="Y18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8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8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83" s="13" t="e">
        <f>IF(PLANPRODUCCION[[#This Row],[PIEZAS REAL]]&gt;0,PLANPRODUCCION[[#This Row],[PIEZAS REAL]]/PLANPRODUCCION[[#This Row],[PIEZAS ACTUALIZADO]],)</f>
        <v>#DIV/0!</v>
      </c>
      <c r="AC183" s="10" t="b">
        <f>PLANPRODUCCION[[#This Row],[INGRESO PLANEADO]]&lt;PLANPRODUCCION[[#This Row],[COSTO PLANEADO]]</f>
        <v>0</v>
      </c>
      <c r="AD183" s="46" t="s">
        <v>289</v>
      </c>
      <c r="AE183" s="10"/>
      <c r="AF183" s="10" t="b">
        <f>IF(COUNTIF(PLANPRODUCCION[[#This Row],[OBSERVACIONES]],"NO APLICA BONO*")&gt;0,TRUE,FALSE)</f>
        <v>0</v>
      </c>
    </row>
    <row r="184" spans="1:32" x14ac:dyDescent="0.25">
      <c r="A184" s="46" t="str">
        <f>UPPER(IF(PLANPRODUCCION[[#This Row],[FECHA]]&lt;=45701,_xlfn.CONCAT(TEXT(B184,"MMM"),"-",IF(ROW(A184)&lt;11,"000"&amp;ROW(A184)-1,IF(ROW(A184)&lt;101,"00"&amp;ROW(A184)-1,IF(ROW(A184)&lt;1001,"0"&amp;ROW(A184)-1,ROW(A184)-1))),"-OLD"),_xlfn.CONCAT(TEXT(B184,"MMM"),"-",IF(ROW(A184)&lt;473,"000"&amp;ROW(A184)-463,IF(ROW(A184)&lt;563,"00"&amp;ROW(A184)-463,IF(ROW(A184)&lt;1001,"0"&amp;ROW(A184)-463,ROW(A184)-463))))))</f>
        <v>ENE-0183-OLD</v>
      </c>
      <c r="B184" s="1">
        <v>45674</v>
      </c>
      <c r="C184" s="5"/>
      <c r="D184" s="5"/>
      <c r="E184" t="s">
        <v>67</v>
      </c>
      <c r="F184" s="32"/>
      <c r="G184" s="32"/>
      <c r="H184" s="5">
        <v>1525</v>
      </c>
      <c r="I184" t="s">
        <v>197</v>
      </c>
      <c r="J184" t="s">
        <v>278</v>
      </c>
      <c r="K184" s="5"/>
      <c r="L184" s="10" t="s">
        <v>57</v>
      </c>
      <c r="M184" s="49">
        <v>0.21</v>
      </c>
      <c r="N184" s="34">
        <f>PLANPRODUCCION[[#This Row],[PIEZAS PLANEADAS]]*PLANPRODUCCION[[#This Row],[PRECIO MAQUILAS]]</f>
        <v>0</v>
      </c>
      <c r="O184" s="5">
        <v>3</v>
      </c>
      <c r="P184" s="2">
        <v>0.33333333333333331</v>
      </c>
      <c r="Q184" s="2">
        <v>0.5625</v>
      </c>
      <c r="R184" s="24">
        <v>0</v>
      </c>
      <c r="S184" s="35">
        <f>PLANPRODUCCION[[#This Row],[PRECIO MAQUILAS]]*PLANPRODUCCION[[#This Row],[PIEZAS REAL]]</f>
        <v>0</v>
      </c>
      <c r="T18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8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8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1023</v>
      </c>
      <c r="W18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-1023</v>
      </c>
      <c r="X184" s="8"/>
      <c r="Y18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8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84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184" s="13">
        <f>IF(PLANPRODUCCION[[#This Row],[PIEZAS REAL]]&gt;0,PLANPRODUCCION[[#This Row],[PIEZAS REAL]]/PLANPRODUCCION[[#This Row],[PIEZAS ACTUALIZADO]],)</f>
        <v>0</v>
      </c>
      <c r="AC184" s="10" t="b">
        <f>PLANPRODUCCION[[#This Row],[INGRESO PLANEADO]]&lt;PLANPRODUCCION[[#This Row],[COSTO PLANEADO]]</f>
        <v>0</v>
      </c>
      <c r="AD184" s="46" t="s">
        <v>290</v>
      </c>
      <c r="AE184" s="10"/>
      <c r="AF184" s="10" t="b">
        <f>IF(COUNTIF(PLANPRODUCCION[[#This Row],[OBSERVACIONES]],"NO APLICA BONO*")&gt;0,TRUE,FALSE)</f>
        <v>0</v>
      </c>
    </row>
    <row r="185" spans="1:32" x14ac:dyDescent="0.25">
      <c r="A185" s="46" t="str">
        <f>UPPER(IF(PLANPRODUCCION[[#This Row],[FECHA]]&lt;=45701,_xlfn.CONCAT(TEXT(B185,"MMM"),"-",IF(ROW(A185)&lt;11,"000"&amp;ROW(A185)-1,IF(ROW(A185)&lt;101,"00"&amp;ROW(A185)-1,IF(ROW(A185)&lt;1001,"0"&amp;ROW(A185)-1,ROW(A185)-1))),"-OLD"),_xlfn.CONCAT(TEXT(B185,"MMM"),"-",IF(ROW(A185)&lt;473,"000"&amp;ROW(A185)-463,IF(ROW(A185)&lt;563,"00"&amp;ROW(A185)-463,IF(ROW(A185)&lt;1001,"0"&amp;ROW(A185)-463,ROW(A185)-463))))))</f>
        <v>ENE-0184-OLD</v>
      </c>
      <c r="B185" s="1">
        <v>45674</v>
      </c>
      <c r="C185" s="5"/>
      <c r="D185" s="5"/>
      <c r="E185" t="s">
        <v>67</v>
      </c>
      <c r="F185" s="32"/>
      <c r="G185" s="32"/>
      <c r="H185" s="5">
        <v>1525</v>
      </c>
      <c r="I185" t="s">
        <v>197</v>
      </c>
      <c r="J185" t="s">
        <v>198</v>
      </c>
      <c r="K185" s="5"/>
      <c r="L185" s="10" t="s">
        <v>57</v>
      </c>
      <c r="M185" s="49">
        <v>2</v>
      </c>
      <c r="N185" s="34">
        <f>PLANPRODUCCION[[#This Row],[PIEZAS PLANEADAS]]*PLANPRODUCCION[[#This Row],[PRECIO MAQUILAS]]</f>
        <v>0</v>
      </c>
      <c r="O185" s="5">
        <v>1</v>
      </c>
      <c r="P185" s="2">
        <v>0.33333333333333331</v>
      </c>
      <c r="Q185" s="2">
        <v>0.5625</v>
      </c>
      <c r="R185" s="24">
        <v>400</v>
      </c>
      <c r="S185" s="35">
        <f>PLANPRODUCCION[[#This Row],[PRECIO MAQUILAS]]*PLANPRODUCCION[[#This Row],[PIEZAS REAL]]</f>
        <v>800</v>
      </c>
      <c r="T18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8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8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341</v>
      </c>
      <c r="W18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459</v>
      </c>
      <c r="X185" s="8"/>
      <c r="Y18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8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8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85" s="13" t="e">
        <f>IF(PLANPRODUCCION[[#This Row],[PIEZAS REAL]]&gt;0,PLANPRODUCCION[[#This Row],[PIEZAS REAL]]/PLANPRODUCCION[[#This Row],[PIEZAS ACTUALIZADO]],)</f>
        <v>#DIV/0!</v>
      </c>
      <c r="AC185" s="10" t="b">
        <f>PLANPRODUCCION[[#This Row],[INGRESO PLANEADO]]&lt;PLANPRODUCCION[[#This Row],[COSTO PLANEADO]]</f>
        <v>0</v>
      </c>
      <c r="AD185" s="46" t="s">
        <v>291</v>
      </c>
      <c r="AE185" s="10"/>
      <c r="AF185" s="10" t="b">
        <f>IF(COUNTIF(PLANPRODUCCION[[#This Row],[OBSERVACIONES]],"NO APLICA BONO*")&gt;0,TRUE,FALSE)</f>
        <v>0</v>
      </c>
    </row>
    <row r="186" spans="1:32" x14ac:dyDescent="0.25">
      <c r="A186" s="46" t="str">
        <f>UPPER(IF(PLANPRODUCCION[[#This Row],[FECHA]]&lt;=45701,_xlfn.CONCAT(TEXT(B186,"MMM"),"-",IF(ROW(A186)&lt;11,"000"&amp;ROW(A186)-1,IF(ROW(A186)&lt;101,"00"&amp;ROW(A186)-1,IF(ROW(A186)&lt;1001,"0"&amp;ROW(A186)-1,ROW(A186)-1))),"-OLD"),_xlfn.CONCAT(TEXT(B186,"MMM"),"-",IF(ROW(A186)&lt;473,"000"&amp;ROW(A186)-463,IF(ROW(A186)&lt;563,"00"&amp;ROW(A186)-463,IF(ROW(A186)&lt;1001,"0"&amp;ROW(A186)-463,ROW(A186)-463))))))</f>
        <v>ENE-0185-OLD</v>
      </c>
      <c r="B186" s="1">
        <v>45674</v>
      </c>
      <c r="C186" s="5"/>
      <c r="D186" s="5"/>
      <c r="E186" t="s">
        <v>67</v>
      </c>
      <c r="F186" s="32"/>
      <c r="G186" s="32"/>
      <c r="H186" s="5">
        <v>1525</v>
      </c>
      <c r="I186" t="s">
        <v>197</v>
      </c>
      <c r="J186" t="s">
        <v>198</v>
      </c>
      <c r="K186" s="5"/>
      <c r="L186" s="10" t="s">
        <v>57</v>
      </c>
      <c r="M186" s="49">
        <v>2</v>
      </c>
      <c r="N186" s="34">
        <f>PLANPRODUCCION[[#This Row],[PIEZAS PLANEADAS]]*PLANPRODUCCION[[#This Row],[PRECIO MAQUILAS]]</f>
        <v>0</v>
      </c>
      <c r="O186" s="5">
        <v>4</v>
      </c>
      <c r="P186" s="2">
        <v>0.375</v>
      </c>
      <c r="Q186" s="2">
        <v>0.75</v>
      </c>
      <c r="R186" s="24">
        <v>3950</v>
      </c>
      <c r="S186" s="35">
        <f>PLANPRODUCCION[[#This Row],[PRECIO MAQUILAS]]*PLANPRODUCCION[[#This Row],[PIEZAS REAL]]</f>
        <v>7900</v>
      </c>
      <c r="T18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8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8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2232</v>
      </c>
      <c r="W18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5668</v>
      </c>
      <c r="X186" s="8"/>
      <c r="Y18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8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8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86" s="13" t="e">
        <f>IF(PLANPRODUCCION[[#This Row],[PIEZAS REAL]]&gt;0,PLANPRODUCCION[[#This Row],[PIEZAS REAL]]/PLANPRODUCCION[[#This Row],[PIEZAS ACTUALIZADO]],)</f>
        <v>#DIV/0!</v>
      </c>
      <c r="AC186" s="10" t="b">
        <f>PLANPRODUCCION[[#This Row],[INGRESO PLANEADO]]&lt;PLANPRODUCCION[[#This Row],[COSTO PLANEADO]]</f>
        <v>0</v>
      </c>
      <c r="AD186" s="46" t="s">
        <v>292</v>
      </c>
      <c r="AE186" s="10"/>
      <c r="AF186" s="10" t="b">
        <f>IF(COUNTIF(PLANPRODUCCION[[#This Row],[OBSERVACIONES]],"NO APLICA BONO*")&gt;0,TRUE,FALSE)</f>
        <v>0</v>
      </c>
    </row>
    <row r="187" spans="1:32" x14ac:dyDescent="0.25">
      <c r="A187" s="46" t="str">
        <f>UPPER(IF(PLANPRODUCCION[[#This Row],[FECHA]]&lt;=45701,_xlfn.CONCAT(TEXT(B187,"MMM"),"-",IF(ROW(A187)&lt;11,"000"&amp;ROW(A187)-1,IF(ROW(A187)&lt;101,"00"&amp;ROW(A187)-1,IF(ROW(A187)&lt;1001,"0"&amp;ROW(A187)-1,ROW(A187)-1))),"-OLD"),_xlfn.CONCAT(TEXT(B187,"MMM"),"-",IF(ROW(A187)&lt;473,"000"&amp;ROW(A187)-463,IF(ROW(A187)&lt;563,"00"&amp;ROW(A187)-463,IF(ROW(A187)&lt;1001,"0"&amp;ROW(A187)-463,ROW(A187)-463))))))</f>
        <v>ENE-0186-OLD</v>
      </c>
      <c r="B187" s="1">
        <v>45674</v>
      </c>
      <c r="C187" s="5"/>
      <c r="D187" s="5"/>
      <c r="E187" t="s">
        <v>67</v>
      </c>
      <c r="F187" s="32"/>
      <c r="G187" s="32"/>
      <c r="H187" s="5">
        <v>1538</v>
      </c>
      <c r="I187" t="s">
        <v>281</v>
      </c>
      <c r="J187" t="s">
        <v>282</v>
      </c>
      <c r="K187" s="5"/>
      <c r="L187" s="10" t="s">
        <v>283</v>
      </c>
      <c r="M187" s="49">
        <v>12</v>
      </c>
      <c r="N187" s="34">
        <f>PLANPRODUCCION[[#This Row],[PIEZAS PLANEADAS]]*PLANPRODUCCION[[#This Row],[PRECIO MAQUILAS]]</f>
        <v>0</v>
      </c>
      <c r="O187" s="5">
        <v>5</v>
      </c>
      <c r="P187" s="2">
        <v>0.375</v>
      </c>
      <c r="Q187" s="2">
        <v>0.75</v>
      </c>
      <c r="R187" s="24">
        <v>84</v>
      </c>
      <c r="S187" s="35">
        <f>PLANPRODUCCION[[#This Row],[PRECIO MAQUILAS]]*PLANPRODUCCION[[#This Row],[PIEZAS REAL]]</f>
        <v>1008</v>
      </c>
      <c r="T18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8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8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2790</v>
      </c>
      <c r="W18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-1782</v>
      </c>
      <c r="X187" s="8"/>
      <c r="Y18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8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8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87" s="13" t="e">
        <f>IF(PLANPRODUCCION[[#This Row],[PIEZAS REAL]]&gt;0,PLANPRODUCCION[[#This Row],[PIEZAS REAL]]/PLANPRODUCCION[[#This Row],[PIEZAS ACTUALIZADO]],)</f>
        <v>#DIV/0!</v>
      </c>
      <c r="AC187" s="10" t="b">
        <f>PLANPRODUCCION[[#This Row],[INGRESO PLANEADO]]&lt;PLANPRODUCCION[[#This Row],[COSTO PLANEADO]]</f>
        <v>0</v>
      </c>
      <c r="AD187" s="46" t="s">
        <v>293</v>
      </c>
      <c r="AE187" s="10"/>
      <c r="AF187" s="10" t="b">
        <f>IF(COUNTIF(PLANPRODUCCION[[#This Row],[OBSERVACIONES]],"NO APLICA BONO*")&gt;0,TRUE,FALSE)</f>
        <v>0</v>
      </c>
    </row>
    <row r="188" spans="1:32" x14ac:dyDescent="0.25">
      <c r="A188" s="46" t="str">
        <f>UPPER(IF(PLANPRODUCCION[[#This Row],[FECHA]]&lt;=45701,_xlfn.CONCAT(TEXT(B188,"MMM"),"-",IF(ROW(A188)&lt;11,"000"&amp;ROW(A188)-1,IF(ROW(A188)&lt;101,"00"&amp;ROW(A188)-1,IF(ROW(A188)&lt;1001,"0"&amp;ROW(A188)-1,ROW(A188)-1))),"-OLD"),_xlfn.CONCAT(TEXT(B188,"MMM"),"-",IF(ROW(A188)&lt;473,"000"&amp;ROW(A188)-463,IF(ROW(A188)&lt;563,"00"&amp;ROW(A188)-463,IF(ROW(A188)&lt;1001,"0"&amp;ROW(A188)-463,ROW(A188)-463))))))</f>
        <v>ENE-0187-OLD</v>
      </c>
      <c r="B188" s="1">
        <v>45674</v>
      </c>
      <c r="C188" s="5"/>
      <c r="D188" s="5"/>
      <c r="E188" t="s">
        <v>67</v>
      </c>
      <c r="F188" s="32"/>
      <c r="G188" s="32"/>
      <c r="H188" s="5">
        <v>1541</v>
      </c>
      <c r="I188" t="s">
        <v>285</v>
      </c>
      <c r="J188" t="s">
        <v>286</v>
      </c>
      <c r="K188" s="5"/>
      <c r="L188" s="10" t="s">
        <v>83</v>
      </c>
      <c r="M188" s="49">
        <v>17.8</v>
      </c>
      <c r="N188" s="34">
        <f>PLANPRODUCCION[[#This Row],[PIEZAS PLANEADAS]]*PLANPRODUCCION[[#This Row],[PRECIO MAQUILAS]]</f>
        <v>0</v>
      </c>
      <c r="O188" s="5">
        <v>4</v>
      </c>
      <c r="P188" s="2">
        <v>0.56319444444444444</v>
      </c>
      <c r="Q188" s="2">
        <v>0.75</v>
      </c>
      <c r="R188" s="24">
        <v>82</v>
      </c>
      <c r="S188" s="35">
        <f>PLANPRODUCCION[[#This Row],[PRECIO MAQUILAS]]*PLANPRODUCCION[[#This Row],[PIEZAS REAL]]</f>
        <v>1459.6000000000001</v>
      </c>
      <c r="T18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8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8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1111.8666666666668</v>
      </c>
      <c r="W18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347.73333333333335</v>
      </c>
      <c r="X188" s="8"/>
      <c r="Y18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8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8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88" s="13" t="e">
        <f>IF(PLANPRODUCCION[[#This Row],[PIEZAS REAL]]&gt;0,PLANPRODUCCION[[#This Row],[PIEZAS REAL]]/PLANPRODUCCION[[#This Row],[PIEZAS ACTUALIZADO]],)</f>
        <v>#DIV/0!</v>
      </c>
      <c r="AC188" s="10" t="b">
        <f>PLANPRODUCCION[[#This Row],[INGRESO PLANEADO]]&lt;PLANPRODUCCION[[#This Row],[COSTO PLANEADO]]</f>
        <v>0</v>
      </c>
      <c r="AD188" s="46" t="s">
        <v>294</v>
      </c>
      <c r="AE188" s="10"/>
      <c r="AF188" s="10" t="b">
        <f>IF(COUNTIF(PLANPRODUCCION[[#This Row],[OBSERVACIONES]],"NO APLICA BONO*")&gt;0,TRUE,FALSE)</f>
        <v>0</v>
      </c>
    </row>
    <row r="189" spans="1:32" x14ac:dyDescent="0.25">
      <c r="A189" s="46" t="str">
        <f>UPPER(IF(PLANPRODUCCION[[#This Row],[FECHA]]&lt;=45701,_xlfn.CONCAT(TEXT(B189,"MMM"),"-",IF(ROW(A189)&lt;11,"000"&amp;ROW(A189)-1,IF(ROW(A189)&lt;101,"00"&amp;ROW(A189)-1,IF(ROW(A189)&lt;1001,"0"&amp;ROW(A189)-1,ROW(A189)-1))),"-OLD"),_xlfn.CONCAT(TEXT(B189,"MMM"),"-",IF(ROW(A189)&lt;473,"000"&amp;ROW(A189)-463,IF(ROW(A189)&lt;563,"00"&amp;ROW(A189)-463,IF(ROW(A189)&lt;1001,"0"&amp;ROW(A189)-463,ROW(A189)-463))))))</f>
        <v>ENE-0188-OLD</v>
      </c>
      <c r="B189" s="1">
        <v>45674</v>
      </c>
      <c r="C189" s="5"/>
      <c r="D189" s="5"/>
      <c r="E189" t="s">
        <v>67</v>
      </c>
      <c r="F189" s="32"/>
      <c r="G189" s="32"/>
      <c r="H189" s="5">
        <v>1541</v>
      </c>
      <c r="I189" t="s">
        <v>285</v>
      </c>
      <c r="J189" t="s">
        <v>286</v>
      </c>
      <c r="K189" s="5"/>
      <c r="L189" s="10" t="s">
        <v>83</v>
      </c>
      <c r="M189" s="49">
        <v>17.8</v>
      </c>
      <c r="N189" s="34">
        <f>PLANPRODUCCION[[#This Row],[PIEZAS PLANEADAS]]*PLANPRODUCCION[[#This Row],[PRECIO MAQUILAS]]</f>
        <v>0</v>
      </c>
      <c r="O189" s="5">
        <v>3</v>
      </c>
      <c r="P189" s="2">
        <v>0.56319444444444444</v>
      </c>
      <c r="Q189" s="2">
        <v>0.75</v>
      </c>
      <c r="R189" s="24">
        <v>70</v>
      </c>
      <c r="S189" s="35">
        <f>PLANPRODUCCION[[#This Row],[PRECIO MAQUILAS]]*PLANPRODUCCION[[#This Row],[PIEZAS REAL]]</f>
        <v>1246</v>
      </c>
      <c r="T18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8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8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833.90000000000009</v>
      </c>
      <c r="W18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412.09999999999991</v>
      </c>
      <c r="X189" s="8"/>
      <c r="Y18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8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8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89" s="13" t="e">
        <f>IF(PLANPRODUCCION[[#This Row],[PIEZAS REAL]]&gt;0,PLANPRODUCCION[[#This Row],[PIEZAS REAL]]/PLANPRODUCCION[[#This Row],[PIEZAS ACTUALIZADO]],)</f>
        <v>#DIV/0!</v>
      </c>
      <c r="AC189" s="10" t="b">
        <f>PLANPRODUCCION[[#This Row],[INGRESO PLANEADO]]&lt;PLANPRODUCCION[[#This Row],[COSTO PLANEADO]]</f>
        <v>0</v>
      </c>
      <c r="AD189" s="46" t="s">
        <v>295</v>
      </c>
      <c r="AE189" s="10"/>
      <c r="AF189" s="10" t="b">
        <f>IF(COUNTIF(PLANPRODUCCION[[#This Row],[OBSERVACIONES]],"NO APLICA BONO*")&gt;0,TRUE,FALSE)</f>
        <v>0</v>
      </c>
    </row>
    <row r="190" spans="1:32" x14ac:dyDescent="0.25">
      <c r="A190" s="46" t="str">
        <f>UPPER(IF(PLANPRODUCCION[[#This Row],[FECHA]]&lt;=45701,_xlfn.CONCAT(TEXT(B190,"MMM"),"-",IF(ROW(A190)&lt;11,"000"&amp;ROW(A190)-1,IF(ROW(A190)&lt;101,"00"&amp;ROW(A190)-1,IF(ROW(A190)&lt;1001,"0"&amp;ROW(A190)-1,ROW(A190)-1))),"-OLD"),_xlfn.CONCAT(TEXT(B190,"MMM"),"-",IF(ROW(A190)&lt;473,"000"&amp;ROW(A190)-463,IF(ROW(A190)&lt;563,"00"&amp;ROW(A190)-463,IF(ROW(A190)&lt;1001,"0"&amp;ROW(A190)-463,ROW(A190)-463))))))</f>
        <v>ENE-0189-OLD</v>
      </c>
      <c r="B190" s="1">
        <v>45674</v>
      </c>
      <c r="C190" s="5"/>
      <c r="D190" s="5"/>
      <c r="E190" t="s">
        <v>110</v>
      </c>
      <c r="F190" s="32"/>
      <c r="G190" s="32"/>
      <c r="H190" s="5">
        <v>1541</v>
      </c>
      <c r="I190" t="s">
        <v>285</v>
      </c>
      <c r="J190" t="s">
        <v>286</v>
      </c>
      <c r="K190" s="5"/>
      <c r="L190" s="10" t="s">
        <v>83</v>
      </c>
      <c r="M190" s="49">
        <v>17.8</v>
      </c>
      <c r="N190" s="34">
        <f>PLANPRODUCCION[[#This Row],[PIEZAS PLANEADAS]]*PLANPRODUCCION[[#This Row],[PRECIO MAQUILAS]]</f>
        <v>0</v>
      </c>
      <c r="O190" s="5">
        <v>2</v>
      </c>
      <c r="P190" s="2">
        <v>0.54166666666666663</v>
      </c>
      <c r="Q190" s="2">
        <v>0.5625</v>
      </c>
      <c r="R190" s="24">
        <v>10</v>
      </c>
      <c r="S190" s="35">
        <f>PLANPRODUCCION[[#This Row],[PRECIO MAQUILAS]]*PLANPRODUCCION[[#This Row],[PIEZAS REAL]]</f>
        <v>178</v>
      </c>
      <c r="T19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9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9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77.5</v>
      </c>
      <c r="W19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100.5</v>
      </c>
      <c r="X190" s="8"/>
      <c r="Y19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9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9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90" s="13" t="e">
        <f>IF(PLANPRODUCCION[[#This Row],[PIEZAS REAL]]&gt;0,PLANPRODUCCION[[#This Row],[PIEZAS REAL]]/PLANPRODUCCION[[#This Row],[PIEZAS ACTUALIZADO]],)</f>
        <v>#DIV/0!</v>
      </c>
      <c r="AC190" s="10" t="b">
        <f>PLANPRODUCCION[[#This Row],[INGRESO PLANEADO]]&lt;PLANPRODUCCION[[#This Row],[COSTO PLANEADO]]</f>
        <v>0</v>
      </c>
      <c r="AD190" s="46" t="s">
        <v>296</v>
      </c>
      <c r="AE190" s="10"/>
      <c r="AF190" s="10" t="b">
        <f>IF(COUNTIF(PLANPRODUCCION[[#This Row],[OBSERVACIONES]],"NO APLICA BONO*")&gt;0,TRUE,FALSE)</f>
        <v>0</v>
      </c>
    </row>
    <row r="191" spans="1:32" x14ac:dyDescent="0.25">
      <c r="A191" s="46" t="str">
        <f>UPPER(IF(PLANPRODUCCION[[#This Row],[FECHA]]&lt;=45701,_xlfn.CONCAT(TEXT(B191,"MMM"),"-",IF(ROW(A191)&lt;11,"000"&amp;ROW(A191)-1,IF(ROW(A191)&lt;101,"00"&amp;ROW(A191)-1,IF(ROW(A191)&lt;1001,"0"&amp;ROW(A191)-1,ROW(A191)-1))),"-OLD"),_xlfn.CONCAT(TEXT(B191,"MMM"),"-",IF(ROW(A191)&lt;473,"000"&amp;ROW(A191)-463,IF(ROW(A191)&lt;563,"00"&amp;ROW(A191)-463,IF(ROW(A191)&lt;1001,"0"&amp;ROW(A191)-463,ROW(A191)-463))))))</f>
        <v>ENE-0190-OLD</v>
      </c>
      <c r="B191" s="1">
        <v>45674</v>
      </c>
      <c r="C191" s="5"/>
      <c r="D191" s="5"/>
      <c r="E191" t="s">
        <v>110</v>
      </c>
      <c r="F191" s="32"/>
      <c r="G191" s="32"/>
      <c r="H191" s="5">
        <v>1541</v>
      </c>
      <c r="I191" t="s">
        <v>285</v>
      </c>
      <c r="J191" t="s">
        <v>286</v>
      </c>
      <c r="K191" s="5"/>
      <c r="L191" s="10" t="s">
        <v>83</v>
      </c>
      <c r="M191" s="49">
        <v>17.8</v>
      </c>
      <c r="N191" s="34">
        <f>PLANPRODUCCION[[#This Row],[PIEZAS PLANEADAS]]*PLANPRODUCCION[[#This Row],[PRECIO MAQUILAS]]</f>
        <v>0</v>
      </c>
      <c r="O191" s="5">
        <v>2</v>
      </c>
      <c r="P191" s="2">
        <v>0.75069444444444444</v>
      </c>
      <c r="Q191" s="2">
        <v>0.875</v>
      </c>
      <c r="R191" s="24">
        <v>40</v>
      </c>
      <c r="S191" s="35">
        <f>PLANPRODUCCION[[#This Row],[PRECIO MAQUILAS]]*PLANPRODUCCION[[#This Row],[PIEZAS REAL]]</f>
        <v>712</v>
      </c>
      <c r="T19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9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9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462.41666666666669</v>
      </c>
      <c r="W19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249.58333333333331</v>
      </c>
      <c r="X191" s="8"/>
      <c r="Y19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9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9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91" s="13" t="e">
        <f>IF(PLANPRODUCCION[[#This Row],[PIEZAS REAL]]&gt;0,PLANPRODUCCION[[#This Row],[PIEZAS REAL]]/PLANPRODUCCION[[#This Row],[PIEZAS ACTUALIZADO]],)</f>
        <v>#DIV/0!</v>
      </c>
      <c r="AC191" s="10" t="b">
        <f>PLANPRODUCCION[[#This Row],[INGRESO PLANEADO]]&lt;PLANPRODUCCION[[#This Row],[COSTO PLANEADO]]</f>
        <v>0</v>
      </c>
      <c r="AD191" s="46" t="s">
        <v>297</v>
      </c>
      <c r="AE191" s="10"/>
      <c r="AF191" s="10" t="b">
        <f>IF(COUNTIF(PLANPRODUCCION[[#This Row],[OBSERVACIONES]],"NO APLICA BONO*")&gt;0,TRUE,FALSE)</f>
        <v>0</v>
      </c>
    </row>
    <row r="192" spans="1:32" x14ac:dyDescent="0.25">
      <c r="A192" s="46" t="str">
        <f>UPPER(IF(PLANPRODUCCION[[#This Row],[FECHA]]&lt;=45701,_xlfn.CONCAT(TEXT(B192,"MMM"),"-",IF(ROW(A192)&lt;11,"000"&amp;ROW(A192)-1,IF(ROW(A192)&lt;101,"00"&amp;ROW(A192)-1,IF(ROW(A192)&lt;1001,"0"&amp;ROW(A192)-1,ROW(A192)-1))),"-OLD"),_xlfn.CONCAT(TEXT(B192,"MMM"),"-",IF(ROW(A192)&lt;473,"000"&amp;ROW(A192)-463,IF(ROW(A192)&lt;563,"00"&amp;ROW(A192)-463,IF(ROW(A192)&lt;1001,"0"&amp;ROW(A192)-463,ROW(A192)-463))))))</f>
        <v>ENE-0191-OLD</v>
      </c>
      <c r="B192" s="1">
        <v>45674</v>
      </c>
      <c r="C192" s="5"/>
      <c r="D192" s="5"/>
      <c r="E192" t="s">
        <v>72</v>
      </c>
      <c r="F192" s="32"/>
      <c r="G192" s="32"/>
      <c r="H192" s="5">
        <v>1541</v>
      </c>
      <c r="I192" t="s">
        <v>285</v>
      </c>
      <c r="J192" t="s">
        <v>286</v>
      </c>
      <c r="K192" s="5"/>
      <c r="L192" s="10" t="s">
        <v>83</v>
      </c>
      <c r="M192" s="49">
        <v>17.8</v>
      </c>
      <c r="N192" s="34">
        <f>PLANPRODUCCION[[#This Row],[PIEZAS PLANEADAS]]*PLANPRODUCCION[[#This Row],[PRECIO MAQUILAS]]</f>
        <v>0</v>
      </c>
      <c r="O192" s="5">
        <v>3</v>
      </c>
      <c r="P192" s="2">
        <v>0.66666666666666663</v>
      </c>
      <c r="Q192" s="2">
        <v>0.875</v>
      </c>
      <c r="R192" s="24">
        <v>82</v>
      </c>
      <c r="S192" s="35">
        <f>PLANPRODUCCION[[#This Row],[PRECIO MAQUILAS]]*PLANPRODUCCION[[#This Row],[PIEZAS REAL]]</f>
        <v>1459.6000000000001</v>
      </c>
      <c r="T19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9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9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19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529.60000000000014</v>
      </c>
      <c r="X192" s="8"/>
      <c r="Y19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9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9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92" s="13" t="e">
        <f>IF(PLANPRODUCCION[[#This Row],[PIEZAS REAL]]&gt;0,PLANPRODUCCION[[#This Row],[PIEZAS REAL]]/PLANPRODUCCION[[#This Row],[PIEZAS ACTUALIZADO]],)</f>
        <v>#DIV/0!</v>
      </c>
      <c r="AC192" s="10" t="b">
        <f>PLANPRODUCCION[[#This Row],[INGRESO PLANEADO]]&lt;PLANPRODUCCION[[#This Row],[COSTO PLANEADO]]</f>
        <v>0</v>
      </c>
      <c r="AD192" s="46" t="s">
        <v>298</v>
      </c>
      <c r="AE192" s="10"/>
      <c r="AF192" s="10" t="b">
        <f>IF(COUNTIF(PLANPRODUCCION[[#This Row],[OBSERVACIONES]],"NO APLICA BONO*")&gt;0,TRUE,FALSE)</f>
        <v>0</v>
      </c>
    </row>
    <row r="193" spans="1:32" x14ac:dyDescent="0.25">
      <c r="A193" s="46" t="str">
        <f>UPPER(IF(PLANPRODUCCION[[#This Row],[FECHA]]&lt;=45701,_xlfn.CONCAT(TEXT(B193,"MMM"),"-",IF(ROW(A193)&lt;11,"000"&amp;ROW(A193)-1,IF(ROW(A193)&lt;101,"00"&amp;ROW(A193)-1,IF(ROW(A193)&lt;1001,"0"&amp;ROW(A193)-1,ROW(A193)-1))),"-OLD"),_xlfn.CONCAT(TEXT(B193,"MMM"),"-",IF(ROW(A193)&lt;473,"000"&amp;ROW(A193)-463,IF(ROW(A193)&lt;563,"00"&amp;ROW(A193)-463,IF(ROW(A193)&lt;1001,"0"&amp;ROW(A193)-463,ROW(A193)-463))))))</f>
        <v>ENE-0192-OLD</v>
      </c>
      <c r="B193" s="1">
        <v>45674</v>
      </c>
      <c r="C193" s="5"/>
      <c r="D193" s="5"/>
      <c r="E193" t="s">
        <v>72</v>
      </c>
      <c r="F193" s="32"/>
      <c r="G193" s="32"/>
      <c r="H193" s="5">
        <v>1541</v>
      </c>
      <c r="I193" t="s">
        <v>285</v>
      </c>
      <c r="J193" t="s">
        <v>286</v>
      </c>
      <c r="K193" s="5"/>
      <c r="L193" s="10" t="s">
        <v>83</v>
      </c>
      <c r="M193" s="49">
        <v>17.8</v>
      </c>
      <c r="N193" s="34">
        <f>PLANPRODUCCION[[#This Row],[PIEZAS PLANEADAS]]*PLANPRODUCCION[[#This Row],[PRECIO MAQUILAS]]</f>
        <v>0</v>
      </c>
      <c r="O193" s="5">
        <v>3</v>
      </c>
      <c r="P193" s="2">
        <v>0.66666666666666663</v>
      </c>
      <c r="Q193" s="2">
        <v>0.875</v>
      </c>
      <c r="R193" s="24">
        <v>82</v>
      </c>
      <c r="S193" s="35">
        <f>PLANPRODUCCION[[#This Row],[PRECIO MAQUILAS]]*PLANPRODUCCION[[#This Row],[PIEZAS REAL]]</f>
        <v>1459.6000000000001</v>
      </c>
      <c r="T19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9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9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19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529.60000000000014</v>
      </c>
      <c r="X193" s="8"/>
      <c r="Y19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9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9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93" s="13" t="e">
        <f>IF(PLANPRODUCCION[[#This Row],[PIEZAS REAL]]&gt;0,PLANPRODUCCION[[#This Row],[PIEZAS REAL]]/PLANPRODUCCION[[#This Row],[PIEZAS ACTUALIZADO]],)</f>
        <v>#DIV/0!</v>
      </c>
      <c r="AC193" s="10" t="b">
        <f>PLANPRODUCCION[[#This Row],[INGRESO PLANEADO]]&lt;PLANPRODUCCION[[#This Row],[COSTO PLANEADO]]</f>
        <v>0</v>
      </c>
      <c r="AD193" s="46" t="s">
        <v>299</v>
      </c>
      <c r="AE193" s="10"/>
      <c r="AF193" s="10" t="b">
        <f>IF(COUNTIF(PLANPRODUCCION[[#This Row],[OBSERVACIONES]],"NO APLICA BONO*")&gt;0,TRUE,FALSE)</f>
        <v>0</v>
      </c>
    </row>
    <row r="194" spans="1:32" x14ac:dyDescent="0.25">
      <c r="A194" s="46" t="str">
        <f>UPPER(IF(PLANPRODUCCION[[#This Row],[FECHA]]&lt;=45701,_xlfn.CONCAT(TEXT(B194,"MMM"),"-",IF(ROW(A194)&lt;11,"000"&amp;ROW(A194)-1,IF(ROW(A194)&lt;101,"00"&amp;ROW(A194)-1,IF(ROW(A194)&lt;1001,"0"&amp;ROW(A194)-1,ROW(A194)-1))),"-OLD"),_xlfn.CONCAT(TEXT(B194,"MMM"),"-",IF(ROW(A194)&lt;473,"000"&amp;ROW(A194)-463,IF(ROW(A194)&lt;563,"00"&amp;ROW(A194)-463,IF(ROW(A194)&lt;1001,"0"&amp;ROW(A194)-463,ROW(A194)-463))))))</f>
        <v>ENE-0193-OLD</v>
      </c>
      <c r="B194" s="1">
        <v>45674</v>
      </c>
      <c r="C194" s="5"/>
      <c r="D194" s="5"/>
      <c r="E194" t="s">
        <v>72</v>
      </c>
      <c r="F194" s="32"/>
      <c r="G194" s="32"/>
      <c r="H194" s="5">
        <v>1538</v>
      </c>
      <c r="I194" t="s">
        <v>281</v>
      </c>
      <c r="J194" t="s">
        <v>282</v>
      </c>
      <c r="K194" s="5"/>
      <c r="L194" s="10" t="s">
        <v>283</v>
      </c>
      <c r="M194" s="49">
        <v>12</v>
      </c>
      <c r="N194" s="34">
        <f>PLANPRODUCCION[[#This Row],[PIEZAS PLANEADAS]]*PLANPRODUCCION[[#This Row],[PRECIO MAQUILAS]]</f>
        <v>0</v>
      </c>
      <c r="O194" s="5">
        <v>1</v>
      </c>
      <c r="P194" s="2">
        <v>0.875</v>
      </c>
      <c r="Q194" s="2">
        <v>0.9375</v>
      </c>
      <c r="R194" s="24">
        <v>36</v>
      </c>
      <c r="S194" s="35">
        <f>PLANPRODUCCION[[#This Row],[PRECIO MAQUILAS]]*PLANPRODUCCION[[#This Row],[PIEZAS REAL]]</f>
        <v>432</v>
      </c>
      <c r="T19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9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9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</v>
      </c>
      <c r="W19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339</v>
      </c>
      <c r="X194" s="8"/>
      <c r="Y19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9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9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94" s="13" t="e">
        <f>IF(PLANPRODUCCION[[#This Row],[PIEZAS REAL]]&gt;0,PLANPRODUCCION[[#This Row],[PIEZAS REAL]]/PLANPRODUCCION[[#This Row],[PIEZAS ACTUALIZADO]],)</f>
        <v>#DIV/0!</v>
      </c>
      <c r="AC194" s="10" t="b">
        <f>PLANPRODUCCION[[#This Row],[INGRESO PLANEADO]]&lt;PLANPRODUCCION[[#This Row],[COSTO PLANEADO]]</f>
        <v>0</v>
      </c>
      <c r="AD194" s="46" t="s">
        <v>300</v>
      </c>
      <c r="AE194" s="10"/>
      <c r="AF194" s="10" t="b">
        <f>IF(COUNTIF(PLANPRODUCCION[[#This Row],[OBSERVACIONES]],"NO APLICA BONO*")&gt;0,TRUE,FALSE)</f>
        <v>0</v>
      </c>
    </row>
    <row r="195" spans="1:32" x14ac:dyDescent="0.25">
      <c r="A195" s="46" t="str">
        <f>UPPER(IF(PLANPRODUCCION[[#This Row],[FECHA]]&lt;=45701,_xlfn.CONCAT(TEXT(B195,"MMM"),"-",IF(ROW(A195)&lt;11,"000"&amp;ROW(A195)-1,IF(ROW(A195)&lt;101,"00"&amp;ROW(A195)-1,IF(ROW(A195)&lt;1001,"0"&amp;ROW(A195)-1,ROW(A195)-1))),"-OLD"),_xlfn.CONCAT(TEXT(B195,"MMM"),"-",IF(ROW(A195)&lt;473,"000"&amp;ROW(A195)-463,IF(ROW(A195)&lt;563,"00"&amp;ROW(A195)-463,IF(ROW(A195)&lt;1001,"0"&amp;ROW(A195)-463,ROW(A195)-463))))))</f>
        <v>ENE-0194-OLD</v>
      </c>
      <c r="B195" s="1">
        <v>45677</v>
      </c>
      <c r="C195" s="5"/>
      <c r="D195" s="5"/>
      <c r="E195" t="s">
        <v>54</v>
      </c>
      <c r="F195" s="32"/>
      <c r="G195" s="32"/>
      <c r="H195" s="5">
        <v>1541</v>
      </c>
      <c r="I195" t="s">
        <v>285</v>
      </c>
      <c r="J195" t="s">
        <v>286</v>
      </c>
      <c r="K195" s="5"/>
      <c r="L195" s="10" t="s">
        <v>83</v>
      </c>
      <c r="M195" s="49">
        <v>17.8</v>
      </c>
      <c r="N195" s="34">
        <f>PLANPRODUCCION[[#This Row],[PIEZAS PLANEADAS]]*PLANPRODUCCION[[#This Row],[PRECIO MAQUILAS]]</f>
        <v>0</v>
      </c>
      <c r="O195" s="5">
        <v>4</v>
      </c>
      <c r="P195" s="2">
        <v>0.25</v>
      </c>
      <c r="Q195" s="2">
        <v>0.625</v>
      </c>
      <c r="R195" s="24">
        <v>212</v>
      </c>
      <c r="S195" s="35">
        <f>PLANPRODUCCION[[#This Row],[PRECIO MAQUILAS]]*PLANPRODUCCION[[#This Row],[PIEZAS REAL]]</f>
        <v>3773.6000000000004</v>
      </c>
      <c r="T19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9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9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2232</v>
      </c>
      <c r="W19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1541.6000000000004</v>
      </c>
      <c r="X195" s="8"/>
      <c r="Y19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9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9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95" s="13" t="e">
        <f>IF(PLANPRODUCCION[[#This Row],[PIEZAS REAL]]&gt;0,PLANPRODUCCION[[#This Row],[PIEZAS REAL]]/PLANPRODUCCION[[#This Row],[PIEZAS ACTUALIZADO]],)</f>
        <v>#DIV/0!</v>
      </c>
      <c r="AC195" s="10" t="b">
        <f>PLANPRODUCCION[[#This Row],[INGRESO PLANEADO]]&lt;PLANPRODUCCION[[#This Row],[COSTO PLANEADO]]</f>
        <v>0</v>
      </c>
      <c r="AD195" s="46" t="s">
        <v>301</v>
      </c>
      <c r="AE195" s="10"/>
      <c r="AF195" s="10" t="b">
        <f>IF(COUNTIF(PLANPRODUCCION[[#This Row],[OBSERVACIONES]],"NO APLICA BONO*")&gt;0,TRUE,FALSE)</f>
        <v>0</v>
      </c>
    </row>
    <row r="196" spans="1:32" x14ac:dyDescent="0.25">
      <c r="A196" s="46" t="str">
        <f>UPPER(IF(PLANPRODUCCION[[#This Row],[FECHA]]&lt;=45701,_xlfn.CONCAT(TEXT(B196,"MMM"),"-",IF(ROW(A196)&lt;11,"000"&amp;ROW(A196)-1,IF(ROW(A196)&lt;101,"00"&amp;ROW(A196)-1,IF(ROW(A196)&lt;1001,"0"&amp;ROW(A196)-1,ROW(A196)-1))),"-OLD"),_xlfn.CONCAT(TEXT(B196,"MMM"),"-",IF(ROW(A196)&lt;473,"000"&amp;ROW(A196)-463,IF(ROW(A196)&lt;563,"00"&amp;ROW(A196)-463,IF(ROW(A196)&lt;1001,"0"&amp;ROW(A196)-463,ROW(A196)-463))))))</f>
        <v>ENE-0195-OLD</v>
      </c>
      <c r="B196" s="1">
        <v>45677</v>
      </c>
      <c r="C196" s="5"/>
      <c r="D196" s="5"/>
      <c r="E196" t="s">
        <v>54</v>
      </c>
      <c r="F196" s="32"/>
      <c r="G196" s="32"/>
      <c r="H196" s="5">
        <v>1541</v>
      </c>
      <c r="I196" t="s">
        <v>285</v>
      </c>
      <c r="J196" t="s">
        <v>286</v>
      </c>
      <c r="K196" s="5"/>
      <c r="L196" s="10" t="s">
        <v>83</v>
      </c>
      <c r="M196" s="49">
        <v>17.8</v>
      </c>
      <c r="N196" s="34">
        <f>PLANPRODUCCION[[#This Row],[PIEZAS PLANEADAS]]*PLANPRODUCCION[[#This Row],[PRECIO MAQUILAS]]</f>
        <v>0</v>
      </c>
      <c r="O196" s="5">
        <v>2</v>
      </c>
      <c r="P196" s="2">
        <v>0.25</v>
      </c>
      <c r="Q196" s="2">
        <v>0.375</v>
      </c>
      <c r="R196" s="24">
        <v>47</v>
      </c>
      <c r="S196" s="35">
        <f>PLANPRODUCCION[[#This Row],[PRECIO MAQUILAS]]*PLANPRODUCCION[[#This Row],[PIEZAS REAL]]</f>
        <v>836.6</v>
      </c>
      <c r="T19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9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9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19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464.6</v>
      </c>
      <c r="X196" s="8"/>
      <c r="Y19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9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9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96" s="13" t="e">
        <f>IF(PLANPRODUCCION[[#This Row],[PIEZAS REAL]]&gt;0,PLANPRODUCCION[[#This Row],[PIEZAS REAL]]/PLANPRODUCCION[[#This Row],[PIEZAS ACTUALIZADO]],)</f>
        <v>#DIV/0!</v>
      </c>
      <c r="AC196" s="10" t="b">
        <f>PLANPRODUCCION[[#This Row],[INGRESO PLANEADO]]&lt;PLANPRODUCCION[[#This Row],[COSTO PLANEADO]]</f>
        <v>0</v>
      </c>
      <c r="AD196" s="46" t="s">
        <v>302</v>
      </c>
      <c r="AE196" s="10"/>
      <c r="AF196" s="10" t="b">
        <f>IF(COUNTIF(PLANPRODUCCION[[#This Row],[OBSERVACIONES]],"NO APLICA BONO*")&gt;0,TRUE,FALSE)</f>
        <v>0</v>
      </c>
    </row>
    <row r="197" spans="1:32" x14ac:dyDescent="0.25">
      <c r="A197" s="46" t="str">
        <f>UPPER(IF(PLANPRODUCCION[[#This Row],[FECHA]]&lt;=45701,_xlfn.CONCAT(TEXT(B197,"MMM"),"-",IF(ROW(A197)&lt;11,"000"&amp;ROW(A197)-1,IF(ROW(A197)&lt;101,"00"&amp;ROW(A197)-1,IF(ROW(A197)&lt;1001,"0"&amp;ROW(A197)-1,ROW(A197)-1))),"-OLD"),_xlfn.CONCAT(TEXT(B197,"MMM"),"-",IF(ROW(A197)&lt;473,"000"&amp;ROW(A197)-463,IF(ROW(A197)&lt;563,"00"&amp;ROW(A197)-463,IF(ROW(A197)&lt;1001,"0"&amp;ROW(A197)-463,ROW(A197)-463))))))</f>
        <v>ENE-0196-OLD</v>
      </c>
      <c r="B197" s="1">
        <v>45677</v>
      </c>
      <c r="C197" s="5"/>
      <c r="D197" s="5"/>
      <c r="E197" t="s">
        <v>54</v>
      </c>
      <c r="F197" s="32"/>
      <c r="G197" s="32"/>
      <c r="H197" s="5">
        <v>1541</v>
      </c>
      <c r="I197" t="s">
        <v>285</v>
      </c>
      <c r="J197" t="s">
        <v>286</v>
      </c>
      <c r="K197" s="5"/>
      <c r="L197" s="10" t="s">
        <v>83</v>
      </c>
      <c r="M197" s="49">
        <v>17.8</v>
      </c>
      <c r="N197" s="34">
        <f>PLANPRODUCCION[[#This Row],[PIEZAS PLANEADAS]]*PLANPRODUCCION[[#This Row],[PRECIO MAQUILAS]]</f>
        <v>0</v>
      </c>
      <c r="O197" s="5">
        <v>3</v>
      </c>
      <c r="P197" s="2">
        <v>0.25</v>
      </c>
      <c r="Q197" s="2">
        <v>0.66666666666666663</v>
      </c>
      <c r="R197" s="24">
        <v>260</v>
      </c>
      <c r="S197" s="35">
        <f>PLANPRODUCCION[[#This Row],[PRECIO MAQUILAS]]*PLANPRODUCCION[[#This Row],[PIEZAS REAL]]</f>
        <v>4628</v>
      </c>
      <c r="T19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9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9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19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2768</v>
      </c>
      <c r="X197" s="8"/>
      <c r="Y19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9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9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97" s="13" t="e">
        <f>IF(PLANPRODUCCION[[#This Row],[PIEZAS REAL]]&gt;0,PLANPRODUCCION[[#This Row],[PIEZAS REAL]]/PLANPRODUCCION[[#This Row],[PIEZAS ACTUALIZADO]],)</f>
        <v>#DIV/0!</v>
      </c>
      <c r="AC197" s="10" t="b">
        <f>PLANPRODUCCION[[#This Row],[INGRESO PLANEADO]]&lt;PLANPRODUCCION[[#This Row],[COSTO PLANEADO]]</f>
        <v>0</v>
      </c>
      <c r="AD197" s="46" t="s">
        <v>303</v>
      </c>
      <c r="AE197" s="10"/>
      <c r="AF197" s="10" t="b">
        <f>IF(COUNTIF(PLANPRODUCCION[[#This Row],[OBSERVACIONES]],"NO APLICA BONO*")&gt;0,TRUE,FALSE)</f>
        <v>0</v>
      </c>
    </row>
    <row r="198" spans="1:32" x14ac:dyDescent="0.25">
      <c r="A198" s="46" t="str">
        <f>UPPER(IF(PLANPRODUCCION[[#This Row],[FECHA]]&lt;=45701,_xlfn.CONCAT(TEXT(B198,"MMM"),"-",IF(ROW(A198)&lt;11,"000"&amp;ROW(A198)-1,IF(ROW(A198)&lt;101,"00"&amp;ROW(A198)-1,IF(ROW(A198)&lt;1001,"0"&amp;ROW(A198)-1,ROW(A198)-1))),"-OLD"),_xlfn.CONCAT(TEXT(B198,"MMM"),"-",IF(ROW(A198)&lt;473,"000"&amp;ROW(A198)-463,IF(ROW(A198)&lt;563,"00"&amp;ROW(A198)-463,IF(ROW(A198)&lt;1001,"0"&amp;ROW(A198)-463,ROW(A198)-463))))))</f>
        <v>ENE-0197-OLD</v>
      </c>
      <c r="B198" s="1">
        <v>45677</v>
      </c>
      <c r="C198" s="5"/>
      <c r="D198" s="5"/>
      <c r="E198" t="s">
        <v>54</v>
      </c>
      <c r="F198" s="32"/>
      <c r="G198" s="32"/>
      <c r="H198" s="5">
        <v>1541</v>
      </c>
      <c r="I198" t="s">
        <v>285</v>
      </c>
      <c r="J198" t="s">
        <v>286</v>
      </c>
      <c r="K198" s="5"/>
      <c r="L198" s="10" t="s">
        <v>83</v>
      </c>
      <c r="M198" s="49">
        <v>17.8</v>
      </c>
      <c r="N198" s="34">
        <f>PLANPRODUCCION[[#This Row],[PIEZAS PLANEADAS]]*PLANPRODUCCION[[#This Row],[PRECIO MAQUILAS]]</f>
        <v>0</v>
      </c>
      <c r="O198" s="5">
        <v>4</v>
      </c>
      <c r="P198" s="2">
        <v>0.25</v>
      </c>
      <c r="Q198" s="2">
        <v>0.66666666666666663</v>
      </c>
      <c r="R198" s="24">
        <v>0</v>
      </c>
      <c r="S198" s="35">
        <f>PLANPRODUCCION[[#This Row],[PRECIO MAQUILAS]]*PLANPRODUCCION[[#This Row],[PIEZAS REAL]]</f>
        <v>0</v>
      </c>
      <c r="T19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9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9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19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-2480</v>
      </c>
      <c r="X198" s="8"/>
      <c r="Y19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9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98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198" s="13">
        <f>IF(PLANPRODUCCION[[#This Row],[PIEZAS REAL]]&gt;0,PLANPRODUCCION[[#This Row],[PIEZAS REAL]]/PLANPRODUCCION[[#This Row],[PIEZAS ACTUALIZADO]],)</f>
        <v>0</v>
      </c>
      <c r="AC198" s="10" t="b">
        <f>PLANPRODUCCION[[#This Row],[INGRESO PLANEADO]]&lt;PLANPRODUCCION[[#This Row],[COSTO PLANEADO]]</f>
        <v>0</v>
      </c>
      <c r="AD198" s="46" t="s">
        <v>304</v>
      </c>
      <c r="AE198" s="10"/>
      <c r="AF198" s="10" t="b">
        <f>IF(COUNTIF(PLANPRODUCCION[[#This Row],[OBSERVACIONES]],"NO APLICA BONO*")&gt;0,TRUE,FALSE)</f>
        <v>0</v>
      </c>
    </row>
    <row r="199" spans="1:32" x14ac:dyDescent="0.25">
      <c r="A199" s="46" t="str">
        <f>UPPER(IF(PLANPRODUCCION[[#This Row],[FECHA]]&lt;=45701,_xlfn.CONCAT(TEXT(B199,"MMM"),"-",IF(ROW(A199)&lt;11,"000"&amp;ROW(A199)-1,IF(ROW(A199)&lt;101,"00"&amp;ROW(A199)-1,IF(ROW(A199)&lt;1001,"0"&amp;ROW(A199)-1,ROW(A199)-1))),"-OLD"),_xlfn.CONCAT(TEXT(B199,"MMM"),"-",IF(ROW(A199)&lt;473,"000"&amp;ROW(A199)-463,IF(ROW(A199)&lt;563,"00"&amp;ROW(A199)-463,IF(ROW(A199)&lt;1001,"0"&amp;ROW(A199)-463,ROW(A199)-463))))))</f>
        <v>ENE-0198-OLD</v>
      </c>
      <c r="B199" s="1">
        <v>45677</v>
      </c>
      <c r="C199" s="5"/>
      <c r="D199" s="5"/>
      <c r="E199" t="s">
        <v>54</v>
      </c>
      <c r="F199" s="32"/>
      <c r="G199" s="32"/>
      <c r="H199" s="5">
        <v>1538</v>
      </c>
      <c r="I199" t="s">
        <v>281</v>
      </c>
      <c r="J199" t="s">
        <v>282</v>
      </c>
      <c r="K199" s="5"/>
      <c r="L199" s="10" t="s">
        <v>283</v>
      </c>
      <c r="M199" s="49">
        <v>12</v>
      </c>
      <c r="N199" s="34">
        <f>PLANPRODUCCION[[#This Row],[PIEZAS PLANEADAS]]*PLANPRODUCCION[[#This Row],[PRECIO MAQUILAS]]</f>
        <v>0</v>
      </c>
      <c r="O199" s="5">
        <v>4</v>
      </c>
      <c r="P199" s="2">
        <v>0.375</v>
      </c>
      <c r="Q199" s="2">
        <v>0.49652777777777779</v>
      </c>
      <c r="R199" s="24">
        <v>47</v>
      </c>
      <c r="S199" s="35">
        <f>PLANPRODUCCION[[#This Row],[PRECIO MAQUILAS]]*PLANPRODUCCION[[#This Row],[PIEZAS REAL]]</f>
        <v>564</v>
      </c>
      <c r="T19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19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19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723.33333333333337</v>
      </c>
      <c r="W19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-159.33333333333337</v>
      </c>
      <c r="X199" s="8"/>
      <c r="Y19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19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19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199" s="13" t="e">
        <f>IF(PLANPRODUCCION[[#This Row],[PIEZAS REAL]]&gt;0,PLANPRODUCCION[[#This Row],[PIEZAS REAL]]/PLANPRODUCCION[[#This Row],[PIEZAS ACTUALIZADO]],)</f>
        <v>#DIV/0!</v>
      </c>
      <c r="AC199" s="10" t="b">
        <f>PLANPRODUCCION[[#This Row],[INGRESO PLANEADO]]&lt;PLANPRODUCCION[[#This Row],[COSTO PLANEADO]]</f>
        <v>0</v>
      </c>
      <c r="AD199" s="46" t="s">
        <v>305</v>
      </c>
      <c r="AE199" s="10"/>
      <c r="AF199" s="10" t="b">
        <f>IF(COUNTIF(PLANPRODUCCION[[#This Row],[OBSERVACIONES]],"NO APLICA BONO*")&gt;0,TRUE,FALSE)</f>
        <v>0</v>
      </c>
    </row>
    <row r="200" spans="1:32" x14ac:dyDescent="0.25">
      <c r="A200" s="46" t="str">
        <f>UPPER(IF(PLANPRODUCCION[[#This Row],[FECHA]]&lt;=45701,_xlfn.CONCAT(TEXT(B200,"MMM"),"-",IF(ROW(A200)&lt;11,"000"&amp;ROW(A200)-1,IF(ROW(A200)&lt;101,"00"&amp;ROW(A200)-1,IF(ROW(A200)&lt;1001,"0"&amp;ROW(A200)-1,ROW(A200)-1))),"-OLD"),_xlfn.CONCAT(TEXT(B200,"MMM"),"-",IF(ROW(A200)&lt;473,"000"&amp;ROW(A200)-463,IF(ROW(A200)&lt;563,"00"&amp;ROW(A200)-463,IF(ROW(A200)&lt;1001,"0"&amp;ROW(A200)-463,ROW(A200)-463))))))</f>
        <v>ENE-0199-OLD</v>
      </c>
      <c r="B200" s="1">
        <v>45677</v>
      </c>
      <c r="C200" s="5"/>
      <c r="D200" s="5"/>
      <c r="E200" t="s">
        <v>54</v>
      </c>
      <c r="F200" s="32"/>
      <c r="G200" s="32"/>
      <c r="H200" s="5">
        <v>1548</v>
      </c>
      <c r="I200" t="s">
        <v>306</v>
      </c>
      <c r="J200" t="s">
        <v>205</v>
      </c>
      <c r="K200" s="5"/>
      <c r="L200" s="10" t="s">
        <v>65</v>
      </c>
      <c r="M200" s="49">
        <v>1.4</v>
      </c>
      <c r="N200" s="34">
        <f>PLANPRODUCCION[[#This Row],[PIEZAS PLANEADAS]]*PLANPRODUCCION[[#This Row],[PRECIO MAQUILAS]]</f>
        <v>0</v>
      </c>
      <c r="O200" s="5">
        <v>2</v>
      </c>
      <c r="P200" s="2">
        <v>0.37569444444444444</v>
      </c>
      <c r="Q200" s="2">
        <v>0.47222222222222221</v>
      </c>
      <c r="R200" s="24">
        <v>320</v>
      </c>
      <c r="S200" s="35">
        <f>PLANPRODUCCION[[#This Row],[PRECIO MAQUILAS]]*PLANPRODUCCION[[#This Row],[PIEZAS REAL]]</f>
        <v>448</v>
      </c>
      <c r="T20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0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0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287.26666666666665</v>
      </c>
      <c r="W20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160.73333333333335</v>
      </c>
      <c r="X200" s="8"/>
      <c r="Y20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0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0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00" s="13" t="e">
        <f>IF(PLANPRODUCCION[[#This Row],[PIEZAS REAL]]&gt;0,PLANPRODUCCION[[#This Row],[PIEZAS REAL]]/PLANPRODUCCION[[#This Row],[PIEZAS ACTUALIZADO]],)</f>
        <v>#DIV/0!</v>
      </c>
      <c r="AC200" s="10" t="b">
        <f>PLANPRODUCCION[[#This Row],[INGRESO PLANEADO]]&lt;PLANPRODUCCION[[#This Row],[COSTO PLANEADO]]</f>
        <v>0</v>
      </c>
      <c r="AD200" s="46" t="s">
        <v>307</v>
      </c>
      <c r="AE200" s="10"/>
      <c r="AF200" s="10" t="b">
        <f>IF(COUNTIF(PLANPRODUCCION[[#This Row],[OBSERVACIONES]],"NO APLICA BONO*")&gt;0,TRUE,FALSE)</f>
        <v>0</v>
      </c>
    </row>
    <row r="201" spans="1:32" x14ac:dyDescent="0.25">
      <c r="A201" s="46" t="str">
        <f>UPPER(IF(PLANPRODUCCION[[#This Row],[FECHA]]&lt;=45701,_xlfn.CONCAT(TEXT(B201,"MMM"),"-",IF(ROW(A201)&lt;11,"000"&amp;ROW(A201)-1,IF(ROW(A201)&lt;101,"00"&amp;ROW(A201)-1,IF(ROW(A201)&lt;1001,"0"&amp;ROW(A201)-1,ROW(A201)-1))),"-OLD"),_xlfn.CONCAT(TEXT(B201,"MMM"),"-",IF(ROW(A201)&lt;473,"000"&amp;ROW(A201)-463,IF(ROW(A201)&lt;563,"00"&amp;ROW(A201)-463,IF(ROW(A201)&lt;1001,"0"&amp;ROW(A201)-463,ROW(A201)-463))))))</f>
        <v>ENE-0200-OLD</v>
      </c>
      <c r="B201" s="1">
        <v>45677</v>
      </c>
      <c r="C201" s="5"/>
      <c r="D201" s="5"/>
      <c r="E201" t="s">
        <v>54</v>
      </c>
      <c r="F201" s="32"/>
      <c r="G201" s="32"/>
      <c r="H201" s="5">
        <v>1541</v>
      </c>
      <c r="I201" t="s">
        <v>285</v>
      </c>
      <c r="J201" t="s">
        <v>286</v>
      </c>
      <c r="K201" s="5"/>
      <c r="L201" s="10" t="s">
        <v>83</v>
      </c>
      <c r="M201" s="49">
        <v>17.8</v>
      </c>
      <c r="N201" s="34">
        <f>PLANPRODUCCION[[#This Row],[PIEZAS PLANEADAS]]*PLANPRODUCCION[[#This Row],[PRECIO MAQUILAS]]</f>
        <v>0</v>
      </c>
      <c r="O201" s="5">
        <v>2</v>
      </c>
      <c r="P201" s="2">
        <v>0.45833333333333331</v>
      </c>
      <c r="Q201" s="2">
        <v>0.875</v>
      </c>
      <c r="R201" s="24">
        <v>165</v>
      </c>
      <c r="S201" s="35">
        <f>PLANPRODUCCION[[#This Row],[PRECIO MAQUILAS]]*PLANPRODUCCION[[#This Row],[PIEZAS REAL]]</f>
        <v>2937</v>
      </c>
      <c r="T20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0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0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20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1697</v>
      </c>
      <c r="X201" s="8"/>
      <c r="Y20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0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0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01" s="13" t="e">
        <f>IF(PLANPRODUCCION[[#This Row],[PIEZAS REAL]]&gt;0,PLANPRODUCCION[[#This Row],[PIEZAS REAL]]/PLANPRODUCCION[[#This Row],[PIEZAS ACTUALIZADO]],)</f>
        <v>#DIV/0!</v>
      </c>
      <c r="AC201" s="10" t="b">
        <f>PLANPRODUCCION[[#This Row],[INGRESO PLANEADO]]&lt;PLANPRODUCCION[[#This Row],[COSTO PLANEADO]]</f>
        <v>0</v>
      </c>
      <c r="AD201" s="46" t="s">
        <v>308</v>
      </c>
      <c r="AE201" s="10"/>
      <c r="AF201" s="10" t="b">
        <f>IF(COUNTIF(PLANPRODUCCION[[#This Row],[OBSERVACIONES]],"NO APLICA BONO*")&gt;0,TRUE,FALSE)</f>
        <v>0</v>
      </c>
    </row>
    <row r="202" spans="1:32" x14ac:dyDescent="0.25">
      <c r="A202" s="46" t="str">
        <f>UPPER(IF(PLANPRODUCCION[[#This Row],[FECHA]]&lt;=45701,_xlfn.CONCAT(TEXT(B202,"MMM"),"-",IF(ROW(A202)&lt;11,"000"&amp;ROW(A202)-1,IF(ROW(A202)&lt;101,"00"&amp;ROW(A202)-1,IF(ROW(A202)&lt;1001,"0"&amp;ROW(A202)-1,ROW(A202)-1))),"-OLD"),_xlfn.CONCAT(TEXT(B202,"MMM"),"-",IF(ROW(A202)&lt;473,"000"&amp;ROW(A202)-463,IF(ROW(A202)&lt;563,"00"&amp;ROW(A202)-463,IF(ROW(A202)&lt;1001,"0"&amp;ROW(A202)-463,ROW(A202)-463))))))</f>
        <v>ENE-0201-OLD</v>
      </c>
      <c r="B202" s="1">
        <v>45677</v>
      </c>
      <c r="C202" s="5"/>
      <c r="D202" s="5"/>
      <c r="E202" t="s">
        <v>54</v>
      </c>
      <c r="F202" s="32"/>
      <c r="G202" s="32"/>
      <c r="H202" s="5">
        <v>1548</v>
      </c>
      <c r="I202" t="s">
        <v>306</v>
      </c>
      <c r="J202" t="s">
        <v>309</v>
      </c>
      <c r="K202" s="5"/>
      <c r="L202" s="10" t="s">
        <v>57</v>
      </c>
      <c r="M202" s="49">
        <v>2.4</v>
      </c>
      <c r="N202" s="34">
        <f>PLANPRODUCCION[[#This Row],[PIEZAS PLANEADAS]]*PLANPRODUCCION[[#This Row],[PRECIO MAQUILAS]]</f>
        <v>0</v>
      </c>
      <c r="O202" s="5">
        <v>2</v>
      </c>
      <c r="P202" s="2">
        <v>0.4826388888888889</v>
      </c>
      <c r="Q202" s="2">
        <v>0.63055555555555554</v>
      </c>
      <c r="R202" s="24">
        <v>153</v>
      </c>
      <c r="S202" s="35">
        <f>PLANPRODUCCION[[#This Row],[PRECIO MAQUILAS]]*PLANPRODUCCION[[#This Row],[PIEZAS REAL]]</f>
        <v>367.2</v>
      </c>
      <c r="T20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0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0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440.20000000000005</v>
      </c>
      <c r="W20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-73.000000000000057</v>
      </c>
      <c r="X202" s="8"/>
      <c r="Y20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0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0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02" s="13" t="e">
        <f>IF(PLANPRODUCCION[[#This Row],[PIEZAS REAL]]&gt;0,PLANPRODUCCION[[#This Row],[PIEZAS REAL]]/PLANPRODUCCION[[#This Row],[PIEZAS ACTUALIZADO]],)</f>
        <v>#DIV/0!</v>
      </c>
      <c r="AC202" s="10" t="b">
        <f>PLANPRODUCCION[[#This Row],[INGRESO PLANEADO]]&lt;PLANPRODUCCION[[#This Row],[COSTO PLANEADO]]</f>
        <v>0</v>
      </c>
      <c r="AD202" s="46" t="s">
        <v>310</v>
      </c>
      <c r="AE202" s="10"/>
      <c r="AF202" s="10" t="b">
        <f>IF(COUNTIF(PLANPRODUCCION[[#This Row],[OBSERVACIONES]],"NO APLICA BONO*")&gt;0,TRUE,FALSE)</f>
        <v>0</v>
      </c>
    </row>
    <row r="203" spans="1:32" x14ac:dyDescent="0.25">
      <c r="A203" s="46" t="str">
        <f>UPPER(IF(PLANPRODUCCION[[#This Row],[FECHA]]&lt;=45701,_xlfn.CONCAT(TEXT(B203,"MMM"),"-",IF(ROW(A203)&lt;11,"000"&amp;ROW(A203)-1,IF(ROW(A203)&lt;101,"00"&amp;ROW(A203)-1,IF(ROW(A203)&lt;1001,"0"&amp;ROW(A203)-1,ROW(A203)-1))),"-OLD"),_xlfn.CONCAT(TEXT(B203,"MMM"),"-",IF(ROW(A203)&lt;473,"000"&amp;ROW(A203)-463,IF(ROW(A203)&lt;563,"00"&amp;ROW(A203)-463,IF(ROW(A203)&lt;1001,"0"&amp;ROW(A203)-463,ROW(A203)-463))))))</f>
        <v>ENE-0202-OLD</v>
      </c>
      <c r="B203" s="1">
        <v>45677</v>
      </c>
      <c r="C203" s="5"/>
      <c r="D203" s="5"/>
      <c r="E203" t="s">
        <v>54</v>
      </c>
      <c r="F203" s="32"/>
      <c r="G203" s="32"/>
      <c r="H203" s="5">
        <v>1541</v>
      </c>
      <c r="I203" t="s">
        <v>285</v>
      </c>
      <c r="J203" t="s">
        <v>286</v>
      </c>
      <c r="K203" s="5"/>
      <c r="L203" s="10" t="s">
        <v>83</v>
      </c>
      <c r="M203" s="49">
        <v>17.8</v>
      </c>
      <c r="N203" s="34">
        <f>PLANPRODUCCION[[#This Row],[PIEZAS PLANEADAS]]*PLANPRODUCCION[[#This Row],[PRECIO MAQUILAS]]</f>
        <v>0</v>
      </c>
      <c r="O203" s="5">
        <v>3</v>
      </c>
      <c r="P203" s="2">
        <v>0.62569444444444444</v>
      </c>
      <c r="Q203" s="2">
        <v>0.66666666666666663</v>
      </c>
      <c r="R203" s="24">
        <v>36</v>
      </c>
      <c r="S203" s="35">
        <f>PLANPRODUCCION[[#This Row],[PRECIO MAQUILAS]]*PLANPRODUCCION[[#This Row],[PIEZAS REAL]]</f>
        <v>640.80000000000007</v>
      </c>
      <c r="T20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0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0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182.9</v>
      </c>
      <c r="W20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457.90000000000009</v>
      </c>
      <c r="X203" s="8"/>
      <c r="Y20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0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0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03" s="13" t="e">
        <f>IF(PLANPRODUCCION[[#This Row],[PIEZAS REAL]]&gt;0,PLANPRODUCCION[[#This Row],[PIEZAS REAL]]/PLANPRODUCCION[[#This Row],[PIEZAS ACTUALIZADO]],)</f>
        <v>#DIV/0!</v>
      </c>
      <c r="AC203" s="10" t="b">
        <f>PLANPRODUCCION[[#This Row],[INGRESO PLANEADO]]&lt;PLANPRODUCCION[[#This Row],[COSTO PLANEADO]]</f>
        <v>0</v>
      </c>
      <c r="AD203" s="46" t="s">
        <v>311</v>
      </c>
      <c r="AE203" s="10"/>
      <c r="AF203" s="10" t="b">
        <f>IF(COUNTIF(PLANPRODUCCION[[#This Row],[OBSERVACIONES]],"NO APLICA BONO*")&gt;0,TRUE,FALSE)</f>
        <v>0</v>
      </c>
    </row>
    <row r="204" spans="1:32" x14ac:dyDescent="0.25">
      <c r="A204" s="46" t="str">
        <f>UPPER(IF(PLANPRODUCCION[[#This Row],[FECHA]]&lt;=45701,_xlfn.CONCAT(TEXT(B204,"MMM"),"-",IF(ROW(A204)&lt;11,"000"&amp;ROW(A204)-1,IF(ROW(A204)&lt;101,"00"&amp;ROW(A204)-1,IF(ROW(A204)&lt;1001,"0"&amp;ROW(A204)-1,ROW(A204)-1))),"-OLD"),_xlfn.CONCAT(TEXT(B204,"MMM"),"-",IF(ROW(A204)&lt;473,"000"&amp;ROW(A204)-463,IF(ROW(A204)&lt;563,"00"&amp;ROW(A204)-463,IF(ROW(A204)&lt;1001,"0"&amp;ROW(A204)-463,ROW(A204)-463))))))</f>
        <v>ENE-0203-OLD</v>
      </c>
      <c r="B204" s="1">
        <v>45677</v>
      </c>
      <c r="C204" s="5"/>
      <c r="D204" s="5"/>
      <c r="E204" t="s">
        <v>67</v>
      </c>
      <c r="F204" s="32"/>
      <c r="G204" s="32"/>
      <c r="H204" s="5">
        <v>1541</v>
      </c>
      <c r="I204" t="s">
        <v>285</v>
      </c>
      <c r="J204" t="s">
        <v>286</v>
      </c>
      <c r="K204" s="5"/>
      <c r="L204" s="10" t="s">
        <v>83</v>
      </c>
      <c r="M204" s="49">
        <v>17.8</v>
      </c>
      <c r="N204" s="34">
        <f>PLANPRODUCCION[[#This Row],[PIEZAS PLANEADAS]]*PLANPRODUCCION[[#This Row],[PRECIO MAQUILAS]]</f>
        <v>0</v>
      </c>
      <c r="O204" s="5">
        <v>2</v>
      </c>
      <c r="P204" s="2">
        <v>0.37847222222222221</v>
      </c>
      <c r="Q204" s="2">
        <v>0.5</v>
      </c>
      <c r="R204" s="24">
        <v>34</v>
      </c>
      <c r="S204" s="35">
        <f>PLANPRODUCCION[[#This Row],[PRECIO MAQUILAS]]*PLANPRODUCCION[[#This Row],[PIEZAS REAL]]</f>
        <v>605.20000000000005</v>
      </c>
      <c r="T20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0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0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361.66666666666669</v>
      </c>
      <c r="W20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243.53333333333336</v>
      </c>
      <c r="X204" s="8"/>
      <c r="Y20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0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0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04" s="13" t="e">
        <f>IF(PLANPRODUCCION[[#This Row],[PIEZAS REAL]]&gt;0,PLANPRODUCCION[[#This Row],[PIEZAS REAL]]/PLANPRODUCCION[[#This Row],[PIEZAS ACTUALIZADO]],)</f>
        <v>#DIV/0!</v>
      </c>
      <c r="AC204" s="10" t="b">
        <f>PLANPRODUCCION[[#This Row],[INGRESO PLANEADO]]&lt;PLANPRODUCCION[[#This Row],[COSTO PLANEADO]]</f>
        <v>0</v>
      </c>
      <c r="AD204" s="46" t="s">
        <v>312</v>
      </c>
      <c r="AE204" s="10"/>
      <c r="AF204" s="10" t="b">
        <f>IF(COUNTIF(PLANPRODUCCION[[#This Row],[OBSERVACIONES]],"NO APLICA BONO*")&gt;0,TRUE,FALSE)</f>
        <v>0</v>
      </c>
    </row>
    <row r="205" spans="1:32" x14ac:dyDescent="0.25">
      <c r="A205" s="46" t="str">
        <f>UPPER(IF(PLANPRODUCCION[[#This Row],[FECHA]]&lt;=45701,_xlfn.CONCAT(TEXT(B205,"MMM"),"-",IF(ROW(A205)&lt;11,"000"&amp;ROW(A205)-1,IF(ROW(A205)&lt;101,"00"&amp;ROW(A205)-1,IF(ROW(A205)&lt;1001,"0"&amp;ROW(A205)-1,ROW(A205)-1))),"-OLD"),_xlfn.CONCAT(TEXT(B205,"MMM"),"-",IF(ROW(A205)&lt;473,"000"&amp;ROW(A205)-463,IF(ROW(A205)&lt;563,"00"&amp;ROW(A205)-463,IF(ROW(A205)&lt;1001,"0"&amp;ROW(A205)-463,ROW(A205)-463))))))</f>
        <v>ENE-0204-OLD</v>
      </c>
      <c r="B205" s="1">
        <v>45677</v>
      </c>
      <c r="C205" s="5"/>
      <c r="D205" s="5"/>
      <c r="E205" t="s">
        <v>67</v>
      </c>
      <c r="F205" s="32"/>
      <c r="G205" s="32"/>
      <c r="H205" s="5">
        <v>1541</v>
      </c>
      <c r="I205" t="s">
        <v>285</v>
      </c>
      <c r="J205" t="s">
        <v>286</v>
      </c>
      <c r="K205" s="5"/>
      <c r="L205" s="10" t="s">
        <v>83</v>
      </c>
      <c r="M205" s="49">
        <v>17.8</v>
      </c>
      <c r="N205" s="34">
        <f>PLANPRODUCCION[[#This Row],[PIEZAS PLANEADAS]]*PLANPRODUCCION[[#This Row],[PRECIO MAQUILAS]]</f>
        <v>0</v>
      </c>
      <c r="O205" s="5">
        <v>3</v>
      </c>
      <c r="P205" s="2">
        <v>0.37847222222222221</v>
      </c>
      <c r="Q205" s="2">
        <v>0.5</v>
      </c>
      <c r="R205" s="24">
        <v>199</v>
      </c>
      <c r="S205" s="35">
        <f>PLANPRODUCCION[[#This Row],[PRECIO MAQUILAS]]*PLANPRODUCCION[[#This Row],[PIEZAS REAL]]</f>
        <v>3542.2000000000003</v>
      </c>
      <c r="T20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0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0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542.5</v>
      </c>
      <c r="W20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2999.7000000000003</v>
      </c>
      <c r="X205" s="8"/>
      <c r="Y20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0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0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05" s="13" t="e">
        <f>IF(PLANPRODUCCION[[#This Row],[PIEZAS REAL]]&gt;0,PLANPRODUCCION[[#This Row],[PIEZAS REAL]]/PLANPRODUCCION[[#This Row],[PIEZAS ACTUALIZADO]],)</f>
        <v>#DIV/0!</v>
      </c>
      <c r="AC205" s="10" t="b">
        <f>PLANPRODUCCION[[#This Row],[INGRESO PLANEADO]]&lt;PLANPRODUCCION[[#This Row],[COSTO PLANEADO]]</f>
        <v>0</v>
      </c>
      <c r="AD205" s="46" t="s">
        <v>313</v>
      </c>
      <c r="AE205" s="10"/>
      <c r="AF205" s="10" t="b">
        <f>IF(COUNTIF(PLANPRODUCCION[[#This Row],[OBSERVACIONES]],"NO APLICA BONO*")&gt;0,TRUE,FALSE)</f>
        <v>0</v>
      </c>
    </row>
    <row r="206" spans="1:32" x14ac:dyDescent="0.25">
      <c r="A206" s="46" t="str">
        <f>UPPER(IF(PLANPRODUCCION[[#This Row],[FECHA]]&lt;=45701,_xlfn.CONCAT(TEXT(B206,"MMM"),"-",IF(ROW(A206)&lt;11,"000"&amp;ROW(A206)-1,IF(ROW(A206)&lt;101,"00"&amp;ROW(A206)-1,IF(ROW(A206)&lt;1001,"0"&amp;ROW(A206)-1,ROW(A206)-1))),"-OLD"),_xlfn.CONCAT(TEXT(B206,"MMM"),"-",IF(ROW(A206)&lt;473,"000"&amp;ROW(A206)-463,IF(ROW(A206)&lt;563,"00"&amp;ROW(A206)-463,IF(ROW(A206)&lt;1001,"0"&amp;ROW(A206)-463,ROW(A206)-463))))))</f>
        <v>ENE-0205-OLD</v>
      </c>
      <c r="B206" s="1">
        <v>45677</v>
      </c>
      <c r="C206" s="5"/>
      <c r="D206" s="5"/>
      <c r="E206" t="s">
        <v>67</v>
      </c>
      <c r="F206" s="32"/>
      <c r="G206" s="32"/>
      <c r="H206" s="5">
        <v>1541</v>
      </c>
      <c r="I206" t="s">
        <v>285</v>
      </c>
      <c r="J206" t="s">
        <v>286</v>
      </c>
      <c r="K206" s="5"/>
      <c r="L206" s="10" t="s">
        <v>83</v>
      </c>
      <c r="M206" s="49">
        <v>17.8</v>
      </c>
      <c r="N206" s="34">
        <f>PLANPRODUCCION[[#This Row],[PIEZAS PLANEADAS]]*PLANPRODUCCION[[#This Row],[PRECIO MAQUILAS]]</f>
        <v>0</v>
      </c>
      <c r="O206" s="5">
        <v>4</v>
      </c>
      <c r="P206" s="2">
        <v>0.52083333333333337</v>
      </c>
      <c r="Q206" s="2">
        <v>0.75</v>
      </c>
      <c r="R206" s="24">
        <v>40</v>
      </c>
      <c r="S206" s="35">
        <f>PLANPRODUCCION[[#This Row],[PRECIO MAQUILAS]]*PLANPRODUCCION[[#This Row],[PIEZAS REAL]]</f>
        <v>712</v>
      </c>
      <c r="T20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0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0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1364</v>
      </c>
      <c r="W20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-652</v>
      </c>
      <c r="X206" s="8"/>
      <c r="Y20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0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0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06" s="13" t="e">
        <f>IF(PLANPRODUCCION[[#This Row],[PIEZAS REAL]]&gt;0,PLANPRODUCCION[[#This Row],[PIEZAS REAL]]/PLANPRODUCCION[[#This Row],[PIEZAS ACTUALIZADO]],)</f>
        <v>#DIV/0!</v>
      </c>
      <c r="AC206" s="10" t="b">
        <f>PLANPRODUCCION[[#This Row],[INGRESO PLANEADO]]&lt;PLANPRODUCCION[[#This Row],[COSTO PLANEADO]]</f>
        <v>0</v>
      </c>
      <c r="AD206" s="46" t="s">
        <v>314</v>
      </c>
      <c r="AE206" s="10"/>
      <c r="AF206" s="10" t="b">
        <f>IF(COUNTIF(PLANPRODUCCION[[#This Row],[OBSERVACIONES]],"NO APLICA BONO*")&gt;0,TRUE,FALSE)</f>
        <v>0</v>
      </c>
    </row>
    <row r="207" spans="1:32" x14ac:dyDescent="0.25">
      <c r="A207" s="46" t="str">
        <f>UPPER(IF(PLANPRODUCCION[[#This Row],[FECHA]]&lt;=45701,_xlfn.CONCAT(TEXT(B207,"MMM"),"-",IF(ROW(A207)&lt;11,"000"&amp;ROW(A207)-1,IF(ROW(A207)&lt;101,"00"&amp;ROW(A207)-1,IF(ROW(A207)&lt;1001,"0"&amp;ROW(A207)-1,ROW(A207)-1))),"-OLD"),_xlfn.CONCAT(TEXT(B207,"MMM"),"-",IF(ROW(A207)&lt;473,"000"&amp;ROW(A207)-463,IF(ROW(A207)&lt;563,"00"&amp;ROW(A207)-463,IF(ROW(A207)&lt;1001,"0"&amp;ROW(A207)-463,ROW(A207)-463))))))</f>
        <v>ENE-0206-OLD</v>
      </c>
      <c r="B207" s="1">
        <v>45677</v>
      </c>
      <c r="C207" s="5"/>
      <c r="D207" s="5"/>
      <c r="E207" t="s">
        <v>67</v>
      </c>
      <c r="F207" s="32"/>
      <c r="G207" s="32"/>
      <c r="H207" s="5">
        <v>1541</v>
      </c>
      <c r="I207" t="s">
        <v>285</v>
      </c>
      <c r="J207" t="s">
        <v>286</v>
      </c>
      <c r="K207" s="5"/>
      <c r="L207" s="10" t="s">
        <v>83</v>
      </c>
      <c r="M207" s="49">
        <v>17.8</v>
      </c>
      <c r="N207" s="34">
        <f>PLANPRODUCCION[[#This Row],[PIEZAS PLANEADAS]]*PLANPRODUCCION[[#This Row],[PRECIO MAQUILAS]]</f>
        <v>0</v>
      </c>
      <c r="O207" s="5">
        <v>4</v>
      </c>
      <c r="P207" s="2">
        <v>0.52430555555555558</v>
      </c>
      <c r="Q207" s="2">
        <v>0.75</v>
      </c>
      <c r="R207" s="24">
        <v>189</v>
      </c>
      <c r="S207" s="35">
        <f>PLANPRODUCCION[[#This Row],[PRECIO MAQUILAS]]*PLANPRODUCCION[[#This Row],[PIEZAS REAL]]</f>
        <v>3364.2000000000003</v>
      </c>
      <c r="T20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0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0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1343.3333333333333</v>
      </c>
      <c r="W20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2020.866666666667</v>
      </c>
      <c r="X207" s="8"/>
      <c r="Y20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0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0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07" s="13" t="e">
        <f>IF(PLANPRODUCCION[[#This Row],[PIEZAS REAL]]&gt;0,PLANPRODUCCION[[#This Row],[PIEZAS REAL]]/PLANPRODUCCION[[#This Row],[PIEZAS ACTUALIZADO]],)</f>
        <v>#DIV/0!</v>
      </c>
      <c r="AC207" s="10" t="b">
        <f>PLANPRODUCCION[[#This Row],[INGRESO PLANEADO]]&lt;PLANPRODUCCION[[#This Row],[COSTO PLANEADO]]</f>
        <v>0</v>
      </c>
      <c r="AD207" s="46" t="s">
        <v>315</v>
      </c>
      <c r="AE207" s="10"/>
      <c r="AF207" s="10" t="b">
        <f>IF(COUNTIF(PLANPRODUCCION[[#This Row],[OBSERVACIONES]],"NO APLICA BONO*")&gt;0,TRUE,FALSE)</f>
        <v>0</v>
      </c>
    </row>
    <row r="208" spans="1:32" x14ac:dyDescent="0.25">
      <c r="A208" s="46" t="str">
        <f>UPPER(IF(PLANPRODUCCION[[#This Row],[FECHA]]&lt;=45701,_xlfn.CONCAT(TEXT(B208,"MMM"),"-",IF(ROW(A208)&lt;11,"000"&amp;ROW(A208)-1,IF(ROW(A208)&lt;101,"00"&amp;ROW(A208)-1,IF(ROW(A208)&lt;1001,"0"&amp;ROW(A208)-1,ROW(A208)-1))),"-OLD"),_xlfn.CONCAT(TEXT(B208,"MMM"),"-",IF(ROW(A208)&lt;473,"000"&amp;ROW(A208)-463,IF(ROW(A208)&lt;563,"00"&amp;ROW(A208)-463,IF(ROW(A208)&lt;1001,"0"&amp;ROW(A208)-463,ROW(A208)-463))))))</f>
        <v>ENE-0207-OLD</v>
      </c>
      <c r="B208" s="1">
        <v>45677</v>
      </c>
      <c r="C208" s="5"/>
      <c r="D208" s="5"/>
      <c r="E208" t="s">
        <v>72</v>
      </c>
      <c r="F208" s="32"/>
      <c r="G208" s="32"/>
      <c r="H208" s="5">
        <v>1541</v>
      </c>
      <c r="I208" t="s">
        <v>285</v>
      </c>
      <c r="J208" t="s">
        <v>286</v>
      </c>
      <c r="K208" s="5"/>
      <c r="L208" s="10" t="s">
        <v>83</v>
      </c>
      <c r="M208" s="49">
        <v>17.8</v>
      </c>
      <c r="N208" s="34">
        <f>PLANPRODUCCION[[#This Row],[PIEZAS PLANEADAS]]*PLANPRODUCCION[[#This Row],[PRECIO MAQUILAS]]</f>
        <v>0</v>
      </c>
      <c r="O208" s="5">
        <v>2</v>
      </c>
      <c r="P208" s="2">
        <v>0.66666666666666663</v>
      </c>
      <c r="Q208" s="2">
        <v>0.875</v>
      </c>
      <c r="R208" s="24">
        <v>72</v>
      </c>
      <c r="S208" s="35">
        <f>PLANPRODUCCION[[#This Row],[PRECIO MAQUILAS]]*PLANPRODUCCION[[#This Row],[PIEZAS REAL]]</f>
        <v>1281.6000000000001</v>
      </c>
      <c r="T20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0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0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20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661.60000000000014</v>
      </c>
      <c r="X208" s="8"/>
      <c r="Y20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0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0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08" s="13" t="e">
        <f>IF(PLANPRODUCCION[[#This Row],[PIEZAS REAL]]&gt;0,PLANPRODUCCION[[#This Row],[PIEZAS REAL]]/PLANPRODUCCION[[#This Row],[PIEZAS ACTUALIZADO]],)</f>
        <v>#DIV/0!</v>
      </c>
      <c r="AC208" s="10" t="b">
        <f>PLANPRODUCCION[[#This Row],[INGRESO PLANEADO]]&lt;PLANPRODUCCION[[#This Row],[COSTO PLANEADO]]</f>
        <v>0</v>
      </c>
      <c r="AD208" s="46" t="s">
        <v>316</v>
      </c>
      <c r="AE208" s="10"/>
      <c r="AF208" s="10" t="b">
        <f>IF(COUNTIF(PLANPRODUCCION[[#This Row],[OBSERVACIONES]],"NO APLICA BONO*")&gt;0,TRUE,FALSE)</f>
        <v>0</v>
      </c>
    </row>
    <row r="209" spans="1:32" x14ac:dyDescent="0.25">
      <c r="A209" s="46" t="str">
        <f>UPPER(IF(PLANPRODUCCION[[#This Row],[FECHA]]&lt;=45701,_xlfn.CONCAT(TEXT(B209,"MMM"),"-",IF(ROW(A209)&lt;11,"000"&amp;ROW(A209)-1,IF(ROW(A209)&lt;101,"00"&amp;ROW(A209)-1,IF(ROW(A209)&lt;1001,"0"&amp;ROW(A209)-1,ROW(A209)-1))),"-OLD"),_xlfn.CONCAT(TEXT(B209,"MMM"),"-",IF(ROW(A209)&lt;473,"000"&amp;ROW(A209)-463,IF(ROW(A209)&lt;563,"00"&amp;ROW(A209)-463,IF(ROW(A209)&lt;1001,"0"&amp;ROW(A209)-463,ROW(A209)-463))))))</f>
        <v>ENE-0208-OLD</v>
      </c>
      <c r="B209" s="1">
        <v>45677</v>
      </c>
      <c r="C209" s="5"/>
      <c r="D209" s="5"/>
      <c r="E209" t="s">
        <v>72</v>
      </c>
      <c r="F209" s="32"/>
      <c r="G209" s="32"/>
      <c r="H209" s="5">
        <v>1541</v>
      </c>
      <c r="I209" t="s">
        <v>285</v>
      </c>
      <c r="J209" t="s">
        <v>286</v>
      </c>
      <c r="K209" s="5"/>
      <c r="L209" s="10" t="s">
        <v>83</v>
      </c>
      <c r="M209" s="49">
        <v>17.8</v>
      </c>
      <c r="N209" s="34">
        <f>PLANPRODUCCION[[#This Row],[PIEZAS PLANEADAS]]*PLANPRODUCCION[[#This Row],[PRECIO MAQUILAS]]</f>
        <v>0</v>
      </c>
      <c r="O209" s="5">
        <v>2</v>
      </c>
      <c r="P209" s="2">
        <v>0.66666666666666663</v>
      </c>
      <c r="Q209" s="2">
        <v>0.875</v>
      </c>
      <c r="R209" s="24">
        <v>83</v>
      </c>
      <c r="S209" s="35">
        <f>PLANPRODUCCION[[#This Row],[PRECIO MAQUILAS]]*PLANPRODUCCION[[#This Row],[PIEZAS REAL]]</f>
        <v>1477.4</v>
      </c>
      <c r="T20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0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0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20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857.40000000000009</v>
      </c>
      <c r="X209" s="8"/>
      <c r="Y20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0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0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09" s="13" t="e">
        <f>IF(PLANPRODUCCION[[#This Row],[PIEZAS REAL]]&gt;0,PLANPRODUCCION[[#This Row],[PIEZAS REAL]]/PLANPRODUCCION[[#This Row],[PIEZAS ACTUALIZADO]],)</f>
        <v>#DIV/0!</v>
      </c>
      <c r="AC209" s="10" t="b">
        <f>PLANPRODUCCION[[#This Row],[INGRESO PLANEADO]]&lt;PLANPRODUCCION[[#This Row],[COSTO PLANEADO]]</f>
        <v>0</v>
      </c>
      <c r="AD209" s="46" t="s">
        <v>317</v>
      </c>
      <c r="AE209" s="10"/>
      <c r="AF209" s="10" t="b">
        <f>IF(COUNTIF(PLANPRODUCCION[[#This Row],[OBSERVACIONES]],"NO APLICA BONO*")&gt;0,TRUE,FALSE)</f>
        <v>0</v>
      </c>
    </row>
    <row r="210" spans="1:32" x14ac:dyDescent="0.25">
      <c r="A210" s="46" t="str">
        <f>UPPER(IF(PLANPRODUCCION[[#This Row],[FECHA]]&lt;=45701,_xlfn.CONCAT(TEXT(B210,"MMM"),"-",IF(ROW(A210)&lt;11,"000"&amp;ROW(A210)-1,IF(ROW(A210)&lt;101,"00"&amp;ROW(A210)-1,IF(ROW(A210)&lt;1001,"0"&amp;ROW(A210)-1,ROW(A210)-1))),"-OLD"),_xlfn.CONCAT(TEXT(B210,"MMM"),"-",IF(ROW(A210)&lt;473,"000"&amp;ROW(A210)-463,IF(ROW(A210)&lt;563,"00"&amp;ROW(A210)-463,IF(ROW(A210)&lt;1001,"0"&amp;ROW(A210)-463,ROW(A210)-463))))))</f>
        <v>ENE-0209-OLD</v>
      </c>
      <c r="B210" s="1">
        <v>45677</v>
      </c>
      <c r="C210" s="5"/>
      <c r="D210" s="5"/>
      <c r="E210" t="s">
        <v>72</v>
      </c>
      <c r="F210" s="32"/>
      <c r="G210" s="32"/>
      <c r="H210" s="5">
        <v>1541</v>
      </c>
      <c r="I210" t="s">
        <v>285</v>
      </c>
      <c r="J210" t="s">
        <v>286</v>
      </c>
      <c r="K210" s="5"/>
      <c r="L210" s="10" t="s">
        <v>83</v>
      </c>
      <c r="M210" s="49">
        <v>17.8</v>
      </c>
      <c r="N210" s="34">
        <f>PLANPRODUCCION[[#This Row],[PIEZAS PLANEADAS]]*PLANPRODUCCION[[#This Row],[PRECIO MAQUILAS]]</f>
        <v>0</v>
      </c>
      <c r="O210" s="5">
        <v>3</v>
      </c>
      <c r="P210" s="2">
        <v>0.66666666666666663</v>
      </c>
      <c r="Q210" s="2">
        <v>0.875</v>
      </c>
      <c r="R210" s="24">
        <v>101</v>
      </c>
      <c r="S210" s="35">
        <f>PLANPRODUCCION[[#This Row],[PRECIO MAQUILAS]]*PLANPRODUCCION[[#This Row],[PIEZAS REAL]]</f>
        <v>1797.8000000000002</v>
      </c>
      <c r="T21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1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1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21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867.80000000000018</v>
      </c>
      <c r="X210" s="8"/>
      <c r="Y21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1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1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10" s="13" t="e">
        <f>IF(PLANPRODUCCION[[#This Row],[PIEZAS REAL]]&gt;0,PLANPRODUCCION[[#This Row],[PIEZAS REAL]]/PLANPRODUCCION[[#This Row],[PIEZAS ACTUALIZADO]],)</f>
        <v>#DIV/0!</v>
      </c>
      <c r="AC210" s="10" t="b">
        <f>PLANPRODUCCION[[#This Row],[INGRESO PLANEADO]]&lt;PLANPRODUCCION[[#This Row],[COSTO PLANEADO]]</f>
        <v>0</v>
      </c>
      <c r="AD210" s="46" t="s">
        <v>318</v>
      </c>
      <c r="AE210" s="10"/>
      <c r="AF210" s="10" t="b">
        <f>IF(COUNTIF(PLANPRODUCCION[[#This Row],[OBSERVACIONES]],"NO APLICA BONO*")&gt;0,TRUE,FALSE)</f>
        <v>0</v>
      </c>
    </row>
    <row r="211" spans="1:32" x14ac:dyDescent="0.25">
      <c r="A211" s="46" t="str">
        <f>UPPER(IF(PLANPRODUCCION[[#This Row],[FECHA]]&lt;=45701,_xlfn.CONCAT(TEXT(B211,"MMM"),"-",IF(ROW(A211)&lt;11,"000"&amp;ROW(A211)-1,IF(ROW(A211)&lt;101,"00"&amp;ROW(A211)-1,IF(ROW(A211)&lt;1001,"0"&amp;ROW(A211)-1,ROW(A211)-1))),"-OLD"),_xlfn.CONCAT(TEXT(B211,"MMM"),"-",IF(ROW(A211)&lt;473,"000"&amp;ROW(A211)-463,IF(ROW(A211)&lt;563,"00"&amp;ROW(A211)-463,IF(ROW(A211)&lt;1001,"0"&amp;ROW(A211)-463,ROW(A211)-463))))))</f>
        <v>ENE-0210-OLD</v>
      </c>
      <c r="B211" s="1">
        <v>45678</v>
      </c>
      <c r="C211" s="5"/>
      <c r="D211" s="5"/>
      <c r="E211" t="s">
        <v>54</v>
      </c>
      <c r="F211" s="32"/>
      <c r="G211" s="32"/>
      <c r="H211" s="5">
        <v>1541</v>
      </c>
      <c r="I211" t="s">
        <v>285</v>
      </c>
      <c r="J211" t="s">
        <v>286</v>
      </c>
      <c r="K211" s="5"/>
      <c r="L211" s="10" t="s">
        <v>83</v>
      </c>
      <c r="M211" s="49">
        <v>17.8</v>
      </c>
      <c r="N211" s="34">
        <f>PLANPRODUCCION[[#This Row],[PIEZAS PLANEADAS]]*PLANPRODUCCION[[#This Row],[PRECIO MAQUILAS]]</f>
        <v>0</v>
      </c>
      <c r="O211" s="5">
        <v>3</v>
      </c>
      <c r="P211" s="2">
        <v>0.25</v>
      </c>
      <c r="Q211" s="2">
        <v>0.34722222222222221</v>
      </c>
      <c r="R211" s="24">
        <v>56</v>
      </c>
      <c r="S211" s="35">
        <f>PLANPRODUCCION[[#This Row],[PRECIO MAQUILAS]]*PLANPRODUCCION[[#This Row],[PIEZAS REAL]]</f>
        <v>996.80000000000007</v>
      </c>
      <c r="T21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1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1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434</v>
      </c>
      <c r="W21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562.80000000000007</v>
      </c>
      <c r="X211" s="8"/>
      <c r="Y21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1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1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11" s="13" t="e">
        <f>IF(PLANPRODUCCION[[#This Row],[PIEZAS REAL]]&gt;0,PLANPRODUCCION[[#This Row],[PIEZAS REAL]]/PLANPRODUCCION[[#This Row],[PIEZAS ACTUALIZADO]],)</f>
        <v>#DIV/0!</v>
      </c>
      <c r="AC211" s="10" t="b">
        <f>PLANPRODUCCION[[#This Row],[INGRESO PLANEADO]]&lt;PLANPRODUCCION[[#This Row],[COSTO PLANEADO]]</f>
        <v>0</v>
      </c>
      <c r="AD211" s="46" t="s">
        <v>319</v>
      </c>
      <c r="AE211" s="10"/>
      <c r="AF211" s="10" t="b">
        <f>IF(COUNTIF(PLANPRODUCCION[[#This Row],[OBSERVACIONES]],"NO APLICA BONO*")&gt;0,TRUE,FALSE)</f>
        <v>0</v>
      </c>
    </row>
    <row r="212" spans="1:32" x14ac:dyDescent="0.25">
      <c r="A212" s="46" t="str">
        <f>UPPER(IF(PLANPRODUCCION[[#This Row],[FECHA]]&lt;=45701,_xlfn.CONCAT(TEXT(B212,"MMM"),"-",IF(ROW(A212)&lt;11,"000"&amp;ROW(A212)-1,IF(ROW(A212)&lt;101,"00"&amp;ROW(A212)-1,IF(ROW(A212)&lt;1001,"0"&amp;ROW(A212)-1,ROW(A212)-1))),"-OLD"),_xlfn.CONCAT(TEXT(B212,"MMM"),"-",IF(ROW(A212)&lt;473,"000"&amp;ROW(A212)-463,IF(ROW(A212)&lt;563,"00"&amp;ROW(A212)-463,IF(ROW(A212)&lt;1001,"0"&amp;ROW(A212)-463,ROW(A212)-463))))))</f>
        <v>ENE-0211-OLD</v>
      </c>
      <c r="B212" s="1">
        <v>45678</v>
      </c>
      <c r="C212" s="5"/>
      <c r="D212" s="5"/>
      <c r="E212" t="s">
        <v>54</v>
      </c>
      <c r="F212" s="32"/>
      <c r="G212" s="32"/>
      <c r="H212" s="5">
        <v>1541</v>
      </c>
      <c r="I212" t="s">
        <v>285</v>
      </c>
      <c r="J212" t="s">
        <v>286</v>
      </c>
      <c r="K212" s="5"/>
      <c r="L212" s="10" t="s">
        <v>83</v>
      </c>
      <c r="M212" s="49">
        <v>17.8</v>
      </c>
      <c r="N212" s="34">
        <f>PLANPRODUCCION[[#This Row],[PIEZAS PLANEADAS]]*PLANPRODUCCION[[#This Row],[PRECIO MAQUILAS]]</f>
        <v>0</v>
      </c>
      <c r="O212" s="5">
        <v>3</v>
      </c>
      <c r="P212" s="2">
        <v>0.25</v>
      </c>
      <c r="Q212" s="2">
        <v>0.34305555555555556</v>
      </c>
      <c r="R212" s="24">
        <v>57</v>
      </c>
      <c r="S212" s="35">
        <f>PLANPRODUCCION[[#This Row],[PRECIO MAQUILAS]]*PLANPRODUCCION[[#This Row],[PIEZAS REAL]]</f>
        <v>1014.6</v>
      </c>
      <c r="T21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1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1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415.4</v>
      </c>
      <c r="W21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599.20000000000005</v>
      </c>
      <c r="X212" s="8"/>
      <c r="Y21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1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1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12" s="13" t="e">
        <f>IF(PLANPRODUCCION[[#This Row],[PIEZAS REAL]]&gt;0,PLANPRODUCCION[[#This Row],[PIEZAS REAL]]/PLANPRODUCCION[[#This Row],[PIEZAS ACTUALIZADO]],)</f>
        <v>#DIV/0!</v>
      </c>
      <c r="AC212" s="10" t="b">
        <f>PLANPRODUCCION[[#This Row],[INGRESO PLANEADO]]&lt;PLANPRODUCCION[[#This Row],[COSTO PLANEADO]]</f>
        <v>0</v>
      </c>
      <c r="AD212" s="46" t="s">
        <v>320</v>
      </c>
      <c r="AE212" s="10"/>
      <c r="AF212" s="10" t="b">
        <f>IF(COUNTIF(PLANPRODUCCION[[#This Row],[OBSERVACIONES]],"NO APLICA BONO*")&gt;0,TRUE,FALSE)</f>
        <v>0</v>
      </c>
    </row>
    <row r="213" spans="1:32" x14ac:dyDescent="0.25">
      <c r="A213" s="46" t="str">
        <f>UPPER(IF(PLANPRODUCCION[[#This Row],[FECHA]]&lt;=45701,_xlfn.CONCAT(TEXT(B213,"MMM"),"-",IF(ROW(A213)&lt;11,"000"&amp;ROW(A213)-1,IF(ROW(A213)&lt;101,"00"&amp;ROW(A213)-1,IF(ROW(A213)&lt;1001,"0"&amp;ROW(A213)-1,ROW(A213)-1))),"-OLD"),_xlfn.CONCAT(TEXT(B213,"MMM"),"-",IF(ROW(A213)&lt;473,"000"&amp;ROW(A213)-463,IF(ROW(A213)&lt;563,"00"&amp;ROW(A213)-463,IF(ROW(A213)&lt;1001,"0"&amp;ROW(A213)-463,ROW(A213)-463))))))</f>
        <v>ENE-0212-OLD</v>
      </c>
      <c r="B213" s="1">
        <v>45678</v>
      </c>
      <c r="C213" s="5"/>
      <c r="D213" s="5"/>
      <c r="E213" t="s">
        <v>54</v>
      </c>
      <c r="F213" s="32"/>
      <c r="G213" s="32"/>
      <c r="H213" s="5">
        <v>1541</v>
      </c>
      <c r="I213" t="s">
        <v>285</v>
      </c>
      <c r="J213" t="s">
        <v>286</v>
      </c>
      <c r="K213" s="5"/>
      <c r="L213" s="10" t="s">
        <v>83</v>
      </c>
      <c r="M213" s="49">
        <v>17.8</v>
      </c>
      <c r="N213" s="34">
        <f>PLANPRODUCCION[[#This Row],[PIEZAS PLANEADAS]]*PLANPRODUCCION[[#This Row],[PRECIO MAQUILAS]]</f>
        <v>0</v>
      </c>
      <c r="O213" s="5">
        <v>4</v>
      </c>
      <c r="P213" s="2">
        <v>0.25</v>
      </c>
      <c r="Q213" s="2">
        <v>0.33333333333333331</v>
      </c>
      <c r="R213" s="24">
        <v>68</v>
      </c>
      <c r="S213" s="35">
        <f>PLANPRODUCCION[[#This Row],[PRECIO MAQUILAS]]*PLANPRODUCCION[[#This Row],[PIEZAS REAL]]</f>
        <v>1210.4000000000001</v>
      </c>
      <c r="T21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1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1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496</v>
      </c>
      <c r="W21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714.40000000000009</v>
      </c>
      <c r="X213" s="8"/>
      <c r="Y21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1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1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13" s="13" t="e">
        <f>IF(PLANPRODUCCION[[#This Row],[PIEZAS REAL]]&gt;0,PLANPRODUCCION[[#This Row],[PIEZAS REAL]]/PLANPRODUCCION[[#This Row],[PIEZAS ACTUALIZADO]],)</f>
        <v>#DIV/0!</v>
      </c>
      <c r="AC213" s="10" t="b">
        <f>PLANPRODUCCION[[#This Row],[INGRESO PLANEADO]]&lt;PLANPRODUCCION[[#This Row],[COSTO PLANEADO]]</f>
        <v>0</v>
      </c>
      <c r="AD213" s="46" t="s">
        <v>321</v>
      </c>
      <c r="AE213" s="10"/>
      <c r="AF213" s="10" t="b">
        <f>IF(COUNTIF(PLANPRODUCCION[[#This Row],[OBSERVACIONES]],"NO APLICA BONO*")&gt;0,TRUE,FALSE)</f>
        <v>0</v>
      </c>
    </row>
    <row r="214" spans="1:32" x14ac:dyDescent="0.25">
      <c r="A214" s="46" t="str">
        <f>UPPER(IF(PLANPRODUCCION[[#This Row],[FECHA]]&lt;=45701,_xlfn.CONCAT(TEXT(B214,"MMM"),"-",IF(ROW(A214)&lt;11,"000"&amp;ROW(A214)-1,IF(ROW(A214)&lt;101,"00"&amp;ROW(A214)-1,IF(ROW(A214)&lt;1001,"0"&amp;ROW(A214)-1,ROW(A214)-1))),"-OLD"),_xlfn.CONCAT(TEXT(B214,"MMM"),"-",IF(ROW(A214)&lt;473,"000"&amp;ROW(A214)-463,IF(ROW(A214)&lt;563,"00"&amp;ROW(A214)-463,IF(ROW(A214)&lt;1001,"0"&amp;ROW(A214)-463,ROW(A214)-463))))))</f>
        <v>ENE-0213-OLD</v>
      </c>
      <c r="B214" s="1">
        <v>45678</v>
      </c>
      <c r="C214" s="5"/>
      <c r="D214" s="5"/>
      <c r="E214" t="s">
        <v>54</v>
      </c>
      <c r="F214" s="32"/>
      <c r="G214" s="32"/>
      <c r="H214" s="5">
        <v>1541</v>
      </c>
      <c r="I214" t="s">
        <v>285</v>
      </c>
      <c r="J214" t="s">
        <v>286</v>
      </c>
      <c r="K214" s="5"/>
      <c r="L214" s="10" t="s">
        <v>83</v>
      </c>
      <c r="M214" s="49">
        <v>17.8</v>
      </c>
      <c r="N214" s="34">
        <f>PLANPRODUCCION[[#This Row],[PIEZAS PLANEADAS]]*PLANPRODUCCION[[#This Row],[PRECIO MAQUILAS]]</f>
        <v>0</v>
      </c>
      <c r="O214" s="5">
        <v>4</v>
      </c>
      <c r="P214" s="2">
        <v>0.25</v>
      </c>
      <c r="Q214" s="2">
        <v>0.33888888888888891</v>
      </c>
      <c r="R214" s="24">
        <v>73</v>
      </c>
      <c r="S214" s="35">
        <f>PLANPRODUCCION[[#This Row],[PRECIO MAQUILAS]]*PLANPRODUCCION[[#This Row],[PIEZAS REAL]]</f>
        <v>1299.4000000000001</v>
      </c>
      <c r="T21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1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1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529.06666666666672</v>
      </c>
      <c r="W21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770.33333333333337</v>
      </c>
      <c r="X214" s="8"/>
      <c r="Y21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1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1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14" s="13" t="e">
        <f>IF(PLANPRODUCCION[[#This Row],[PIEZAS REAL]]&gt;0,PLANPRODUCCION[[#This Row],[PIEZAS REAL]]/PLANPRODUCCION[[#This Row],[PIEZAS ACTUALIZADO]],)</f>
        <v>#DIV/0!</v>
      </c>
      <c r="AC214" s="10" t="b">
        <f>PLANPRODUCCION[[#This Row],[INGRESO PLANEADO]]&lt;PLANPRODUCCION[[#This Row],[COSTO PLANEADO]]</f>
        <v>0</v>
      </c>
      <c r="AD214" s="46" t="s">
        <v>322</v>
      </c>
      <c r="AE214" s="10"/>
      <c r="AF214" s="10" t="b">
        <f>IF(COUNTIF(PLANPRODUCCION[[#This Row],[OBSERVACIONES]],"NO APLICA BONO*")&gt;0,TRUE,FALSE)</f>
        <v>0</v>
      </c>
    </row>
    <row r="215" spans="1:32" x14ac:dyDescent="0.25">
      <c r="A215" s="46" t="str">
        <f>UPPER(IF(PLANPRODUCCION[[#This Row],[FECHA]]&lt;=45701,_xlfn.CONCAT(TEXT(B215,"MMM"),"-",IF(ROW(A215)&lt;11,"000"&amp;ROW(A215)-1,IF(ROW(A215)&lt;101,"00"&amp;ROW(A215)-1,IF(ROW(A215)&lt;1001,"0"&amp;ROW(A215)-1,ROW(A215)-1))),"-OLD"),_xlfn.CONCAT(TEXT(B215,"MMM"),"-",IF(ROW(A215)&lt;473,"000"&amp;ROW(A215)-463,IF(ROW(A215)&lt;563,"00"&amp;ROW(A215)-463,IF(ROW(A215)&lt;1001,"0"&amp;ROW(A215)-463,ROW(A215)-463))))))</f>
        <v>ENE-0214-OLD</v>
      </c>
      <c r="B215" s="1">
        <v>45678</v>
      </c>
      <c r="C215" s="5"/>
      <c r="D215" s="5"/>
      <c r="E215" t="s">
        <v>54</v>
      </c>
      <c r="F215" s="32"/>
      <c r="G215" s="32"/>
      <c r="H215" s="5">
        <v>1541</v>
      </c>
      <c r="I215" t="s">
        <v>285</v>
      </c>
      <c r="J215" t="s">
        <v>286</v>
      </c>
      <c r="K215" s="5"/>
      <c r="L215" s="10" t="s">
        <v>83</v>
      </c>
      <c r="M215" s="49">
        <v>17.8</v>
      </c>
      <c r="N215" s="34">
        <f>PLANPRODUCCION[[#This Row],[PIEZAS PLANEADAS]]*PLANPRODUCCION[[#This Row],[PRECIO MAQUILAS]]</f>
        <v>0</v>
      </c>
      <c r="O215" s="5">
        <v>3</v>
      </c>
      <c r="P215" s="2">
        <v>0.25</v>
      </c>
      <c r="Q215" s="2">
        <v>0.33333333333333331</v>
      </c>
      <c r="R215" s="24">
        <v>53</v>
      </c>
      <c r="S215" s="35">
        <f>PLANPRODUCCION[[#This Row],[PRECIO MAQUILAS]]*PLANPRODUCCION[[#This Row],[PIEZAS REAL]]</f>
        <v>943.40000000000009</v>
      </c>
      <c r="T21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1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1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21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571.40000000000009</v>
      </c>
      <c r="X215" s="8"/>
      <c r="Y21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1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1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15" s="13" t="e">
        <f>IF(PLANPRODUCCION[[#This Row],[PIEZAS REAL]]&gt;0,PLANPRODUCCION[[#This Row],[PIEZAS REAL]]/PLANPRODUCCION[[#This Row],[PIEZAS ACTUALIZADO]],)</f>
        <v>#DIV/0!</v>
      </c>
      <c r="AC215" s="10" t="b">
        <f>PLANPRODUCCION[[#This Row],[INGRESO PLANEADO]]&lt;PLANPRODUCCION[[#This Row],[COSTO PLANEADO]]</f>
        <v>0</v>
      </c>
      <c r="AD215" s="46" t="s">
        <v>323</v>
      </c>
      <c r="AE215" s="10"/>
      <c r="AF215" s="10" t="b">
        <f>IF(COUNTIF(PLANPRODUCCION[[#This Row],[OBSERVACIONES]],"NO APLICA BONO*")&gt;0,TRUE,FALSE)</f>
        <v>0</v>
      </c>
    </row>
    <row r="216" spans="1:32" x14ac:dyDescent="0.25">
      <c r="A216" s="46" t="str">
        <f>UPPER(IF(PLANPRODUCCION[[#This Row],[FECHA]]&lt;=45701,_xlfn.CONCAT(TEXT(B216,"MMM"),"-",IF(ROW(A216)&lt;11,"000"&amp;ROW(A216)-1,IF(ROW(A216)&lt;101,"00"&amp;ROW(A216)-1,IF(ROW(A216)&lt;1001,"0"&amp;ROW(A216)-1,ROW(A216)-1))),"-OLD"),_xlfn.CONCAT(TEXT(B216,"MMM"),"-",IF(ROW(A216)&lt;473,"000"&amp;ROW(A216)-463,IF(ROW(A216)&lt;563,"00"&amp;ROW(A216)-463,IF(ROW(A216)&lt;1001,"0"&amp;ROW(A216)-463,ROW(A216)-463))))))</f>
        <v>ENE-0215-OLD</v>
      </c>
      <c r="B216" s="1">
        <v>45678</v>
      </c>
      <c r="C216" s="5"/>
      <c r="D216" s="5"/>
      <c r="E216" t="s">
        <v>54</v>
      </c>
      <c r="F216" s="32"/>
      <c r="G216" s="32"/>
      <c r="H216" s="5">
        <v>1539</v>
      </c>
      <c r="I216" t="s">
        <v>324</v>
      </c>
      <c r="J216" t="s">
        <v>325</v>
      </c>
      <c r="K216" s="5"/>
      <c r="L216" s="10" t="s">
        <v>83</v>
      </c>
      <c r="M216" s="49">
        <v>4.2</v>
      </c>
      <c r="N216" s="34">
        <f>PLANPRODUCCION[[#This Row],[PIEZAS PLANEADAS]]*PLANPRODUCCION[[#This Row],[PRECIO MAQUILAS]]</f>
        <v>0</v>
      </c>
      <c r="O216" s="5">
        <v>17</v>
      </c>
      <c r="P216" s="2">
        <v>0.36458333333333331</v>
      </c>
      <c r="Q216" s="2">
        <v>0.44444444444444442</v>
      </c>
      <c r="R216" s="24">
        <v>1920</v>
      </c>
      <c r="S216" s="35">
        <f>PLANPRODUCCION[[#This Row],[PRECIO MAQUILAS]]*PLANPRODUCCION[[#This Row],[PIEZAS REAL]]</f>
        <v>8064</v>
      </c>
      <c r="T21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1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1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2020.1666666666667</v>
      </c>
      <c r="W21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6043.833333333333</v>
      </c>
      <c r="X216" s="8"/>
      <c r="Y21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1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1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16" s="13" t="e">
        <f>IF(PLANPRODUCCION[[#This Row],[PIEZAS REAL]]&gt;0,PLANPRODUCCION[[#This Row],[PIEZAS REAL]]/PLANPRODUCCION[[#This Row],[PIEZAS ACTUALIZADO]],)</f>
        <v>#DIV/0!</v>
      </c>
      <c r="AC216" s="10" t="b">
        <f>PLANPRODUCCION[[#This Row],[INGRESO PLANEADO]]&lt;PLANPRODUCCION[[#This Row],[COSTO PLANEADO]]</f>
        <v>0</v>
      </c>
      <c r="AD216" s="46" t="s">
        <v>326</v>
      </c>
      <c r="AE216" s="10"/>
      <c r="AF216" s="10" t="b">
        <f>IF(COUNTIF(PLANPRODUCCION[[#This Row],[OBSERVACIONES]],"NO APLICA BONO*")&gt;0,TRUE,FALSE)</f>
        <v>0</v>
      </c>
    </row>
    <row r="217" spans="1:32" x14ac:dyDescent="0.25">
      <c r="A217" s="46" t="str">
        <f>UPPER(IF(PLANPRODUCCION[[#This Row],[FECHA]]&lt;=45701,_xlfn.CONCAT(TEXT(B217,"MMM"),"-",IF(ROW(A217)&lt;11,"000"&amp;ROW(A217)-1,IF(ROW(A217)&lt;101,"00"&amp;ROW(A217)-1,IF(ROW(A217)&lt;1001,"0"&amp;ROW(A217)-1,ROW(A217)-1))),"-OLD"),_xlfn.CONCAT(TEXT(B217,"MMM"),"-",IF(ROW(A217)&lt;473,"000"&amp;ROW(A217)-463,IF(ROW(A217)&lt;563,"00"&amp;ROW(A217)-463,IF(ROW(A217)&lt;1001,"0"&amp;ROW(A217)-463,ROW(A217)-463))))))</f>
        <v>ENE-0216-OLD</v>
      </c>
      <c r="B217" s="1">
        <v>45678</v>
      </c>
      <c r="C217" s="5"/>
      <c r="D217" s="5"/>
      <c r="E217" t="s">
        <v>54</v>
      </c>
      <c r="F217" s="32"/>
      <c r="G217" s="32"/>
      <c r="H217" s="5">
        <v>1542</v>
      </c>
      <c r="I217" t="s">
        <v>327</v>
      </c>
      <c r="J217" t="s">
        <v>328</v>
      </c>
      <c r="K217" s="5"/>
      <c r="L217" s="10" t="s">
        <v>83</v>
      </c>
      <c r="M217" s="49">
        <v>15.9</v>
      </c>
      <c r="N217" s="34">
        <f>PLANPRODUCCION[[#This Row],[PIEZAS PLANEADAS]]*PLANPRODUCCION[[#This Row],[PRECIO MAQUILAS]]</f>
        <v>0</v>
      </c>
      <c r="O217" s="5">
        <v>3</v>
      </c>
      <c r="P217" s="2">
        <v>0.61805555555555558</v>
      </c>
      <c r="Q217" s="2">
        <v>0.66666666666666663</v>
      </c>
      <c r="R217" s="24">
        <v>130</v>
      </c>
      <c r="S217" s="35">
        <f>PLANPRODUCCION[[#This Row],[PRECIO MAQUILAS]]*PLANPRODUCCION[[#This Row],[PIEZAS REAL]]</f>
        <v>2067</v>
      </c>
      <c r="T21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1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1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217.00000000000003</v>
      </c>
      <c r="W21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1850</v>
      </c>
      <c r="X217" s="8"/>
      <c r="Y21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1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1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17" s="13" t="e">
        <f>IF(PLANPRODUCCION[[#This Row],[PIEZAS REAL]]&gt;0,PLANPRODUCCION[[#This Row],[PIEZAS REAL]]/PLANPRODUCCION[[#This Row],[PIEZAS ACTUALIZADO]],)</f>
        <v>#DIV/0!</v>
      </c>
      <c r="AC217" s="10" t="b">
        <f>PLANPRODUCCION[[#This Row],[INGRESO PLANEADO]]&lt;PLANPRODUCCION[[#This Row],[COSTO PLANEADO]]</f>
        <v>0</v>
      </c>
      <c r="AD217" s="46" t="s">
        <v>329</v>
      </c>
      <c r="AE217" s="10"/>
      <c r="AF217" s="10" t="b">
        <f>IF(COUNTIF(PLANPRODUCCION[[#This Row],[OBSERVACIONES]],"NO APLICA BONO*")&gt;0,TRUE,FALSE)</f>
        <v>0</v>
      </c>
    </row>
    <row r="218" spans="1:32" x14ac:dyDescent="0.25">
      <c r="A218" s="46" t="str">
        <f>UPPER(IF(PLANPRODUCCION[[#This Row],[FECHA]]&lt;=45701,_xlfn.CONCAT(TEXT(B218,"MMM"),"-",IF(ROW(A218)&lt;11,"000"&amp;ROW(A218)-1,IF(ROW(A218)&lt;101,"00"&amp;ROW(A218)-1,IF(ROW(A218)&lt;1001,"0"&amp;ROW(A218)-1,ROW(A218)-1))),"-OLD"),_xlfn.CONCAT(TEXT(B218,"MMM"),"-",IF(ROW(A218)&lt;473,"000"&amp;ROW(A218)-463,IF(ROW(A218)&lt;563,"00"&amp;ROW(A218)-463,IF(ROW(A218)&lt;1001,"0"&amp;ROW(A218)-463,ROW(A218)-463))))))</f>
        <v>ENE-0217-OLD</v>
      </c>
      <c r="B218" s="1">
        <v>45678</v>
      </c>
      <c r="C218" s="5"/>
      <c r="D218" s="5"/>
      <c r="E218" t="s">
        <v>67</v>
      </c>
      <c r="F218" s="32"/>
      <c r="G218" s="32"/>
      <c r="H218" s="5">
        <v>1542</v>
      </c>
      <c r="I218" t="s">
        <v>327</v>
      </c>
      <c r="J218" t="s">
        <v>328</v>
      </c>
      <c r="K218" s="5"/>
      <c r="L218" s="10" t="s">
        <v>83</v>
      </c>
      <c r="M218" s="49">
        <v>15.9</v>
      </c>
      <c r="N218" s="34">
        <f>PLANPRODUCCION[[#This Row],[PIEZAS PLANEADAS]]*PLANPRODUCCION[[#This Row],[PRECIO MAQUILAS]]</f>
        <v>0</v>
      </c>
      <c r="O218" s="5">
        <v>3</v>
      </c>
      <c r="P218" s="2">
        <v>0.38194444444444442</v>
      </c>
      <c r="Q218" s="2">
        <v>0.75</v>
      </c>
      <c r="R218" s="24">
        <v>180</v>
      </c>
      <c r="S218" s="35">
        <f>PLANPRODUCCION[[#This Row],[PRECIO MAQUILAS]]*PLANPRODUCCION[[#This Row],[PIEZAS REAL]]</f>
        <v>2862</v>
      </c>
      <c r="T21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1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1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1643</v>
      </c>
      <c r="W21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1219</v>
      </c>
      <c r="X218" s="8"/>
      <c r="Y21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1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1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18" s="13" t="e">
        <f>IF(PLANPRODUCCION[[#This Row],[PIEZAS REAL]]&gt;0,PLANPRODUCCION[[#This Row],[PIEZAS REAL]]/PLANPRODUCCION[[#This Row],[PIEZAS ACTUALIZADO]],)</f>
        <v>#DIV/0!</v>
      </c>
      <c r="AC218" s="10" t="b">
        <f>PLANPRODUCCION[[#This Row],[INGRESO PLANEADO]]&lt;PLANPRODUCCION[[#This Row],[COSTO PLANEADO]]</f>
        <v>0</v>
      </c>
      <c r="AD218" s="46" t="s">
        <v>330</v>
      </c>
      <c r="AE218" s="10"/>
      <c r="AF218" s="10" t="b">
        <f>IF(COUNTIF(PLANPRODUCCION[[#This Row],[OBSERVACIONES]],"NO APLICA BONO*")&gt;0,TRUE,FALSE)</f>
        <v>0</v>
      </c>
    </row>
    <row r="219" spans="1:32" x14ac:dyDescent="0.25">
      <c r="A219" s="46" t="str">
        <f>UPPER(IF(PLANPRODUCCION[[#This Row],[FECHA]]&lt;=45701,_xlfn.CONCAT(TEXT(B219,"MMM"),"-",IF(ROW(A219)&lt;11,"000"&amp;ROW(A219)-1,IF(ROW(A219)&lt;101,"00"&amp;ROW(A219)-1,IF(ROW(A219)&lt;1001,"0"&amp;ROW(A219)-1,ROW(A219)-1))),"-OLD"),_xlfn.CONCAT(TEXT(B219,"MMM"),"-",IF(ROW(A219)&lt;473,"000"&amp;ROW(A219)-463,IF(ROW(A219)&lt;563,"00"&amp;ROW(A219)-463,IF(ROW(A219)&lt;1001,"0"&amp;ROW(A219)-463,ROW(A219)-463))))))</f>
        <v>ENE-0218-OLD</v>
      </c>
      <c r="B219" s="1">
        <v>45678</v>
      </c>
      <c r="C219" s="5"/>
      <c r="D219" s="5"/>
      <c r="E219" t="s">
        <v>67</v>
      </c>
      <c r="F219" s="32"/>
      <c r="G219" s="32"/>
      <c r="H219" s="5">
        <v>1542</v>
      </c>
      <c r="I219" t="s">
        <v>327</v>
      </c>
      <c r="J219" t="s">
        <v>328</v>
      </c>
      <c r="K219" s="5"/>
      <c r="L219" s="10" t="s">
        <v>83</v>
      </c>
      <c r="M219" s="49">
        <v>15.9</v>
      </c>
      <c r="N219" s="34">
        <f>PLANPRODUCCION[[#This Row],[PIEZAS PLANEADAS]]*PLANPRODUCCION[[#This Row],[PRECIO MAQUILAS]]</f>
        <v>0</v>
      </c>
      <c r="O219" s="5">
        <v>3</v>
      </c>
      <c r="P219" s="2">
        <v>0.38194444444444442</v>
      </c>
      <c r="Q219" s="2">
        <v>0.75</v>
      </c>
      <c r="R219" s="24">
        <v>188</v>
      </c>
      <c r="S219" s="35">
        <f>PLANPRODUCCION[[#This Row],[PRECIO MAQUILAS]]*PLANPRODUCCION[[#This Row],[PIEZAS REAL]]</f>
        <v>2989.2000000000003</v>
      </c>
      <c r="T21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1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1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1643</v>
      </c>
      <c r="W21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1346.2000000000003</v>
      </c>
      <c r="X219" s="8"/>
      <c r="Y21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1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1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19" s="13" t="e">
        <f>IF(PLANPRODUCCION[[#This Row],[PIEZAS REAL]]&gt;0,PLANPRODUCCION[[#This Row],[PIEZAS REAL]]/PLANPRODUCCION[[#This Row],[PIEZAS ACTUALIZADO]],)</f>
        <v>#DIV/0!</v>
      </c>
      <c r="AC219" s="10" t="b">
        <f>PLANPRODUCCION[[#This Row],[INGRESO PLANEADO]]&lt;PLANPRODUCCION[[#This Row],[COSTO PLANEADO]]</f>
        <v>0</v>
      </c>
      <c r="AD219" s="46" t="s">
        <v>331</v>
      </c>
      <c r="AE219" s="10"/>
      <c r="AF219" s="10" t="b">
        <f>IF(COUNTIF(PLANPRODUCCION[[#This Row],[OBSERVACIONES]],"NO APLICA BONO*")&gt;0,TRUE,FALSE)</f>
        <v>0</v>
      </c>
    </row>
    <row r="220" spans="1:32" x14ac:dyDescent="0.25">
      <c r="A220" s="46" t="str">
        <f>UPPER(IF(PLANPRODUCCION[[#This Row],[FECHA]]&lt;=45701,_xlfn.CONCAT(TEXT(B220,"MMM"),"-",IF(ROW(A220)&lt;11,"000"&amp;ROW(A220)-1,IF(ROW(A220)&lt;101,"00"&amp;ROW(A220)-1,IF(ROW(A220)&lt;1001,"0"&amp;ROW(A220)-1,ROW(A220)-1))),"-OLD"),_xlfn.CONCAT(TEXT(B220,"MMM"),"-",IF(ROW(A220)&lt;473,"000"&amp;ROW(A220)-463,IF(ROW(A220)&lt;563,"00"&amp;ROW(A220)-463,IF(ROW(A220)&lt;1001,"0"&amp;ROW(A220)-463,ROW(A220)-463))))))</f>
        <v>ENE-0219-OLD</v>
      </c>
      <c r="B220" s="1">
        <v>45678</v>
      </c>
      <c r="C220" s="5"/>
      <c r="D220" s="5"/>
      <c r="E220" t="s">
        <v>67</v>
      </c>
      <c r="F220" s="32"/>
      <c r="G220" s="32"/>
      <c r="H220" s="5">
        <v>1542</v>
      </c>
      <c r="I220" t="s">
        <v>327</v>
      </c>
      <c r="J220" t="s">
        <v>328</v>
      </c>
      <c r="K220" s="5"/>
      <c r="L220" s="10" t="s">
        <v>83</v>
      </c>
      <c r="M220" s="49">
        <v>15.9</v>
      </c>
      <c r="N220" s="34">
        <f>PLANPRODUCCION[[#This Row],[PIEZAS PLANEADAS]]*PLANPRODUCCION[[#This Row],[PRECIO MAQUILAS]]</f>
        <v>0</v>
      </c>
      <c r="O220" s="5">
        <v>3</v>
      </c>
      <c r="P220" s="2">
        <v>0.38194444444444442</v>
      </c>
      <c r="Q220" s="2">
        <v>0.75</v>
      </c>
      <c r="R220" s="24">
        <v>170</v>
      </c>
      <c r="S220" s="35">
        <f>PLANPRODUCCION[[#This Row],[PRECIO MAQUILAS]]*PLANPRODUCCION[[#This Row],[PIEZAS REAL]]</f>
        <v>2703</v>
      </c>
      <c r="T22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2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2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1643</v>
      </c>
      <c r="W22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1060</v>
      </c>
      <c r="X220" s="8"/>
      <c r="Y22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2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2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20" s="13" t="e">
        <f>IF(PLANPRODUCCION[[#This Row],[PIEZAS REAL]]&gt;0,PLANPRODUCCION[[#This Row],[PIEZAS REAL]]/PLANPRODUCCION[[#This Row],[PIEZAS ACTUALIZADO]],)</f>
        <v>#DIV/0!</v>
      </c>
      <c r="AC220" s="10" t="b">
        <f>PLANPRODUCCION[[#This Row],[INGRESO PLANEADO]]&lt;PLANPRODUCCION[[#This Row],[COSTO PLANEADO]]</f>
        <v>0</v>
      </c>
      <c r="AD220" s="46" t="s">
        <v>332</v>
      </c>
      <c r="AE220" s="10"/>
      <c r="AF220" s="10" t="b">
        <f>IF(COUNTIF(PLANPRODUCCION[[#This Row],[OBSERVACIONES]],"NO APLICA BONO*")&gt;0,TRUE,FALSE)</f>
        <v>0</v>
      </c>
    </row>
    <row r="221" spans="1:32" x14ac:dyDescent="0.25">
      <c r="A221" s="46" t="str">
        <f>UPPER(IF(PLANPRODUCCION[[#This Row],[FECHA]]&lt;=45701,_xlfn.CONCAT(TEXT(B221,"MMM"),"-",IF(ROW(A221)&lt;11,"000"&amp;ROW(A221)-1,IF(ROW(A221)&lt;101,"00"&amp;ROW(A221)-1,IF(ROW(A221)&lt;1001,"0"&amp;ROW(A221)-1,ROW(A221)-1))),"-OLD"),_xlfn.CONCAT(TEXT(B221,"MMM"),"-",IF(ROW(A221)&lt;473,"000"&amp;ROW(A221)-463,IF(ROW(A221)&lt;563,"00"&amp;ROW(A221)-463,IF(ROW(A221)&lt;1001,"0"&amp;ROW(A221)-463,ROW(A221)-463))))))</f>
        <v>ENE-0220-OLD</v>
      </c>
      <c r="B221" s="1">
        <v>45678</v>
      </c>
      <c r="C221" s="5"/>
      <c r="D221" s="5"/>
      <c r="E221" t="s">
        <v>72</v>
      </c>
      <c r="F221" s="32"/>
      <c r="G221" s="32"/>
      <c r="H221" s="5">
        <v>1542</v>
      </c>
      <c r="I221" t="s">
        <v>327</v>
      </c>
      <c r="J221" t="s">
        <v>328</v>
      </c>
      <c r="K221" s="5"/>
      <c r="L221" s="10" t="s">
        <v>83</v>
      </c>
      <c r="M221" s="49">
        <v>15.9</v>
      </c>
      <c r="N221" s="34">
        <f>PLANPRODUCCION[[#This Row],[PIEZAS PLANEADAS]]*PLANPRODUCCION[[#This Row],[PRECIO MAQUILAS]]</f>
        <v>0</v>
      </c>
      <c r="O221" s="5">
        <v>3</v>
      </c>
      <c r="P221" s="2">
        <v>0.66666666666666663</v>
      </c>
      <c r="Q221" s="2">
        <v>0.875</v>
      </c>
      <c r="R221" s="24">
        <v>83</v>
      </c>
      <c r="S221" s="35">
        <f>PLANPRODUCCION[[#This Row],[PRECIO MAQUILAS]]*PLANPRODUCCION[[#This Row],[PIEZAS REAL]]</f>
        <v>1319.7</v>
      </c>
      <c r="T22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2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2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22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389.70000000000005</v>
      </c>
      <c r="X221" s="8"/>
      <c r="Y22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2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2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21" s="13" t="e">
        <f>IF(PLANPRODUCCION[[#This Row],[PIEZAS REAL]]&gt;0,PLANPRODUCCION[[#This Row],[PIEZAS REAL]]/PLANPRODUCCION[[#This Row],[PIEZAS ACTUALIZADO]],)</f>
        <v>#DIV/0!</v>
      </c>
      <c r="AC221" s="10" t="b">
        <f>PLANPRODUCCION[[#This Row],[INGRESO PLANEADO]]&lt;PLANPRODUCCION[[#This Row],[COSTO PLANEADO]]</f>
        <v>0</v>
      </c>
      <c r="AD221" s="46" t="s">
        <v>333</v>
      </c>
      <c r="AE221" s="10"/>
      <c r="AF221" s="10" t="b">
        <f>IF(COUNTIF(PLANPRODUCCION[[#This Row],[OBSERVACIONES]],"NO APLICA BONO*")&gt;0,TRUE,FALSE)</f>
        <v>0</v>
      </c>
    </row>
    <row r="222" spans="1:32" x14ac:dyDescent="0.25">
      <c r="A222" s="46" t="str">
        <f>UPPER(IF(PLANPRODUCCION[[#This Row],[FECHA]]&lt;=45701,_xlfn.CONCAT(TEXT(B222,"MMM"),"-",IF(ROW(A222)&lt;11,"000"&amp;ROW(A222)-1,IF(ROW(A222)&lt;101,"00"&amp;ROW(A222)-1,IF(ROW(A222)&lt;1001,"0"&amp;ROW(A222)-1,ROW(A222)-1))),"-OLD"),_xlfn.CONCAT(TEXT(B222,"MMM"),"-",IF(ROW(A222)&lt;473,"000"&amp;ROW(A222)-463,IF(ROW(A222)&lt;563,"00"&amp;ROW(A222)-463,IF(ROW(A222)&lt;1001,"0"&amp;ROW(A222)-463,ROW(A222)-463))))))</f>
        <v>ENE-0221-OLD</v>
      </c>
      <c r="B222" s="1">
        <v>45678</v>
      </c>
      <c r="C222" s="5"/>
      <c r="D222" s="5"/>
      <c r="E222" t="s">
        <v>72</v>
      </c>
      <c r="F222" s="32"/>
      <c r="G222" s="32"/>
      <c r="H222" s="5">
        <v>1542</v>
      </c>
      <c r="I222" t="s">
        <v>327</v>
      </c>
      <c r="J222" t="s">
        <v>328</v>
      </c>
      <c r="K222" s="5"/>
      <c r="L222" s="10" t="s">
        <v>83</v>
      </c>
      <c r="M222" s="49">
        <v>15.9</v>
      </c>
      <c r="N222" s="34">
        <f>PLANPRODUCCION[[#This Row],[PIEZAS PLANEADAS]]*PLANPRODUCCION[[#This Row],[PRECIO MAQUILAS]]</f>
        <v>0</v>
      </c>
      <c r="O222" s="5">
        <v>4</v>
      </c>
      <c r="P222" s="2">
        <v>0.66666666666666663</v>
      </c>
      <c r="Q222" s="2">
        <v>0.875</v>
      </c>
      <c r="R222" s="24">
        <v>126</v>
      </c>
      <c r="S222" s="35">
        <f>PLANPRODUCCION[[#This Row],[PRECIO MAQUILAS]]*PLANPRODUCCION[[#This Row],[PIEZAS REAL]]</f>
        <v>2003.4</v>
      </c>
      <c r="T22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2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2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22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763.40000000000009</v>
      </c>
      <c r="X222" s="8"/>
      <c r="Y22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2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2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22" s="13" t="e">
        <f>IF(PLANPRODUCCION[[#This Row],[PIEZAS REAL]]&gt;0,PLANPRODUCCION[[#This Row],[PIEZAS REAL]]/PLANPRODUCCION[[#This Row],[PIEZAS ACTUALIZADO]],)</f>
        <v>#DIV/0!</v>
      </c>
      <c r="AC222" s="10" t="b">
        <f>PLANPRODUCCION[[#This Row],[INGRESO PLANEADO]]&lt;PLANPRODUCCION[[#This Row],[COSTO PLANEADO]]</f>
        <v>0</v>
      </c>
      <c r="AD222" s="46" t="s">
        <v>334</v>
      </c>
      <c r="AE222" s="10"/>
      <c r="AF222" s="10" t="b">
        <f>IF(COUNTIF(PLANPRODUCCION[[#This Row],[OBSERVACIONES]],"NO APLICA BONO*")&gt;0,TRUE,FALSE)</f>
        <v>0</v>
      </c>
    </row>
    <row r="223" spans="1:32" x14ac:dyDescent="0.25">
      <c r="A223" s="46" t="str">
        <f>UPPER(IF(PLANPRODUCCION[[#This Row],[FECHA]]&lt;=45701,_xlfn.CONCAT(TEXT(B223,"MMM"),"-",IF(ROW(A223)&lt;11,"000"&amp;ROW(A223)-1,IF(ROW(A223)&lt;101,"00"&amp;ROW(A223)-1,IF(ROW(A223)&lt;1001,"0"&amp;ROW(A223)-1,ROW(A223)-1))),"-OLD"),_xlfn.CONCAT(TEXT(B223,"MMM"),"-",IF(ROW(A223)&lt;473,"000"&amp;ROW(A223)-463,IF(ROW(A223)&lt;563,"00"&amp;ROW(A223)-463,IF(ROW(A223)&lt;1001,"0"&amp;ROW(A223)-463,ROW(A223)-463))))))</f>
        <v>ENE-0222-OLD</v>
      </c>
      <c r="B223" s="1">
        <v>45678</v>
      </c>
      <c r="C223" s="5"/>
      <c r="D223" s="5"/>
      <c r="E223" t="s">
        <v>75</v>
      </c>
      <c r="F223" s="32"/>
      <c r="G223" s="32"/>
      <c r="H223" s="5">
        <v>1541</v>
      </c>
      <c r="I223" t="s">
        <v>285</v>
      </c>
      <c r="J223" t="s">
        <v>286</v>
      </c>
      <c r="K223" s="5"/>
      <c r="L223" s="10" t="s">
        <v>83</v>
      </c>
      <c r="M223" s="49">
        <v>17.8</v>
      </c>
      <c r="N223" s="34">
        <f>PLANPRODUCCION[[#This Row],[PIEZAS PLANEADAS]]*PLANPRODUCCION[[#This Row],[PRECIO MAQUILAS]]</f>
        <v>0</v>
      </c>
      <c r="O223" s="5">
        <v>4</v>
      </c>
      <c r="P223" s="2">
        <v>0.61805555555555558</v>
      </c>
      <c r="Q223" s="2">
        <v>0.66666666666666663</v>
      </c>
      <c r="R223" s="24">
        <v>38</v>
      </c>
      <c r="S223" s="35">
        <f>PLANPRODUCCION[[#This Row],[PRECIO MAQUILAS]]*PLANPRODUCCION[[#This Row],[PIEZAS REAL]]</f>
        <v>676.4</v>
      </c>
      <c r="T22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2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2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388.88888888888891</v>
      </c>
      <c r="W22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287.51111111111106</v>
      </c>
      <c r="X223" s="8"/>
      <c r="Y22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2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2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23" s="13" t="e">
        <f>IF(PLANPRODUCCION[[#This Row],[PIEZAS REAL]]&gt;0,PLANPRODUCCION[[#This Row],[PIEZAS REAL]]/PLANPRODUCCION[[#This Row],[PIEZAS ACTUALIZADO]],)</f>
        <v>#DIV/0!</v>
      </c>
      <c r="AC223" s="10" t="b">
        <f>PLANPRODUCCION[[#This Row],[INGRESO PLANEADO]]&lt;PLANPRODUCCION[[#This Row],[COSTO PLANEADO]]</f>
        <v>0</v>
      </c>
      <c r="AD223" s="46" t="s">
        <v>335</v>
      </c>
      <c r="AE223" s="10"/>
      <c r="AF223" s="10" t="b">
        <f>IF(COUNTIF(PLANPRODUCCION[[#This Row],[OBSERVACIONES]],"NO APLICA BONO*")&gt;0,TRUE,FALSE)</f>
        <v>0</v>
      </c>
    </row>
    <row r="224" spans="1:32" x14ac:dyDescent="0.25">
      <c r="A224" s="46" t="str">
        <f>UPPER(IF(PLANPRODUCCION[[#This Row],[FECHA]]&lt;=45701,_xlfn.CONCAT(TEXT(B224,"MMM"),"-",IF(ROW(A224)&lt;11,"000"&amp;ROW(A224)-1,IF(ROW(A224)&lt;101,"00"&amp;ROW(A224)-1,IF(ROW(A224)&lt;1001,"0"&amp;ROW(A224)-1,ROW(A224)-1))),"-OLD"),_xlfn.CONCAT(TEXT(B224,"MMM"),"-",IF(ROW(A224)&lt;473,"000"&amp;ROW(A224)-463,IF(ROW(A224)&lt;563,"00"&amp;ROW(A224)-463,IF(ROW(A224)&lt;1001,"0"&amp;ROW(A224)-463,ROW(A224)-463))))))</f>
        <v>ENE-0223-OLD</v>
      </c>
      <c r="B224" s="1">
        <v>45678</v>
      </c>
      <c r="C224" s="5"/>
      <c r="D224" s="5"/>
      <c r="E224" t="s">
        <v>75</v>
      </c>
      <c r="F224" s="32"/>
      <c r="G224" s="32"/>
      <c r="H224" s="5">
        <v>1542</v>
      </c>
      <c r="I224" t="s">
        <v>327</v>
      </c>
      <c r="J224" t="s">
        <v>328</v>
      </c>
      <c r="K224" s="5"/>
      <c r="L224" s="10" t="s">
        <v>83</v>
      </c>
      <c r="M224" s="49">
        <v>15.9</v>
      </c>
      <c r="N224" s="34">
        <f>PLANPRODUCCION[[#This Row],[PIEZAS PLANEADAS]]*PLANPRODUCCION[[#This Row],[PRECIO MAQUILAS]]</f>
        <v>0</v>
      </c>
      <c r="O224" s="5">
        <v>3</v>
      </c>
      <c r="P224" s="2">
        <v>0.61805555555555558</v>
      </c>
      <c r="Q224" s="2">
        <v>0.66666666666666663</v>
      </c>
      <c r="R224" s="24">
        <v>36</v>
      </c>
      <c r="S224" s="35">
        <f>PLANPRODUCCION[[#This Row],[PRECIO MAQUILAS]]*PLANPRODUCCION[[#This Row],[PIEZAS REAL]]</f>
        <v>572.4</v>
      </c>
      <c r="T22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2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2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291.66666666666669</v>
      </c>
      <c r="W22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280.73333333333329</v>
      </c>
      <c r="X224" s="8"/>
      <c r="Y22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2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2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24" s="13" t="e">
        <f>IF(PLANPRODUCCION[[#This Row],[PIEZAS REAL]]&gt;0,PLANPRODUCCION[[#This Row],[PIEZAS REAL]]/PLANPRODUCCION[[#This Row],[PIEZAS ACTUALIZADO]],)</f>
        <v>#DIV/0!</v>
      </c>
      <c r="AC224" s="10" t="b">
        <f>PLANPRODUCCION[[#This Row],[INGRESO PLANEADO]]&lt;PLANPRODUCCION[[#This Row],[COSTO PLANEADO]]</f>
        <v>0</v>
      </c>
      <c r="AD224" s="46" t="s">
        <v>336</v>
      </c>
      <c r="AE224" s="10"/>
      <c r="AF224" s="10" t="b">
        <f>IF(COUNTIF(PLANPRODUCCION[[#This Row],[OBSERVACIONES]],"NO APLICA BONO*")&gt;0,TRUE,FALSE)</f>
        <v>0</v>
      </c>
    </row>
    <row r="225" spans="1:32" x14ac:dyDescent="0.25">
      <c r="A225" s="46" t="str">
        <f>UPPER(IF(PLANPRODUCCION[[#This Row],[FECHA]]&lt;=45701,_xlfn.CONCAT(TEXT(B225,"MMM"),"-",IF(ROW(A225)&lt;11,"000"&amp;ROW(A225)-1,IF(ROW(A225)&lt;101,"00"&amp;ROW(A225)-1,IF(ROW(A225)&lt;1001,"0"&amp;ROW(A225)-1,ROW(A225)-1))),"-OLD"),_xlfn.CONCAT(TEXT(B225,"MMM"),"-",IF(ROW(A225)&lt;473,"000"&amp;ROW(A225)-463,IF(ROW(A225)&lt;563,"00"&amp;ROW(A225)-463,IF(ROW(A225)&lt;1001,"0"&amp;ROW(A225)-463,ROW(A225)-463))))))</f>
        <v>ENE-0224-OLD</v>
      </c>
      <c r="B225" s="1">
        <v>45678</v>
      </c>
      <c r="C225" s="5"/>
      <c r="D225" s="5"/>
      <c r="E225" t="s">
        <v>75</v>
      </c>
      <c r="F225" s="32"/>
      <c r="G225" s="32"/>
      <c r="H225" s="5">
        <v>1542</v>
      </c>
      <c r="I225" t="s">
        <v>327</v>
      </c>
      <c r="J225" t="s">
        <v>328</v>
      </c>
      <c r="K225" s="5"/>
      <c r="L225" s="10" t="s">
        <v>83</v>
      </c>
      <c r="M225" s="49">
        <v>15.9</v>
      </c>
      <c r="N225" s="34">
        <f>PLANPRODUCCION[[#This Row],[PIEZAS PLANEADAS]]*PLANPRODUCCION[[#This Row],[PRECIO MAQUILAS]]</f>
        <v>0</v>
      </c>
      <c r="O225" s="5">
        <v>4</v>
      </c>
      <c r="P225" s="2">
        <v>0.61805555555555558</v>
      </c>
      <c r="Q225" s="2">
        <v>0.66666666666666663</v>
      </c>
      <c r="R225" s="24">
        <v>56</v>
      </c>
      <c r="S225" s="35">
        <f>PLANPRODUCCION[[#This Row],[PRECIO MAQUILAS]]*PLANPRODUCCION[[#This Row],[PIEZAS REAL]]</f>
        <v>890.4</v>
      </c>
      <c r="T22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2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2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388.88888888888891</v>
      </c>
      <c r="W22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501.51111111111106</v>
      </c>
      <c r="X225" s="8"/>
      <c r="Y22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2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2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25" s="13" t="e">
        <f>IF(PLANPRODUCCION[[#This Row],[PIEZAS REAL]]&gt;0,PLANPRODUCCION[[#This Row],[PIEZAS REAL]]/PLANPRODUCCION[[#This Row],[PIEZAS ACTUALIZADO]],)</f>
        <v>#DIV/0!</v>
      </c>
      <c r="AC225" s="10" t="b">
        <f>PLANPRODUCCION[[#This Row],[INGRESO PLANEADO]]&lt;PLANPRODUCCION[[#This Row],[COSTO PLANEADO]]</f>
        <v>0</v>
      </c>
      <c r="AD225" s="46" t="s">
        <v>337</v>
      </c>
      <c r="AE225" s="10"/>
      <c r="AF225" s="10" t="b">
        <f>IF(COUNTIF(PLANPRODUCCION[[#This Row],[OBSERVACIONES]],"NO APLICA BONO*")&gt;0,TRUE,FALSE)</f>
        <v>0</v>
      </c>
    </row>
    <row r="226" spans="1:32" x14ac:dyDescent="0.25">
      <c r="A226" s="46" t="str">
        <f>UPPER(IF(PLANPRODUCCION[[#This Row],[FECHA]]&lt;=45701,_xlfn.CONCAT(TEXT(B226,"MMM"),"-",IF(ROW(A226)&lt;11,"000"&amp;ROW(A226)-1,IF(ROW(A226)&lt;101,"00"&amp;ROW(A226)-1,IF(ROW(A226)&lt;1001,"0"&amp;ROW(A226)-1,ROW(A226)-1))),"-OLD"),_xlfn.CONCAT(TEXT(B226,"MMM"),"-",IF(ROW(A226)&lt;473,"000"&amp;ROW(A226)-463,IF(ROW(A226)&lt;563,"00"&amp;ROW(A226)-463,IF(ROW(A226)&lt;1001,"0"&amp;ROW(A226)-463,ROW(A226)-463))))))</f>
        <v>ENE-0225-OLD</v>
      </c>
      <c r="B226" s="1">
        <v>45678</v>
      </c>
      <c r="C226" s="5"/>
      <c r="D226" s="5"/>
      <c r="E226" t="s">
        <v>75</v>
      </c>
      <c r="F226" s="32"/>
      <c r="G226" s="32"/>
      <c r="H226" s="5">
        <v>1542</v>
      </c>
      <c r="I226" t="s">
        <v>327</v>
      </c>
      <c r="J226" t="s">
        <v>328</v>
      </c>
      <c r="K226" s="5"/>
      <c r="L226" s="10" t="s">
        <v>83</v>
      </c>
      <c r="M226" s="49">
        <v>15.9</v>
      </c>
      <c r="N226" s="34">
        <f>PLANPRODUCCION[[#This Row],[PIEZAS PLANEADAS]]*PLANPRODUCCION[[#This Row],[PRECIO MAQUILAS]]</f>
        <v>0</v>
      </c>
      <c r="O226" s="5">
        <v>3</v>
      </c>
      <c r="P226" s="2">
        <v>0.61805555555555558</v>
      </c>
      <c r="Q226" s="2">
        <v>0.66666666666666663</v>
      </c>
      <c r="R226" s="24">
        <v>39</v>
      </c>
      <c r="S226" s="35">
        <f>PLANPRODUCCION[[#This Row],[PRECIO MAQUILAS]]*PLANPRODUCCION[[#This Row],[PIEZAS REAL]]</f>
        <v>620.1</v>
      </c>
      <c r="T22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2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2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291.66666666666669</v>
      </c>
      <c r="W22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328.43333333333334</v>
      </c>
      <c r="X226" s="8"/>
      <c r="Y22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2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2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26" s="13" t="e">
        <f>IF(PLANPRODUCCION[[#This Row],[PIEZAS REAL]]&gt;0,PLANPRODUCCION[[#This Row],[PIEZAS REAL]]/PLANPRODUCCION[[#This Row],[PIEZAS ACTUALIZADO]],)</f>
        <v>#DIV/0!</v>
      </c>
      <c r="AC226" s="10" t="b">
        <f>PLANPRODUCCION[[#This Row],[INGRESO PLANEADO]]&lt;PLANPRODUCCION[[#This Row],[COSTO PLANEADO]]</f>
        <v>0</v>
      </c>
      <c r="AD226" s="46" t="s">
        <v>338</v>
      </c>
      <c r="AE226" s="10"/>
      <c r="AF226" s="10" t="b">
        <f>IF(COUNTIF(PLANPRODUCCION[[#This Row],[OBSERVACIONES]],"NO APLICA BONO*")&gt;0,TRUE,FALSE)</f>
        <v>0</v>
      </c>
    </row>
    <row r="227" spans="1:32" x14ac:dyDescent="0.25">
      <c r="A227" s="46" t="str">
        <f>UPPER(IF(PLANPRODUCCION[[#This Row],[FECHA]]&lt;=45701,_xlfn.CONCAT(TEXT(B227,"MMM"),"-",IF(ROW(A227)&lt;11,"000"&amp;ROW(A227)-1,IF(ROW(A227)&lt;101,"00"&amp;ROW(A227)-1,IF(ROW(A227)&lt;1001,"0"&amp;ROW(A227)-1,ROW(A227)-1))),"-OLD"),_xlfn.CONCAT(TEXT(B227,"MMM"),"-",IF(ROW(A227)&lt;473,"000"&amp;ROW(A227)-463,IF(ROW(A227)&lt;563,"00"&amp;ROW(A227)-463,IF(ROW(A227)&lt;1001,"0"&amp;ROW(A227)-463,ROW(A227)-463))))))</f>
        <v>ENE-0226-OLD</v>
      </c>
      <c r="B227" s="1">
        <v>45678</v>
      </c>
      <c r="C227" s="5"/>
      <c r="D227" s="5"/>
      <c r="E227" t="s">
        <v>75</v>
      </c>
      <c r="F227" s="32"/>
      <c r="G227" s="32"/>
      <c r="H227" s="5">
        <v>1542</v>
      </c>
      <c r="I227" t="s">
        <v>327</v>
      </c>
      <c r="J227" t="s">
        <v>328</v>
      </c>
      <c r="K227" s="5"/>
      <c r="L227" s="10" t="s">
        <v>83</v>
      </c>
      <c r="M227" s="49">
        <v>15.9</v>
      </c>
      <c r="N227" s="34">
        <f>PLANPRODUCCION[[#This Row],[PIEZAS PLANEADAS]]*PLANPRODUCCION[[#This Row],[PRECIO MAQUILAS]]</f>
        <v>0</v>
      </c>
      <c r="O227" s="5">
        <v>3</v>
      </c>
      <c r="P227" s="2">
        <v>0.61805555555555558</v>
      </c>
      <c r="Q227" s="2">
        <v>0.66666666666666663</v>
      </c>
      <c r="R227" s="24">
        <v>42</v>
      </c>
      <c r="S227" s="35">
        <f>PLANPRODUCCION[[#This Row],[PRECIO MAQUILAS]]*PLANPRODUCCION[[#This Row],[PIEZAS REAL]]</f>
        <v>667.80000000000007</v>
      </c>
      <c r="T22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2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2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291.66666666666669</v>
      </c>
      <c r="W22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376.13333333333338</v>
      </c>
      <c r="X227" s="8"/>
      <c r="Y22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2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2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27" s="13" t="e">
        <f>IF(PLANPRODUCCION[[#This Row],[PIEZAS REAL]]&gt;0,PLANPRODUCCION[[#This Row],[PIEZAS REAL]]/PLANPRODUCCION[[#This Row],[PIEZAS ACTUALIZADO]],)</f>
        <v>#DIV/0!</v>
      </c>
      <c r="AC227" s="10" t="b">
        <f>PLANPRODUCCION[[#This Row],[INGRESO PLANEADO]]&lt;PLANPRODUCCION[[#This Row],[COSTO PLANEADO]]</f>
        <v>0</v>
      </c>
      <c r="AD227" s="46" t="s">
        <v>339</v>
      </c>
      <c r="AE227" s="10"/>
      <c r="AF227" s="10" t="b">
        <f>IF(COUNTIF(PLANPRODUCCION[[#This Row],[OBSERVACIONES]],"NO APLICA BONO*")&gt;0,TRUE,FALSE)</f>
        <v>0</v>
      </c>
    </row>
    <row r="228" spans="1:32" x14ac:dyDescent="0.25">
      <c r="A228" s="46" t="str">
        <f>UPPER(IF(PLANPRODUCCION[[#This Row],[FECHA]]&lt;=45701,_xlfn.CONCAT(TEXT(B228,"MMM"),"-",IF(ROW(A228)&lt;11,"000"&amp;ROW(A228)-1,IF(ROW(A228)&lt;101,"00"&amp;ROW(A228)-1,IF(ROW(A228)&lt;1001,"0"&amp;ROW(A228)-1,ROW(A228)-1))),"-OLD"),_xlfn.CONCAT(TEXT(B228,"MMM"),"-",IF(ROW(A228)&lt;473,"000"&amp;ROW(A228)-463,IF(ROW(A228)&lt;563,"00"&amp;ROW(A228)-463,IF(ROW(A228)&lt;1001,"0"&amp;ROW(A228)-463,ROW(A228)-463))))))</f>
        <v>ENE-0227-OLD</v>
      </c>
      <c r="B228" s="1">
        <v>45679</v>
      </c>
      <c r="C228" s="5"/>
      <c r="D228" s="5"/>
      <c r="E228" t="s">
        <v>54</v>
      </c>
      <c r="F228" s="32"/>
      <c r="G228" s="32"/>
      <c r="H228" s="5">
        <v>1542</v>
      </c>
      <c r="I228" t="s">
        <v>327</v>
      </c>
      <c r="J228" t="s">
        <v>328</v>
      </c>
      <c r="K228" s="5"/>
      <c r="L228" s="10" t="s">
        <v>83</v>
      </c>
      <c r="M228" s="49">
        <v>15.9</v>
      </c>
      <c r="N228" s="34">
        <f>PLANPRODUCCION[[#This Row],[PIEZAS PLANEADAS]]*PLANPRODUCCION[[#This Row],[PRECIO MAQUILAS]]</f>
        <v>0</v>
      </c>
      <c r="O228" s="5">
        <v>4</v>
      </c>
      <c r="P228" s="2">
        <v>0.25</v>
      </c>
      <c r="Q228" s="2">
        <v>0.66666666666666663</v>
      </c>
      <c r="R228" s="24">
        <v>330</v>
      </c>
      <c r="S228" s="35">
        <f>PLANPRODUCCION[[#This Row],[PRECIO MAQUILAS]]*PLANPRODUCCION[[#This Row],[PIEZAS REAL]]</f>
        <v>5247</v>
      </c>
      <c r="T22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2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2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22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2767</v>
      </c>
      <c r="X228" s="8"/>
      <c r="Y22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2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2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28" s="13" t="e">
        <f>IF(PLANPRODUCCION[[#This Row],[PIEZAS REAL]]&gt;0,PLANPRODUCCION[[#This Row],[PIEZAS REAL]]/PLANPRODUCCION[[#This Row],[PIEZAS ACTUALIZADO]],)</f>
        <v>#DIV/0!</v>
      </c>
      <c r="AC228" s="10" t="b">
        <f>PLANPRODUCCION[[#This Row],[INGRESO PLANEADO]]&lt;PLANPRODUCCION[[#This Row],[COSTO PLANEADO]]</f>
        <v>0</v>
      </c>
      <c r="AD228" s="46" t="s">
        <v>340</v>
      </c>
      <c r="AE228" s="10"/>
      <c r="AF228" s="10" t="b">
        <f>IF(COUNTIF(PLANPRODUCCION[[#This Row],[OBSERVACIONES]],"NO APLICA BONO*")&gt;0,TRUE,FALSE)</f>
        <v>0</v>
      </c>
    </row>
    <row r="229" spans="1:32" x14ac:dyDescent="0.25">
      <c r="A229" s="46" t="str">
        <f>UPPER(IF(PLANPRODUCCION[[#This Row],[FECHA]]&lt;=45701,_xlfn.CONCAT(TEXT(B229,"MMM"),"-",IF(ROW(A229)&lt;11,"000"&amp;ROW(A229)-1,IF(ROW(A229)&lt;101,"00"&amp;ROW(A229)-1,IF(ROW(A229)&lt;1001,"0"&amp;ROW(A229)-1,ROW(A229)-1))),"-OLD"),_xlfn.CONCAT(TEXT(B229,"MMM"),"-",IF(ROW(A229)&lt;473,"000"&amp;ROW(A229)-463,IF(ROW(A229)&lt;563,"00"&amp;ROW(A229)-463,IF(ROW(A229)&lt;1001,"0"&amp;ROW(A229)-463,ROW(A229)-463))))))</f>
        <v>ENE-0228-OLD</v>
      </c>
      <c r="B229" s="1">
        <v>45679</v>
      </c>
      <c r="C229" s="5"/>
      <c r="D229" s="5"/>
      <c r="E229" t="s">
        <v>54</v>
      </c>
      <c r="F229" s="32"/>
      <c r="G229" s="32"/>
      <c r="H229" s="5">
        <v>1542</v>
      </c>
      <c r="I229" t="s">
        <v>327</v>
      </c>
      <c r="J229" t="s">
        <v>328</v>
      </c>
      <c r="K229" s="5"/>
      <c r="L229" s="10" t="s">
        <v>83</v>
      </c>
      <c r="M229" s="49">
        <v>15.9</v>
      </c>
      <c r="N229" s="34">
        <f>PLANPRODUCCION[[#This Row],[PIEZAS PLANEADAS]]*PLANPRODUCCION[[#This Row],[PRECIO MAQUILAS]]</f>
        <v>0</v>
      </c>
      <c r="O229" s="5">
        <v>3</v>
      </c>
      <c r="P229" s="2">
        <v>0.25</v>
      </c>
      <c r="Q229" s="2">
        <v>0.66666666666666663</v>
      </c>
      <c r="R229" s="24">
        <v>265</v>
      </c>
      <c r="S229" s="35">
        <f>PLANPRODUCCION[[#This Row],[PRECIO MAQUILAS]]*PLANPRODUCCION[[#This Row],[PIEZAS REAL]]</f>
        <v>4213.5</v>
      </c>
      <c r="T22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2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2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2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2353.5</v>
      </c>
      <c r="X229" s="8"/>
      <c r="Y22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2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2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29" s="13" t="e">
        <f>IF(PLANPRODUCCION[[#This Row],[PIEZAS REAL]]&gt;0,PLANPRODUCCION[[#This Row],[PIEZAS REAL]]/PLANPRODUCCION[[#This Row],[PIEZAS ACTUALIZADO]],)</f>
        <v>#DIV/0!</v>
      </c>
      <c r="AC229" s="10" t="b">
        <f>PLANPRODUCCION[[#This Row],[INGRESO PLANEADO]]&lt;PLANPRODUCCION[[#This Row],[COSTO PLANEADO]]</f>
        <v>0</v>
      </c>
      <c r="AD229" s="46" t="s">
        <v>341</v>
      </c>
      <c r="AE229" s="10"/>
      <c r="AF229" s="10" t="b">
        <f>IF(COUNTIF(PLANPRODUCCION[[#This Row],[OBSERVACIONES]],"NO APLICA BONO*")&gt;0,TRUE,FALSE)</f>
        <v>0</v>
      </c>
    </row>
    <row r="230" spans="1:32" x14ac:dyDescent="0.25">
      <c r="A230" s="46" t="str">
        <f>UPPER(IF(PLANPRODUCCION[[#This Row],[FECHA]]&lt;=45701,_xlfn.CONCAT(TEXT(B230,"MMM"),"-",IF(ROW(A230)&lt;11,"000"&amp;ROW(A230)-1,IF(ROW(A230)&lt;101,"00"&amp;ROW(A230)-1,IF(ROW(A230)&lt;1001,"0"&amp;ROW(A230)-1,ROW(A230)-1))),"-OLD"),_xlfn.CONCAT(TEXT(B230,"MMM"),"-",IF(ROW(A230)&lt;473,"000"&amp;ROW(A230)-463,IF(ROW(A230)&lt;563,"00"&amp;ROW(A230)-463,IF(ROW(A230)&lt;1001,"0"&amp;ROW(A230)-463,ROW(A230)-463))))))</f>
        <v>ENE-0229-OLD</v>
      </c>
      <c r="B230" s="1">
        <v>45679</v>
      </c>
      <c r="C230" s="5"/>
      <c r="D230" s="5"/>
      <c r="E230" t="s">
        <v>54</v>
      </c>
      <c r="F230" s="32"/>
      <c r="G230" s="32"/>
      <c r="H230" s="5">
        <v>1542</v>
      </c>
      <c r="I230" t="s">
        <v>327</v>
      </c>
      <c r="J230" t="s">
        <v>328</v>
      </c>
      <c r="K230" s="5"/>
      <c r="L230" s="10" t="s">
        <v>83</v>
      </c>
      <c r="M230" s="49">
        <v>15.9</v>
      </c>
      <c r="N230" s="34">
        <f>PLANPRODUCCION[[#This Row],[PIEZAS PLANEADAS]]*PLANPRODUCCION[[#This Row],[PRECIO MAQUILAS]]</f>
        <v>0</v>
      </c>
      <c r="O230" s="5">
        <v>4</v>
      </c>
      <c r="P230" s="2">
        <v>0.25</v>
      </c>
      <c r="Q230" s="2">
        <v>0.66666666666666663</v>
      </c>
      <c r="R230" s="24">
        <v>600</v>
      </c>
      <c r="S230" s="35">
        <f>PLANPRODUCCION[[#This Row],[PRECIO MAQUILAS]]*PLANPRODUCCION[[#This Row],[PIEZAS REAL]]</f>
        <v>9540</v>
      </c>
      <c r="T23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3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3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23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7060</v>
      </c>
      <c r="X230" s="8"/>
      <c r="Y23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3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3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30" s="13" t="e">
        <f>IF(PLANPRODUCCION[[#This Row],[PIEZAS REAL]]&gt;0,PLANPRODUCCION[[#This Row],[PIEZAS REAL]]/PLANPRODUCCION[[#This Row],[PIEZAS ACTUALIZADO]],)</f>
        <v>#DIV/0!</v>
      </c>
      <c r="AC230" s="10" t="b">
        <f>PLANPRODUCCION[[#This Row],[INGRESO PLANEADO]]&lt;PLANPRODUCCION[[#This Row],[COSTO PLANEADO]]</f>
        <v>0</v>
      </c>
      <c r="AD230" s="46" t="s">
        <v>342</v>
      </c>
      <c r="AE230" s="10"/>
      <c r="AF230" s="10" t="b">
        <f>IF(COUNTIF(PLANPRODUCCION[[#This Row],[OBSERVACIONES]],"NO APLICA BONO*")&gt;0,TRUE,FALSE)</f>
        <v>0</v>
      </c>
    </row>
    <row r="231" spans="1:32" x14ac:dyDescent="0.25">
      <c r="A231" s="46" t="str">
        <f>UPPER(IF(PLANPRODUCCION[[#This Row],[FECHA]]&lt;=45701,_xlfn.CONCAT(TEXT(B231,"MMM"),"-",IF(ROW(A231)&lt;11,"000"&amp;ROW(A231)-1,IF(ROW(A231)&lt;101,"00"&amp;ROW(A231)-1,IF(ROW(A231)&lt;1001,"0"&amp;ROW(A231)-1,ROW(A231)-1))),"-OLD"),_xlfn.CONCAT(TEXT(B231,"MMM"),"-",IF(ROW(A231)&lt;473,"000"&amp;ROW(A231)-463,IF(ROW(A231)&lt;563,"00"&amp;ROW(A231)-463,IF(ROW(A231)&lt;1001,"0"&amp;ROW(A231)-463,ROW(A231)-463))))))</f>
        <v>ENE-0230-OLD</v>
      </c>
      <c r="B231" s="1">
        <v>45679</v>
      </c>
      <c r="C231" s="5"/>
      <c r="D231" s="5"/>
      <c r="E231" t="s">
        <v>54</v>
      </c>
      <c r="F231" s="32"/>
      <c r="G231" s="32"/>
      <c r="H231" s="5">
        <v>1542</v>
      </c>
      <c r="I231" t="s">
        <v>327</v>
      </c>
      <c r="J231" t="s">
        <v>328</v>
      </c>
      <c r="K231" s="5"/>
      <c r="L231" s="10" t="s">
        <v>83</v>
      </c>
      <c r="M231" s="49">
        <v>15.9</v>
      </c>
      <c r="N231" s="34">
        <f>PLANPRODUCCION[[#This Row],[PIEZAS PLANEADAS]]*PLANPRODUCCION[[#This Row],[PRECIO MAQUILAS]]</f>
        <v>0</v>
      </c>
      <c r="O231" s="5">
        <v>4</v>
      </c>
      <c r="P231" s="2">
        <v>0.25</v>
      </c>
      <c r="Q231" s="2">
        <v>0.66666666666666663</v>
      </c>
      <c r="R231" s="24">
        <v>400</v>
      </c>
      <c r="S231" s="35">
        <f>PLANPRODUCCION[[#This Row],[PRECIO MAQUILAS]]*PLANPRODUCCION[[#This Row],[PIEZAS REAL]]</f>
        <v>6360</v>
      </c>
      <c r="T23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3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3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23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3880</v>
      </c>
      <c r="X231" s="8"/>
      <c r="Y23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3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3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31" s="13" t="e">
        <f>IF(PLANPRODUCCION[[#This Row],[PIEZAS REAL]]&gt;0,PLANPRODUCCION[[#This Row],[PIEZAS REAL]]/PLANPRODUCCION[[#This Row],[PIEZAS ACTUALIZADO]],)</f>
        <v>#DIV/0!</v>
      </c>
      <c r="AC231" s="10" t="b">
        <f>PLANPRODUCCION[[#This Row],[INGRESO PLANEADO]]&lt;PLANPRODUCCION[[#This Row],[COSTO PLANEADO]]</f>
        <v>0</v>
      </c>
      <c r="AD231" s="46" t="s">
        <v>343</v>
      </c>
      <c r="AE231" s="10"/>
      <c r="AF231" s="10" t="b">
        <f>IF(COUNTIF(PLANPRODUCCION[[#This Row],[OBSERVACIONES]],"NO APLICA BONO*")&gt;0,TRUE,FALSE)</f>
        <v>0</v>
      </c>
    </row>
    <row r="232" spans="1:32" x14ac:dyDescent="0.25">
      <c r="A232" s="46" t="str">
        <f>UPPER(IF(PLANPRODUCCION[[#This Row],[FECHA]]&lt;=45701,_xlfn.CONCAT(TEXT(B232,"MMM"),"-",IF(ROW(A232)&lt;11,"000"&amp;ROW(A232)-1,IF(ROW(A232)&lt;101,"00"&amp;ROW(A232)-1,IF(ROW(A232)&lt;1001,"0"&amp;ROW(A232)-1,ROW(A232)-1))),"-OLD"),_xlfn.CONCAT(TEXT(B232,"MMM"),"-",IF(ROW(A232)&lt;473,"000"&amp;ROW(A232)-463,IF(ROW(A232)&lt;563,"00"&amp;ROW(A232)-463,IF(ROW(A232)&lt;1001,"0"&amp;ROW(A232)-463,ROW(A232)-463))))))</f>
        <v>ENE-0231-OLD</v>
      </c>
      <c r="B232" s="1">
        <v>45679</v>
      </c>
      <c r="C232" s="5"/>
      <c r="D232" s="5"/>
      <c r="E232" t="s">
        <v>54</v>
      </c>
      <c r="F232" s="32"/>
      <c r="G232" s="32"/>
      <c r="H232" s="5">
        <v>1542</v>
      </c>
      <c r="I232" t="s">
        <v>327</v>
      </c>
      <c r="J232" t="s">
        <v>328</v>
      </c>
      <c r="K232" s="5"/>
      <c r="L232" s="10" t="s">
        <v>83</v>
      </c>
      <c r="M232" s="49">
        <v>15.9</v>
      </c>
      <c r="N232" s="34">
        <f>PLANPRODUCCION[[#This Row],[PIEZAS PLANEADAS]]*PLANPRODUCCION[[#This Row],[PRECIO MAQUILAS]]</f>
        <v>0</v>
      </c>
      <c r="O232" s="5">
        <v>3</v>
      </c>
      <c r="P232" s="2">
        <v>0.25</v>
      </c>
      <c r="Q232" s="2">
        <v>0.66666666666666663</v>
      </c>
      <c r="R232" s="24">
        <v>450</v>
      </c>
      <c r="S232" s="35">
        <f>PLANPRODUCCION[[#This Row],[PRECIO MAQUILAS]]*PLANPRODUCCION[[#This Row],[PIEZAS REAL]]</f>
        <v>7155</v>
      </c>
      <c r="T23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3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3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3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5295</v>
      </c>
      <c r="X232" s="8"/>
      <c r="Y23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3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3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32" s="13" t="e">
        <f>IF(PLANPRODUCCION[[#This Row],[PIEZAS REAL]]&gt;0,PLANPRODUCCION[[#This Row],[PIEZAS REAL]]/PLANPRODUCCION[[#This Row],[PIEZAS ACTUALIZADO]],)</f>
        <v>#DIV/0!</v>
      </c>
      <c r="AC232" s="10" t="b">
        <f>PLANPRODUCCION[[#This Row],[INGRESO PLANEADO]]&lt;PLANPRODUCCION[[#This Row],[COSTO PLANEADO]]</f>
        <v>0</v>
      </c>
      <c r="AD232" s="46" t="s">
        <v>344</v>
      </c>
      <c r="AE232" s="10"/>
      <c r="AF232" s="10" t="b">
        <f>IF(COUNTIF(PLANPRODUCCION[[#This Row],[OBSERVACIONES]],"NO APLICA BONO*")&gt;0,TRUE,FALSE)</f>
        <v>0</v>
      </c>
    </row>
    <row r="233" spans="1:32" x14ac:dyDescent="0.25">
      <c r="A233" s="46" t="str">
        <f>UPPER(IF(PLANPRODUCCION[[#This Row],[FECHA]]&lt;=45701,_xlfn.CONCAT(TEXT(B233,"MMM"),"-",IF(ROW(A233)&lt;11,"000"&amp;ROW(A233)-1,IF(ROW(A233)&lt;101,"00"&amp;ROW(A233)-1,IF(ROW(A233)&lt;1001,"0"&amp;ROW(A233)-1,ROW(A233)-1))),"-OLD"),_xlfn.CONCAT(TEXT(B233,"MMM"),"-",IF(ROW(A233)&lt;473,"000"&amp;ROW(A233)-463,IF(ROW(A233)&lt;563,"00"&amp;ROW(A233)-463,IF(ROW(A233)&lt;1001,"0"&amp;ROW(A233)-463,ROW(A233)-463))))))</f>
        <v>ENE-0232-OLD</v>
      </c>
      <c r="B233" s="1">
        <v>45679</v>
      </c>
      <c r="C233" s="5"/>
      <c r="D233" s="5"/>
      <c r="E233" t="s">
        <v>67</v>
      </c>
      <c r="F233" s="32"/>
      <c r="G233" s="32"/>
      <c r="H233" s="5">
        <v>1542</v>
      </c>
      <c r="I233" t="s">
        <v>327</v>
      </c>
      <c r="J233" t="s">
        <v>328</v>
      </c>
      <c r="K233" s="5"/>
      <c r="L233" s="10" t="s">
        <v>83</v>
      </c>
      <c r="M233" s="49">
        <v>15.9</v>
      </c>
      <c r="N233" s="34">
        <f>PLANPRODUCCION[[#This Row],[PIEZAS PLANEADAS]]*PLANPRODUCCION[[#This Row],[PRECIO MAQUILAS]]</f>
        <v>0</v>
      </c>
      <c r="O233" s="5">
        <v>2</v>
      </c>
      <c r="P233" s="2">
        <v>0.33333333333333331</v>
      </c>
      <c r="Q233" s="2">
        <v>0.75</v>
      </c>
      <c r="R233" s="24">
        <v>145</v>
      </c>
      <c r="S233" s="35">
        <f>PLANPRODUCCION[[#This Row],[PRECIO MAQUILAS]]*PLANPRODUCCION[[#This Row],[PIEZAS REAL]]</f>
        <v>2305.5</v>
      </c>
      <c r="T23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3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3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23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1065.5</v>
      </c>
      <c r="X233" s="8"/>
      <c r="Y23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3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3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33" s="13" t="e">
        <f>IF(PLANPRODUCCION[[#This Row],[PIEZAS REAL]]&gt;0,PLANPRODUCCION[[#This Row],[PIEZAS REAL]]/PLANPRODUCCION[[#This Row],[PIEZAS ACTUALIZADO]],)</f>
        <v>#DIV/0!</v>
      </c>
      <c r="AC233" s="10" t="b">
        <f>PLANPRODUCCION[[#This Row],[INGRESO PLANEADO]]&lt;PLANPRODUCCION[[#This Row],[COSTO PLANEADO]]</f>
        <v>0</v>
      </c>
      <c r="AD233" s="46" t="s">
        <v>345</v>
      </c>
      <c r="AE233" s="10"/>
      <c r="AF233" s="10" t="b">
        <f>IF(COUNTIF(PLANPRODUCCION[[#This Row],[OBSERVACIONES]],"NO APLICA BONO*")&gt;0,TRUE,FALSE)</f>
        <v>0</v>
      </c>
    </row>
    <row r="234" spans="1:32" x14ac:dyDescent="0.25">
      <c r="A234" s="46" t="str">
        <f>UPPER(IF(PLANPRODUCCION[[#This Row],[FECHA]]&lt;=45701,_xlfn.CONCAT(TEXT(B234,"MMM"),"-",IF(ROW(A234)&lt;11,"000"&amp;ROW(A234)-1,IF(ROW(A234)&lt;101,"00"&amp;ROW(A234)-1,IF(ROW(A234)&lt;1001,"0"&amp;ROW(A234)-1,ROW(A234)-1))),"-OLD"),_xlfn.CONCAT(TEXT(B234,"MMM"),"-",IF(ROW(A234)&lt;473,"000"&amp;ROW(A234)-463,IF(ROW(A234)&lt;563,"00"&amp;ROW(A234)-463,IF(ROW(A234)&lt;1001,"0"&amp;ROW(A234)-463,ROW(A234)-463))))))</f>
        <v>ENE-0233-OLD</v>
      </c>
      <c r="B234" s="1">
        <v>45679</v>
      </c>
      <c r="C234" s="5"/>
      <c r="D234" s="5"/>
      <c r="E234" t="s">
        <v>110</v>
      </c>
      <c r="F234" s="32"/>
      <c r="G234" s="32"/>
      <c r="H234" s="5">
        <v>1542</v>
      </c>
      <c r="I234" t="s">
        <v>327</v>
      </c>
      <c r="J234" t="s">
        <v>328</v>
      </c>
      <c r="K234" s="5"/>
      <c r="L234" s="10" t="s">
        <v>83</v>
      </c>
      <c r="M234" s="49">
        <v>15.9</v>
      </c>
      <c r="N234" s="34">
        <f>PLANPRODUCCION[[#This Row],[PIEZAS PLANEADAS]]*PLANPRODUCCION[[#This Row],[PRECIO MAQUILAS]]</f>
        <v>0</v>
      </c>
      <c r="O234" s="5">
        <v>3</v>
      </c>
      <c r="P234" s="2">
        <v>0.54166666666666663</v>
      </c>
      <c r="Q234" s="2">
        <v>0.875</v>
      </c>
      <c r="R234" s="24">
        <v>184</v>
      </c>
      <c r="S234" s="35">
        <f>PLANPRODUCCION[[#This Row],[PRECIO MAQUILAS]]*PLANPRODUCCION[[#This Row],[PIEZAS REAL]]</f>
        <v>2925.6</v>
      </c>
      <c r="T23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3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3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3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1065.5999999999999</v>
      </c>
      <c r="X234" s="8"/>
      <c r="Y23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3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3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34" s="13" t="e">
        <f>IF(PLANPRODUCCION[[#This Row],[PIEZAS REAL]]&gt;0,PLANPRODUCCION[[#This Row],[PIEZAS REAL]]/PLANPRODUCCION[[#This Row],[PIEZAS ACTUALIZADO]],)</f>
        <v>#DIV/0!</v>
      </c>
      <c r="AC234" s="10" t="b">
        <f>PLANPRODUCCION[[#This Row],[INGRESO PLANEADO]]&lt;PLANPRODUCCION[[#This Row],[COSTO PLANEADO]]</f>
        <v>0</v>
      </c>
      <c r="AD234" s="46" t="s">
        <v>346</v>
      </c>
      <c r="AE234" s="10"/>
      <c r="AF234" s="10" t="b">
        <f>IF(COUNTIF(PLANPRODUCCION[[#This Row],[OBSERVACIONES]],"NO APLICA BONO*")&gt;0,TRUE,FALSE)</f>
        <v>0</v>
      </c>
    </row>
    <row r="235" spans="1:32" x14ac:dyDescent="0.25">
      <c r="A235" s="46" t="str">
        <f>UPPER(IF(PLANPRODUCCION[[#This Row],[FECHA]]&lt;=45701,_xlfn.CONCAT(TEXT(B235,"MMM"),"-",IF(ROW(A235)&lt;11,"000"&amp;ROW(A235)-1,IF(ROW(A235)&lt;101,"00"&amp;ROW(A235)-1,IF(ROW(A235)&lt;1001,"0"&amp;ROW(A235)-1,ROW(A235)-1))),"-OLD"),_xlfn.CONCAT(TEXT(B235,"MMM"),"-",IF(ROW(A235)&lt;473,"000"&amp;ROW(A235)-463,IF(ROW(A235)&lt;563,"00"&amp;ROW(A235)-463,IF(ROW(A235)&lt;1001,"0"&amp;ROW(A235)-463,ROW(A235)-463))))))</f>
        <v>ENE-0234-OLD</v>
      </c>
      <c r="B235" s="1">
        <v>45679</v>
      </c>
      <c r="C235" s="5"/>
      <c r="D235" s="5"/>
      <c r="E235" t="s">
        <v>72</v>
      </c>
      <c r="F235" s="32"/>
      <c r="G235" s="32"/>
      <c r="H235" s="5">
        <v>1542</v>
      </c>
      <c r="I235" t="s">
        <v>327</v>
      </c>
      <c r="J235" t="s">
        <v>328</v>
      </c>
      <c r="K235" s="5"/>
      <c r="L235" s="10" t="s">
        <v>83</v>
      </c>
      <c r="M235" s="49">
        <v>15.9</v>
      </c>
      <c r="N235" s="34">
        <f>PLANPRODUCCION[[#This Row],[PIEZAS PLANEADAS]]*PLANPRODUCCION[[#This Row],[PRECIO MAQUILAS]]</f>
        <v>0</v>
      </c>
      <c r="O235" s="5">
        <v>3</v>
      </c>
      <c r="P235" s="2">
        <v>0.66666666666666663</v>
      </c>
      <c r="Q235" s="2">
        <v>0.875</v>
      </c>
      <c r="R235" s="24">
        <v>130</v>
      </c>
      <c r="S235" s="35">
        <f>PLANPRODUCCION[[#This Row],[PRECIO MAQUILAS]]*PLANPRODUCCION[[#This Row],[PIEZAS REAL]]</f>
        <v>2067</v>
      </c>
      <c r="T23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3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3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23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1137</v>
      </c>
      <c r="X235" s="8"/>
      <c r="Y23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3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3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35" s="13" t="e">
        <f>IF(PLANPRODUCCION[[#This Row],[PIEZAS REAL]]&gt;0,PLANPRODUCCION[[#This Row],[PIEZAS REAL]]/PLANPRODUCCION[[#This Row],[PIEZAS ACTUALIZADO]],)</f>
        <v>#DIV/0!</v>
      </c>
      <c r="AC235" s="10" t="b">
        <f>PLANPRODUCCION[[#This Row],[INGRESO PLANEADO]]&lt;PLANPRODUCCION[[#This Row],[COSTO PLANEADO]]</f>
        <v>0</v>
      </c>
      <c r="AD235" s="46" t="s">
        <v>347</v>
      </c>
      <c r="AE235" s="10"/>
      <c r="AF235" s="10" t="b">
        <f>IF(COUNTIF(PLANPRODUCCION[[#This Row],[OBSERVACIONES]],"NO APLICA BONO*")&gt;0,TRUE,FALSE)</f>
        <v>0</v>
      </c>
    </row>
    <row r="236" spans="1:32" x14ac:dyDescent="0.25">
      <c r="A236" s="46" t="str">
        <f>UPPER(IF(PLANPRODUCCION[[#This Row],[FECHA]]&lt;=45701,_xlfn.CONCAT(TEXT(B236,"MMM"),"-",IF(ROW(A236)&lt;11,"000"&amp;ROW(A236)-1,IF(ROW(A236)&lt;101,"00"&amp;ROW(A236)-1,IF(ROW(A236)&lt;1001,"0"&amp;ROW(A236)-1,ROW(A236)-1))),"-OLD"),_xlfn.CONCAT(TEXT(B236,"MMM"),"-",IF(ROW(A236)&lt;473,"000"&amp;ROW(A236)-463,IF(ROW(A236)&lt;563,"00"&amp;ROW(A236)-463,IF(ROW(A236)&lt;1001,"0"&amp;ROW(A236)-463,ROW(A236)-463))))))</f>
        <v>ENE-0235-OLD</v>
      </c>
      <c r="B236" s="1">
        <v>45679</v>
      </c>
      <c r="C236" s="5"/>
      <c r="D236" s="5"/>
      <c r="E236" t="s">
        <v>72</v>
      </c>
      <c r="F236" s="32"/>
      <c r="G236" s="32"/>
      <c r="H236" s="5">
        <v>1542</v>
      </c>
      <c r="I236" t="s">
        <v>327</v>
      </c>
      <c r="J236" t="s">
        <v>328</v>
      </c>
      <c r="K236" s="5"/>
      <c r="L236" s="10" t="s">
        <v>83</v>
      </c>
      <c r="M236" s="49">
        <v>15.9</v>
      </c>
      <c r="N236" s="34">
        <f>PLANPRODUCCION[[#This Row],[PIEZAS PLANEADAS]]*PLANPRODUCCION[[#This Row],[PRECIO MAQUILAS]]</f>
        <v>0</v>
      </c>
      <c r="O236" s="5">
        <v>3</v>
      </c>
      <c r="P236" s="2">
        <v>0.66666666666666663</v>
      </c>
      <c r="Q236" s="2">
        <v>0.875</v>
      </c>
      <c r="R236" s="24">
        <v>112</v>
      </c>
      <c r="S236" s="35">
        <f>PLANPRODUCCION[[#This Row],[PRECIO MAQUILAS]]*PLANPRODUCCION[[#This Row],[PIEZAS REAL]]</f>
        <v>1780.8</v>
      </c>
      <c r="T23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3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3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23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850.8</v>
      </c>
      <c r="X236" s="8"/>
      <c r="Y23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3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3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36" s="13" t="e">
        <f>IF(PLANPRODUCCION[[#This Row],[PIEZAS REAL]]&gt;0,PLANPRODUCCION[[#This Row],[PIEZAS REAL]]/PLANPRODUCCION[[#This Row],[PIEZAS ACTUALIZADO]],)</f>
        <v>#DIV/0!</v>
      </c>
      <c r="AC236" s="10" t="b">
        <f>PLANPRODUCCION[[#This Row],[INGRESO PLANEADO]]&lt;PLANPRODUCCION[[#This Row],[COSTO PLANEADO]]</f>
        <v>0</v>
      </c>
      <c r="AD236" s="46" t="s">
        <v>348</v>
      </c>
      <c r="AE236" s="10"/>
      <c r="AF236" s="10" t="b">
        <f>IF(COUNTIF(PLANPRODUCCION[[#This Row],[OBSERVACIONES]],"NO APLICA BONO*")&gt;0,TRUE,FALSE)</f>
        <v>0</v>
      </c>
    </row>
    <row r="237" spans="1:32" x14ac:dyDescent="0.25">
      <c r="A237" s="46" t="str">
        <f>UPPER(IF(PLANPRODUCCION[[#This Row],[FECHA]]&lt;=45701,_xlfn.CONCAT(TEXT(B237,"MMM"),"-",IF(ROW(A237)&lt;11,"000"&amp;ROW(A237)-1,IF(ROW(A237)&lt;101,"00"&amp;ROW(A237)-1,IF(ROW(A237)&lt;1001,"0"&amp;ROW(A237)-1,ROW(A237)-1))),"-OLD"),_xlfn.CONCAT(TEXT(B237,"MMM"),"-",IF(ROW(A237)&lt;473,"000"&amp;ROW(A237)-463,IF(ROW(A237)&lt;563,"00"&amp;ROW(A237)-463,IF(ROW(A237)&lt;1001,"0"&amp;ROW(A237)-463,ROW(A237)-463))))))</f>
        <v>ENE-0236-OLD</v>
      </c>
      <c r="B237" s="1">
        <v>45679</v>
      </c>
      <c r="C237" s="5"/>
      <c r="D237" s="5"/>
      <c r="E237" t="s">
        <v>75</v>
      </c>
      <c r="F237" s="32"/>
      <c r="G237" s="32"/>
      <c r="H237" s="5">
        <v>1542</v>
      </c>
      <c r="I237" t="s">
        <v>327</v>
      </c>
      <c r="J237" t="s">
        <v>328</v>
      </c>
      <c r="K237" s="5"/>
      <c r="L237" s="10" t="s">
        <v>83</v>
      </c>
      <c r="M237" s="49">
        <v>15.9</v>
      </c>
      <c r="N237" s="34">
        <f>PLANPRODUCCION[[#This Row],[PIEZAS PLANEADAS]]*PLANPRODUCCION[[#This Row],[PRECIO MAQUILAS]]</f>
        <v>0</v>
      </c>
      <c r="O237" s="5">
        <v>2</v>
      </c>
      <c r="P237" s="2">
        <v>0.875</v>
      </c>
      <c r="Q237" s="2">
        <v>0.25</v>
      </c>
      <c r="R237" s="24">
        <v>136</v>
      </c>
      <c r="S237" s="35">
        <f>PLANPRODUCCION[[#This Row],[PRECIO MAQUILAS]]*PLANPRODUCCION[[#This Row],[PIEZAS REAL]]</f>
        <v>2162.4</v>
      </c>
      <c r="T23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3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3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1500</v>
      </c>
      <c r="W23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662.40000000000009</v>
      </c>
      <c r="X237" s="8"/>
      <c r="Y23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3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3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37" s="13" t="e">
        <f>IF(PLANPRODUCCION[[#This Row],[PIEZAS REAL]]&gt;0,PLANPRODUCCION[[#This Row],[PIEZAS REAL]]/PLANPRODUCCION[[#This Row],[PIEZAS ACTUALIZADO]],)</f>
        <v>#DIV/0!</v>
      </c>
      <c r="AC237" s="10" t="b">
        <f>PLANPRODUCCION[[#This Row],[INGRESO PLANEADO]]&lt;PLANPRODUCCION[[#This Row],[COSTO PLANEADO]]</f>
        <v>0</v>
      </c>
      <c r="AD237" s="46" t="s">
        <v>349</v>
      </c>
      <c r="AE237" s="10"/>
      <c r="AF237" s="10" t="b">
        <f>IF(COUNTIF(PLANPRODUCCION[[#This Row],[OBSERVACIONES]],"NO APLICA BONO*")&gt;0,TRUE,FALSE)</f>
        <v>0</v>
      </c>
    </row>
    <row r="238" spans="1:32" x14ac:dyDescent="0.25">
      <c r="A238" s="46" t="str">
        <f>UPPER(IF(PLANPRODUCCION[[#This Row],[FECHA]]&lt;=45701,_xlfn.CONCAT(TEXT(B238,"MMM"),"-",IF(ROW(A238)&lt;11,"000"&amp;ROW(A238)-1,IF(ROW(A238)&lt;101,"00"&amp;ROW(A238)-1,IF(ROW(A238)&lt;1001,"0"&amp;ROW(A238)-1,ROW(A238)-1))),"-OLD"),_xlfn.CONCAT(TEXT(B238,"MMM"),"-",IF(ROW(A238)&lt;473,"000"&amp;ROW(A238)-463,IF(ROW(A238)&lt;563,"00"&amp;ROW(A238)-463,IF(ROW(A238)&lt;1001,"0"&amp;ROW(A238)-463,ROW(A238)-463))))))</f>
        <v>ENE-0237-OLD</v>
      </c>
      <c r="B238" s="1">
        <v>45679</v>
      </c>
      <c r="C238" s="5"/>
      <c r="D238" s="5"/>
      <c r="E238" t="s">
        <v>75</v>
      </c>
      <c r="F238" s="32"/>
      <c r="G238" s="32"/>
      <c r="H238" s="5">
        <v>1542</v>
      </c>
      <c r="I238" t="s">
        <v>327</v>
      </c>
      <c r="J238" t="s">
        <v>328</v>
      </c>
      <c r="K238" s="5"/>
      <c r="L238" s="10" t="s">
        <v>83</v>
      </c>
      <c r="M238" s="49">
        <v>15.9</v>
      </c>
      <c r="N238" s="34">
        <f>PLANPRODUCCION[[#This Row],[PIEZAS PLANEADAS]]*PLANPRODUCCION[[#This Row],[PRECIO MAQUILAS]]</f>
        <v>0</v>
      </c>
      <c r="O238" s="5">
        <v>3</v>
      </c>
      <c r="P238" s="2">
        <v>0.875</v>
      </c>
      <c r="Q238" s="2">
        <v>0.25</v>
      </c>
      <c r="R238" s="24">
        <v>181</v>
      </c>
      <c r="S238" s="35">
        <f>PLANPRODUCCION[[#This Row],[PRECIO MAQUILAS]]*PLANPRODUCCION[[#This Row],[PIEZAS REAL]]</f>
        <v>2877.9</v>
      </c>
      <c r="T23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3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3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2250</v>
      </c>
      <c r="W23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627.90000000000009</v>
      </c>
      <c r="X238" s="8"/>
      <c r="Y23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3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3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38" s="13" t="e">
        <f>IF(PLANPRODUCCION[[#This Row],[PIEZAS REAL]]&gt;0,PLANPRODUCCION[[#This Row],[PIEZAS REAL]]/PLANPRODUCCION[[#This Row],[PIEZAS ACTUALIZADO]],)</f>
        <v>#DIV/0!</v>
      </c>
      <c r="AC238" s="10" t="b">
        <f>PLANPRODUCCION[[#This Row],[INGRESO PLANEADO]]&lt;PLANPRODUCCION[[#This Row],[COSTO PLANEADO]]</f>
        <v>0</v>
      </c>
      <c r="AD238" s="46" t="s">
        <v>350</v>
      </c>
      <c r="AE238" s="10"/>
      <c r="AF238" s="10" t="b">
        <f>IF(COUNTIF(PLANPRODUCCION[[#This Row],[OBSERVACIONES]],"NO APLICA BONO*")&gt;0,TRUE,FALSE)</f>
        <v>0</v>
      </c>
    </row>
    <row r="239" spans="1:32" x14ac:dyDescent="0.25">
      <c r="A239" s="46" t="str">
        <f>UPPER(IF(PLANPRODUCCION[[#This Row],[FECHA]]&lt;=45701,_xlfn.CONCAT(TEXT(B239,"MMM"),"-",IF(ROW(A239)&lt;11,"000"&amp;ROW(A239)-1,IF(ROW(A239)&lt;101,"00"&amp;ROW(A239)-1,IF(ROW(A239)&lt;1001,"0"&amp;ROW(A239)-1,ROW(A239)-1))),"-OLD"),_xlfn.CONCAT(TEXT(B239,"MMM"),"-",IF(ROW(A239)&lt;473,"000"&amp;ROW(A239)-463,IF(ROW(A239)&lt;563,"00"&amp;ROW(A239)-463,IF(ROW(A239)&lt;1001,"0"&amp;ROW(A239)-463,ROW(A239)-463))))))</f>
        <v>ENE-0238-OLD</v>
      </c>
      <c r="B239" s="1">
        <v>45679</v>
      </c>
      <c r="C239" s="5"/>
      <c r="D239" s="5"/>
      <c r="E239" t="s">
        <v>75</v>
      </c>
      <c r="F239" s="32"/>
      <c r="G239" s="32"/>
      <c r="H239" s="5">
        <v>1542</v>
      </c>
      <c r="I239" t="s">
        <v>327</v>
      </c>
      <c r="J239" t="s">
        <v>328</v>
      </c>
      <c r="K239" s="5"/>
      <c r="L239" s="10" t="s">
        <v>83</v>
      </c>
      <c r="M239" s="49">
        <v>15.9</v>
      </c>
      <c r="N239" s="34">
        <f>PLANPRODUCCION[[#This Row],[PIEZAS PLANEADAS]]*PLANPRODUCCION[[#This Row],[PRECIO MAQUILAS]]</f>
        <v>0</v>
      </c>
      <c r="O239" s="5">
        <v>3</v>
      </c>
      <c r="P239" s="2">
        <v>0.875</v>
      </c>
      <c r="Q239" s="2">
        <v>0.25</v>
      </c>
      <c r="R239" s="24">
        <v>178</v>
      </c>
      <c r="S239" s="35">
        <f>PLANPRODUCCION[[#This Row],[PRECIO MAQUILAS]]*PLANPRODUCCION[[#This Row],[PIEZAS REAL]]</f>
        <v>2830.2000000000003</v>
      </c>
      <c r="T23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3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3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2250</v>
      </c>
      <c r="W23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580.20000000000027</v>
      </c>
      <c r="X239" s="8"/>
      <c r="Y23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3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3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39" s="13" t="e">
        <f>IF(PLANPRODUCCION[[#This Row],[PIEZAS REAL]]&gt;0,PLANPRODUCCION[[#This Row],[PIEZAS REAL]]/PLANPRODUCCION[[#This Row],[PIEZAS ACTUALIZADO]],)</f>
        <v>#DIV/0!</v>
      </c>
      <c r="AC239" s="10" t="b">
        <f>PLANPRODUCCION[[#This Row],[INGRESO PLANEADO]]&lt;PLANPRODUCCION[[#This Row],[COSTO PLANEADO]]</f>
        <v>0</v>
      </c>
      <c r="AD239" s="46" t="s">
        <v>351</v>
      </c>
      <c r="AE239" s="10"/>
      <c r="AF239" s="10" t="b">
        <f>IF(COUNTIF(PLANPRODUCCION[[#This Row],[OBSERVACIONES]],"NO APLICA BONO*")&gt;0,TRUE,FALSE)</f>
        <v>0</v>
      </c>
    </row>
    <row r="240" spans="1:32" x14ac:dyDescent="0.25">
      <c r="A240" s="46" t="str">
        <f>UPPER(IF(PLANPRODUCCION[[#This Row],[FECHA]]&lt;=45701,_xlfn.CONCAT(TEXT(B240,"MMM"),"-",IF(ROW(A240)&lt;11,"000"&amp;ROW(A240)-1,IF(ROW(A240)&lt;101,"00"&amp;ROW(A240)-1,IF(ROW(A240)&lt;1001,"0"&amp;ROW(A240)-1,ROW(A240)-1))),"-OLD"),_xlfn.CONCAT(TEXT(B240,"MMM"),"-",IF(ROW(A240)&lt;473,"000"&amp;ROW(A240)-463,IF(ROW(A240)&lt;563,"00"&amp;ROW(A240)-463,IF(ROW(A240)&lt;1001,"0"&amp;ROW(A240)-463,ROW(A240)-463))))))</f>
        <v>ENE-0239-OLD</v>
      </c>
      <c r="B240" s="1">
        <v>45680</v>
      </c>
      <c r="C240" s="5"/>
      <c r="D240" s="5"/>
      <c r="E240" t="s">
        <v>54</v>
      </c>
      <c r="F240" s="32"/>
      <c r="G240" s="32"/>
      <c r="H240" s="5">
        <v>1477</v>
      </c>
      <c r="I240" t="s">
        <v>85</v>
      </c>
      <c r="J240" t="s">
        <v>86</v>
      </c>
      <c r="K240" s="5"/>
      <c r="L240" s="10" t="s">
        <v>57</v>
      </c>
      <c r="M240" s="49">
        <v>6</v>
      </c>
      <c r="N240" s="34">
        <f>PLANPRODUCCION[[#This Row],[PIEZAS PLANEADAS]]*PLANPRODUCCION[[#This Row],[PRECIO MAQUILAS]]</f>
        <v>0</v>
      </c>
      <c r="O240" s="5">
        <v>3</v>
      </c>
      <c r="P240" s="2">
        <v>0.25</v>
      </c>
      <c r="Q240" s="2">
        <v>0.66666666666666663</v>
      </c>
      <c r="R240" s="24">
        <v>800</v>
      </c>
      <c r="S240" s="35">
        <f>PLANPRODUCCION[[#This Row],[PRECIO MAQUILAS]]*PLANPRODUCCION[[#This Row],[PIEZAS REAL]]</f>
        <v>4800</v>
      </c>
      <c r="T24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4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4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4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2940</v>
      </c>
      <c r="X240" s="8"/>
      <c r="Y24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4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4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40" s="13" t="e">
        <f>IF(PLANPRODUCCION[[#This Row],[PIEZAS REAL]]&gt;0,PLANPRODUCCION[[#This Row],[PIEZAS REAL]]/PLANPRODUCCION[[#This Row],[PIEZAS ACTUALIZADO]],)</f>
        <v>#DIV/0!</v>
      </c>
      <c r="AC240" s="10" t="b">
        <f>PLANPRODUCCION[[#This Row],[INGRESO PLANEADO]]&lt;PLANPRODUCCION[[#This Row],[COSTO PLANEADO]]</f>
        <v>0</v>
      </c>
      <c r="AD240" s="46" t="s">
        <v>352</v>
      </c>
      <c r="AE240" s="10"/>
      <c r="AF240" s="10" t="b">
        <f>IF(COUNTIF(PLANPRODUCCION[[#This Row],[OBSERVACIONES]],"NO APLICA BONO*")&gt;0,TRUE,FALSE)</f>
        <v>0</v>
      </c>
    </row>
    <row r="241" spans="1:32" x14ac:dyDescent="0.25">
      <c r="A241" s="46" t="str">
        <f>UPPER(IF(PLANPRODUCCION[[#This Row],[FECHA]]&lt;=45701,_xlfn.CONCAT(TEXT(B241,"MMM"),"-",IF(ROW(A241)&lt;11,"000"&amp;ROW(A241)-1,IF(ROW(A241)&lt;101,"00"&amp;ROW(A241)-1,IF(ROW(A241)&lt;1001,"0"&amp;ROW(A241)-1,ROW(A241)-1))),"-OLD"),_xlfn.CONCAT(TEXT(B241,"MMM"),"-",IF(ROW(A241)&lt;473,"000"&amp;ROW(A241)-463,IF(ROW(A241)&lt;563,"00"&amp;ROW(A241)-463,IF(ROW(A241)&lt;1001,"0"&amp;ROW(A241)-463,ROW(A241)-463))))))</f>
        <v>ENE-0240-OLD</v>
      </c>
      <c r="B241" s="1">
        <v>45680</v>
      </c>
      <c r="C241" s="5"/>
      <c r="D241" s="5"/>
      <c r="E241" t="s">
        <v>54</v>
      </c>
      <c r="F241" s="32"/>
      <c r="G241" s="32"/>
      <c r="H241" s="5">
        <v>1477</v>
      </c>
      <c r="I241" t="s">
        <v>85</v>
      </c>
      <c r="J241" t="s">
        <v>86</v>
      </c>
      <c r="K241" s="5"/>
      <c r="L241" s="10" t="s">
        <v>57</v>
      </c>
      <c r="M241" s="49">
        <v>6</v>
      </c>
      <c r="N241" s="34">
        <f>PLANPRODUCCION[[#This Row],[PIEZAS PLANEADAS]]*PLANPRODUCCION[[#This Row],[PRECIO MAQUILAS]]</f>
        <v>0</v>
      </c>
      <c r="O241" s="5">
        <v>3</v>
      </c>
      <c r="P241" s="2">
        <v>0.25</v>
      </c>
      <c r="Q241" s="2">
        <v>0.66666666666666663</v>
      </c>
      <c r="R241" s="24">
        <v>664</v>
      </c>
      <c r="S241" s="35">
        <f>PLANPRODUCCION[[#This Row],[PRECIO MAQUILAS]]*PLANPRODUCCION[[#This Row],[PIEZAS REAL]]</f>
        <v>3984</v>
      </c>
      <c r="T24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4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4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4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2124</v>
      </c>
      <c r="X241" s="8"/>
      <c r="Y24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4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4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41" s="13" t="e">
        <f>IF(PLANPRODUCCION[[#This Row],[PIEZAS REAL]]&gt;0,PLANPRODUCCION[[#This Row],[PIEZAS REAL]]/PLANPRODUCCION[[#This Row],[PIEZAS ACTUALIZADO]],)</f>
        <v>#DIV/0!</v>
      </c>
      <c r="AC241" s="10" t="b">
        <f>PLANPRODUCCION[[#This Row],[INGRESO PLANEADO]]&lt;PLANPRODUCCION[[#This Row],[COSTO PLANEADO]]</f>
        <v>0</v>
      </c>
      <c r="AD241" s="46" t="s">
        <v>353</v>
      </c>
      <c r="AE241" s="10"/>
      <c r="AF241" s="10" t="b">
        <f>IF(COUNTIF(PLANPRODUCCION[[#This Row],[OBSERVACIONES]],"NO APLICA BONO*")&gt;0,TRUE,FALSE)</f>
        <v>0</v>
      </c>
    </row>
    <row r="242" spans="1:32" x14ac:dyDescent="0.25">
      <c r="A242" s="46" t="str">
        <f>UPPER(IF(PLANPRODUCCION[[#This Row],[FECHA]]&lt;=45701,_xlfn.CONCAT(TEXT(B242,"MMM"),"-",IF(ROW(A242)&lt;11,"000"&amp;ROW(A242)-1,IF(ROW(A242)&lt;101,"00"&amp;ROW(A242)-1,IF(ROW(A242)&lt;1001,"0"&amp;ROW(A242)-1,ROW(A242)-1))),"-OLD"),_xlfn.CONCAT(TEXT(B242,"MMM"),"-",IF(ROW(A242)&lt;473,"000"&amp;ROW(A242)-463,IF(ROW(A242)&lt;563,"00"&amp;ROW(A242)-463,IF(ROW(A242)&lt;1001,"0"&amp;ROW(A242)-463,ROW(A242)-463))))))</f>
        <v>ENE-0241-OLD</v>
      </c>
      <c r="B242" s="1">
        <v>45680</v>
      </c>
      <c r="C242" s="5"/>
      <c r="D242" s="5"/>
      <c r="E242" t="s">
        <v>54</v>
      </c>
      <c r="F242" s="32"/>
      <c r="G242" s="32"/>
      <c r="H242" s="5">
        <v>1477</v>
      </c>
      <c r="I242" t="s">
        <v>85</v>
      </c>
      <c r="J242" t="s">
        <v>86</v>
      </c>
      <c r="K242" s="5"/>
      <c r="L242" s="10" t="s">
        <v>57</v>
      </c>
      <c r="M242" s="49">
        <v>6</v>
      </c>
      <c r="N242" s="34">
        <f>PLANPRODUCCION[[#This Row],[PIEZAS PLANEADAS]]*PLANPRODUCCION[[#This Row],[PRECIO MAQUILAS]]</f>
        <v>0</v>
      </c>
      <c r="O242" s="5">
        <v>3</v>
      </c>
      <c r="P242" s="2">
        <v>0.25</v>
      </c>
      <c r="Q242" s="2">
        <v>0.66666666666666663</v>
      </c>
      <c r="R242" s="24">
        <v>750</v>
      </c>
      <c r="S242" s="35">
        <f>PLANPRODUCCION[[#This Row],[PRECIO MAQUILAS]]*PLANPRODUCCION[[#This Row],[PIEZAS REAL]]</f>
        <v>4500</v>
      </c>
      <c r="T24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4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4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4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2640</v>
      </c>
      <c r="X242" s="8"/>
      <c r="Y24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4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4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42" s="13" t="e">
        <f>IF(PLANPRODUCCION[[#This Row],[PIEZAS REAL]]&gt;0,PLANPRODUCCION[[#This Row],[PIEZAS REAL]]/PLANPRODUCCION[[#This Row],[PIEZAS ACTUALIZADO]],)</f>
        <v>#DIV/0!</v>
      </c>
      <c r="AC242" s="10" t="b">
        <f>PLANPRODUCCION[[#This Row],[INGRESO PLANEADO]]&lt;PLANPRODUCCION[[#This Row],[COSTO PLANEADO]]</f>
        <v>0</v>
      </c>
      <c r="AD242" s="46" t="s">
        <v>354</v>
      </c>
      <c r="AE242" s="10"/>
      <c r="AF242" s="10" t="b">
        <f>IF(COUNTIF(PLANPRODUCCION[[#This Row],[OBSERVACIONES]],"NO APLICA BONO*")&gt;0,TRUE,FALSE)</f>
        <v>0</v>
      </c>
    </row>
    <row r="243" spans="1:32" x14ac:dyDescent="0.25">
      <c r="A243" s="46" t="str">
        <f>UPPER(IF(PLANPRODUCCION[[#This Row],[FECHA]]&lt;=45701,_xlfn.CONCAT(TEXT(B243,"MMM"),"-",IF(ROW(A243)&lt;11,"000"&amp;ROW(A243)-1,IF(ROW(A243)&lt;101,"00"&amp;ROW(A243)-1,IF(ROW(A243)&lt;1001,"0"&amp;ROW(A243)-1,ROW(A243)-1))),"-OLD"),_xlfn.CONCAT(TEXT(B243,"MMM"),"-",IF(ROW(A243)&lt;473,"000"&amp;ROW(A243)-463,IF(ROW(A243)&lt;563,"00"&amp;ROW(A243)-463,IF(ROW(A243)&lt;1001,"0"&amp;ROW(A243)-463,ROW(A243)-463))))))</f>
        <v>ENE-0242-OLD</v>
      </c>
      <c r="B243" s="1">
        <v>45680</v>
      </c>
      <c r="C243" s="5"/>
      <c r="D243" s="5"/>
      <c r="E243" t="s">
        <v>54</v>
      </c>
      <c r="F243" s="32"/>
      <c r="G243" s="32"/>
      <c r="H243" s="5">
        <v>1477</v>
      </c>
      <c r="I243" t="s">
        <v>85</v>
      </c>
      <c r="J243" t="s">
        <v>86</v>
      </c>
      <c r="K243" s="5"/>
      <c r="L243" s="10" t="s">
        <v>57</v>
      </c>
      <c r="M243" s="49">
        <v>6</v>
      </c>
      <c r="N243" s="34">
        <f>PLANPRODUCCION[[#This Row],[PIEZAS PLANEADAS]]*PLANPRODUCCION[[#This Row],[PRECIO MAQUILAS]]</f>
        <v>0</v>
      </c>
      <c r="O243" s="5">
        <v>3</v>
      </c>
      <c r="P243" s="2">
        <v>0.25</v>
      </c>
      <c r="Q243" s="2">
        <v>0.66666666666666663</v>
      </c>
      <c r="R243" s="24">
        <v>600</v>
      </c>
      <c r="S243" s="35">
        <f>PLANPRODUCCION[[#This Row],[PRECIO MAQUILAS]]*PLANPRODUCCION[[#This Row],[PIEZAS REAL]]</f>
        <v>3600</v>
      </c>
      <c r="T24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4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4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4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1740</v>
      </c>
      <c r="X243" s="8"/>
      <c r="Y24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4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4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43" s="13" t="e">
        <f>IF(PLANPRODUCCION[[#This Row],[PIEZAS REAL]]&gt;0,PLANPRODUCCION[[#This Row],[PIEZAS REAL]]/PLANPRODUCCION[[#This Row],[PIEZAS ACTUALIZADO]],)</f>
        <v>#DIV/0!</v>
      </c>
      <c r="AC243" s="10" t="b">
        <f>PLANPRODUCCION[[#This Row],[INGRESO PLANEADO]]&lt;PLANPRODUCCION[[#This Row],[COSTO PLANEADO]]</f>
        <v>0</v>
      </c>
      <c r="AD243" s="46" t="s">
        <v>355</v>
      </c>
      <c r="AE243" s="10"/>
      <c r="AF243" s="10" t="b">
        <f>IF(COUNTIF(PLANPRODUCCION[[#This Row],[OBSERVACIONES]],"NO APLICA BONO*")&gt;0,TRUE,FALSE)</f>
        <v>0</v>
      </c>
    </row>
    <row r="244" spans="1:32" x14ac:dyDescent="0.25">
      <c r="A244" s="46" t="str">
        <f>UPPER(IF(PLANPRODUCCION[[#This Row],[FECHA]]&lt;=45701,_xlfn.CONCAT(TEXT(B244,"MMM"),"-",IF(ROW(A244)&lt;11,"000"&amp;ROW(A244)-1,IF(ROW(A244)&lt;101,"00"&amp;ROW(A244)-1,IF(ROW(A244)&lt;1001,"0"&amp;ROW(A244)-1,ROW(A244)-1))),"-OLD"),_xlfn.CONCAT(TEXT(B244,"MMM"),"-",IF(ROW(A244)&lt;473,"000"&amp;ROW(A244)-463,IF(ROW(A244)&lt;563,"00"&amp;ROW(A244)-463,IF(ROW(A244)&lt;1001,"0"&amp;ROW(A244)-463,ROW(A244)-463))))))</f>
        <v>ENE-0243-OLD</v>
      </c>
      <c r="B244" s="1">
        <v>45680</v>
      </c>
      <c r="C244" s="5"/>
      <c r="D244" s="5"/>
      <c r="E244" t="s">
        <v>54</v>
      </c>
      <c r="F244" s="32"/>
      <c r="G244" s="32"/>
      <c r="H244" s="5">
        <v>1477</v>
      </c>
      <c r="I244" t="s">
        <v>85</v>
      </c>
      <c r="J244" t="s">
        <v>86</v>
      </c>
      <c r="K244" s="5"/>
      <c r="L244" s="10" t="s">
        <v>57</v>
      </c>
      <c r="M244" s="49">
        <v>6</v>
      </c>
      <c r="N244" s="34">
        <f>PLANPRODUCCION[[#This Row],[PIEZAS PLANEADAS]]*PLANPRODUCCION[[#This Row],[PRECIO MAQUILAS]]</f>
        <v>0</v>
      </c>
      <c r="O244" s="5">
        <v>2</v>
      </c>
      <c r="P244" s="2">
        <v>0.25</v>
      </c>
      <c r="Q244" s="2">
        <v>0.66666666666666663</v>
      </c>
      <c r="R244" s="24">
        <v>220</v>
      </c>
      <c r="S244" s="35">
        <f>PLANPRODUCCION[[#This Row],[PRECIO MAQUILAS]]*PLANPRODUCCION[[#This Row],[PIEZAS REAL]]</f>
        <v>1320</v>
      </c>
      <c r="T24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4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4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24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80</v>
      </c>
      <c r="X244" s="8"/>
      <c r="Y24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4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4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44" s="13" t="e">
        <f>IF(PLANPRODUCCION[[#This Row],[PIEZAS REAL]]&gt;0,PLANPRODUCCION[[#This Row],[PIEZAS REAL]]/PLANPRODUCCION[[#This Row],[PIEZAS ACTUALIZADO]],)</f>
        <v>#DIV/0!</v>
      </c>
      <c r="AC244" s="10" t="b">
        <f>PLANPRODUCCION[[#This Row],[INGRESO PLANEADO]]&lt;PLANPRODUCCION[[#This Row],[COSTO PLANEADO]]</f>
        <v>0</v>
      </c>
      <c r="AD244" s="46" t="s">
        <v>356</v>
      </c>
      <c r="AE244" s="10"/>
      <c r="AF244" s="10" t="b">
        <f>IF(COUNTIF(PLANPRODUCCION[[#This Row],[OBSERVACIONES]],"NO APLICA BONO*")&gt;0,TRUE,FALSE)</f>
        <v>0</v>
      </c>
    </row>
    <row r="245" spans="1:32" x14ac:dyDescent="0.25">
      <c r="A245" s="46" t="str">
        <f>UPPER(IF(PLANPRODUCCION[[#This Row],[FECHA]]&lt;=45701,_xlfn.CONCAT(TEXT(B245,"MMM"),"-",IF(ROW(A245)&lt;11,"000"&amp;ROW(A245)-1,IF(ROW(A245)&lt;101,"00"&amp;ROW(A245)-1,IF(ROW(A245)&lt;1001,"0"&amp;ROW(A245)-1,ROW(A245)-1))),"-OLD"),_xlfn.CONCAT(TEXT(B245,"MMM"),"-",IF(ROW(A245)&lt;473,"000"&amp;ROW(A245)-463,IF(ROW(A245)&lt;563,"00"&amp;ROW(A245)-463,IF(ROW(A245)&lt;1001,"0"&amp;ROW(A245)-463,ROW(A245)-463))))))</f>
        <v>ENE-0244-OLD</v>
      </c>
      <c r="B245" s="1">
        <v>45680</v>
      </c>
      <c r="C245" s="5"/>
      <c r="D245" s="5"/>
      <c r="E245" t="s">
        <v>54</v>
      </c>
      <c r="F245" s="32"/>
      <c r="G245" s="32"/>
      <c r="H245" s="5">
        <v>1542</v>
      </c>
      <c r="I245" t="s">
        <v>327</v>
      </c>
      <c r="J245" t="s">
        <v>328</v>
      </c>
      <c r="K245" s="5"/>
      <c r="L245" s="10" t="s">
        <v>83</v>
      </c>
      <c r="M245" s="49">
        <v>15.9</v>
      </c>
      <c r="N245" s="34">
        <f>PLANPRODUCCION[[#This Row],[PIEZAS PLANEADAS]]*PLANPRODUCCION[[#This Row],[PRECIO MAQUILAS]]</f>
        <v>0</v>
      </c>
      <c r="O245" s="5">
        <v>3</v>
      </c>
      <c r="P245" s="2">
        <v>0.25</v>
      </c>
      <c r="Q245" s="2">
        <v>0.66666666666666663</v>
      </c>
      <c r="R245" s="24">
        <v>450</v>
      </c>
      <c r="S245" s="35">
        <f>PLANPRODUCCION[[#This Row],[PRECIO MAQUILAS]]*PLANPRODUCCION[[#This Row],[PIEZAS REAL]]</f>
        <v>7155</v>
      </c>
      <c r="T24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4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4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4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5295</v>
      </c>
      <c r="X245" s="8"/>
      <c r="Y24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4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4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45" s="13" t="e">
        <f>IF(PLANPRODUCCION[[#This Row],[PIEZAS REAL]]&gt;0,PLANPRODUCCION[[#This Row],[PIEZAS REAL]]/PLANPRODUCCION[[#This Row],[PIEZAS ACTUALIZADO]],)</f>
        <v>#DIV/0!</v>
      </c>
      <c r="AC245" s="10" t="b">
        <f>PLANPRODUCCION[[#This Row],[INGRESO PLANEADO]]&lt;PLANPRODUCCION[[#This Row],[COSTO PLANEADO]]</f>
        <v>0</v>
      </c>
      <c r="AD245" s="46" t="s">
        <v>357</v>
      </c>
      <c r="AE245" s="10"/>
      <c r="AF245" s="10" t="b">
        <f>IF(COUNTIF(PLANPRODUCCION[[#This Row],[OBSERVACIONES]],"NO APLICA BONO*")&gt;0,TRUE,FALSE)</f>
        <v>0</v>
      </c>
    </row>
    <row r="246" spans="1:32" x14ac:dyDescent="0.25">
      <c r="A246" s="46" t="str">
        <f>UPPER(IF(PLANPRODUCCION[[#This Row],[FECHA]]&lt;=45701,_xlfn.CONCAT(TEXT(B246,"MMM"),"-",IF(ROW(A246)&lt;11,"000"&amp;ROW(A246)-1,IF(ROW(A246)&lt;101,"00"&amp;ROW(A246)-1,IF(ROW(A246)&lt;1001,"0"&amp;ROW(A246)-1,ROW(A246)-1))),"-OLD"),_xlfn.CONCAT(TEXT(B246,"MMM"),"-",IF(ROW(A246)&lt;473,"000"&amp;ROW(A246)-463,IF(ROW(A246)&lt;563,"00"&amp;ROW(A246)-463,IF(ROW(A246)&lt;1001,"0"&amp;ROW(A246)-463,ROW(A246)-463))))))</f>
        <v>ENE-0245-OLD</v>
      </c>
      <c r="B246" s="1">
        <v>45680</v>
      </c>
      <c r="C246" s="5"/>
      <c r="D246" s="5"/>
      <c r="E246" t="s">
        <v>67</v>
      </c>
      <c r="F246" s="32"/>
      <c r="G246" s="32"/>
      <c r="H246" s="5">
        <v>1477</v>
      </c>
      <c r="I246" t="s">
        <v>85</v>
      </c>
      <c r="J246" t="s">
        <v>86</v>
      </c>
      <c r="K246" s="5"/>
      <c r="L246" s="10" t="s">
        <v>57</v>
      </c>
      <c r="M246" s="49">
        <v>6</v>
      </c>
      <c r="N246" s="34">
        <f>PLANPRODUCCION[[#This Row],[PIEZAS PLANEADAS]]*PLANPRODUCCION[[#This Row],[PRECIO MAQUILAS]]</f>
        <v>0</v>
      </c>
      <c r="O246" s="5">
        <v>2</v>
      </c>
      <c r="P246" s="2">
        <v>0.33333333333333331</v>
      </c>
      <c r="Q246" s="2">
        <v>0.75</v>
      </c>
      <c r="R246" s="24">
        <v>200</v>
      </c>
      <c r="S246" s="35">
        <f>PLANPRODUCCION[[#This Row],[PRECIO MAQUILAS]]*PLANPRODUCCION[[#This Row],[PIEZAS REAL]]</f>
        <v>1200</v>
      </c>
      <c r="T24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4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4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24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-40</v>
      </c>
      <c r="X246" s="8"/>
      <c r="Y24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4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4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46" s="13" t="e">
        <f>IF(PLANPRODUCCION[[#This Row],[PIEZAS REAL]]&gt;0,PLANPRODUCCION[[#This Row],[PIEZAS REAL]]/PLANPRODUCCION[[#This Row],[PIEZAS ACTUALIZADO]],)</f>
        <v>#DIV/0!</v>
      </c>
      <c r="AC246" s="10" t="b">
        <f>PLANPRODUCCION[[#This Row],[INGRESO PLANEADO]]&lt;PLANPRODUCCION[[#This Row],[COSTO PLANEADO]]</f>
        <v>0</v>
      </c>
      <c r="AD246" s="46" t="s">
        <v>358</v>
      </c>
      <c r="AE246" s="10"/>
      <c r="AF246" s="10" t="b">
        <f>IF(COUNTIF(PLANPRODUCCION[[#This Row],[OBSERVACIONES]],"NO APLICA BONO*")&gt;0,TRUE,FALSE)</f>
        <v>0</v>
      </c>
    </row>
    <row r="247" spans="1:32" x14ac:dyDescent="0.25">
      <c r="A247" s="46" t="str">
        <f>UPPER(IF(PLANPRODUCCION[[#This Row],[FECHA]]&lt;=45701,_xlfn.CONCAT(TEXT(B247,"MMM"),"-",IF(ROW(A247)&lt;11,"000"&amp;ROW(A247)-1,IF(ROW(A247)&lt;101,"00"&amp;ROW(A247)-1,IF(ROW(A247)&lt;1001,"0"&amp;ROW(A247)-1,ROW(A247)-1))),"-OLD"),_xlfn.CONCAT(TEXT(B247,"MMM"),"-",IF(ROW(A247)&lt;473,"000"&amp;ROW(A247)-463,IF(ROW(A247)&lt;563,"00"&amp;ROW(A247)-463,IF(ROW(A247)&lt;1001,"0"&amp;ROW(A247)-463,ROW(A247)-463))))))</f>
        <v>ENE-0246-OLD</v>
      </c>
      <c r="B247" s="1">
        <v>45680</v>
      </c>
      <c r="C247" s="5"/>
      <c r="D247" s="5"/>
      <c r="E247" t="s">
        <v>67</v>
      </c>
      <c r="F247" s="32"/>
      <c r="G247" s="32"/>
      <c r="H247" s="5">
        <v>1552</v>
      </c>
      <c r="I247" t="s">
        <v>359</v>
      </c>
      <c r="J247" t="s">
        <v>360</v>
      </c>
      <c r="K247" s="5"/>
      <c r="L247" s="10" t="s">
        <v>57</v>
      </c>
      <c r="M247" s="49">
        <v>1.45</v>
      </c>
      <c r="N247" s="34">
        <f>PLANPRODUCCION[[#This Row],[PIEZAS PLANEADAS]]*PLANPRODUCCION[[#This Row],[PRECIO MAQUILAS]]</f>
        <v>0</v>
      </c>
      <c r="O247" s="5">
        <v>3</v>
      </c>
      <c r="P247" s="2">
        <v>0.33333333333333331</v>
      </c>
      <c r="Q247" s="2">
        <v>0.75</v>
      </c>
      <c r="R247" s="24">
        <v>1350</v>
      </c>
      <c r="S247" s="35">
        <f>PLANPRODUCCION[[#This Row],[PRECIO MAQUILAS]]*PLANPRODUCCION[[#This Row],[PIEZAS REAL]]</f>
        <v>1957.5</v>
      </c>
      <c r="T24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4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4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4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97.5</v>
      </c>
      <c r="X247" s="8"/>
      <c r="Y24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4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4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47" s="13" t="e">
        <f>IF(PLANPRODUCCION[[#This Row],[PIEZAS REAL]]&gt;0,PLANPRODUCCION[[#This Row],[PIEZAS REAL]]/PLANPRODUCCION[[#This Row],[PIEZAS ACTUALIZADO]],)</f>
        <v>#DIV/0!</v>
      </c>
      <c r="AC247" s="10" t="b">
        <f>PLANPRODUCCION[[#This Row],[INGRESO PLANEADO]]&lt;PLANPRODUCCION[[#This Row],[COSTO PLANEADO]]</f>
        <v>0</v>
      </c>
      <c r="AD247" s="46" t="s">
        <v>361</v>
      </c>
      <c r="AE247" s="10"/>
      <c r="AF247" s="10" t="b">
        <f>IF(COUNTIF(PLANPRODUCCION[[#This Row],[OBSERVACIONES]],"NO APLICA BONO*")&gt;0,TRUE,FALSE)</f>
        <v>0</v>
      </c>
    </row>
    <row r="248" spans="1:32" x14ac:dyDescent="0.25">
      <c r="A248" s="46" t="str">
        <f>UPPER(IF(PLANPRODUCCION[[#This Row],[FECHA]]&lt;=45701,_xlfn.CONCAT(TEXT(B248,"MMM"),"-",IF(ROW(A248)&lt;11,"000"&amp;ROW(A248)-1,IF(ROW(A248)&lt;101,"00"&amp;ROW(A248)-1,IF(ROW(A248)&lt;1001,"0"&amp;ROW(A248)-1,ROW(A248)-1))),"-OLD"),_xlfn.CONCAT(TEXT(B248,"MMM"),"-",IF(ROW(A248)&lt;473,"000"&amp;ROW(A248)-463,IF(ROW(A248)&lt;563,"00"&amp;ROW(A248)-463,IF(ROW(A248)&lt;1001,"0"&amp;ROW(A248)-463,ROW(A248)-463))))))</f>
        <v>ENE-0247-OLD</v>
      </c>
      <c r="B248" s="1">
        <v>45680</v>
      </c>
      <c r="C248" s="5"/>
      <c r="D248" s="5"/>
      <c r="E248" t="s">
        <v>72</v>
      </c>
      <c r="F248" s="32"/>
      <c r="G248" s="32"/>
      <c r="H248" s="5">
        <v>1552</v>
      </c>
      <c r="I248" t="s">
        <v>359</v>
      </c>
      <c r="J248" t="s">
        <v>360</v>
      </c>
      <c r="K248" s="5"/>
      <c r="L248" s="10" t="s">
        <v>57</v>
      </c>
      <c r="M248" s="49">
        <v>1.45</v>
      </c>
      <c r="N248" s="34">
        <f>PLANPRODUCCION[[#This Row],[PIEZAS PLANEADAS]]*PLANPRODUCCION[[#This Row],[PRECIO MAQUILAS]]</f>
        <v>0</v>
      </c>
      <c r="O248" s="5">
        <v>4</v>
      </c>
      <c r="P248" s="2">
        <v>0.66666666666666663</v>
      </c>
      <c r="Q248" s="2">
        <v>0.875</v>
      </c>
      <c r="R248" s="24">
        <v>900</v>
      </c>
      <c r="S248" s="35">
        <f>PLANPRODUCCION[[#This Row],[PRECIO MAQUILAS]]*PLANPRODUCCION[[#This Row],[PIEZAS REAL]]</f>
        <v>1305</v>
      </c>
      <c r="T24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4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4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24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65</v>
      </c>
      <c r="X248" s="8"/>
      <c r="Y24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4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4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48" s="13" t="e">
        <f>IF(PLANPRODUCCION[[#This Row],[PIEZAS REAL]]&gt;0,PLANPRODUCCION[[#This Row],[PIEZAS REAL]]/PLANPRODUCCION[[#This Row],[PIEZAS ACTUALIZADO]],)</f>
        <v>#DIV/0!</v>
      </c>
      <c r="AC248" s="10" t="b">
        <f>PLANPRODUCCION[[#This Row],[INGRESO PLANEADO]]&lt;PLANPRODUCCION[[#This Row],[COSTO PLANEADO]]</f>
        <v>0</v>
      </c>
      <c r="AD248" s="46" t="s">
        <v>362</v>
      </c>
      <c r="AE248" s="10"/>
      <c r="AF248" s="10" t="b">
        <f>IF(COUNTIF(PLANPRODUCCION[[#This Row],[OBSERVACIONES]],"NO APLICA BONO*")&gt;0,TRUE,FALSE)</f>
        <v>0</v>
      </c>
    </row>
    <row r="249" spans="1:32" x14ac:dyDescent="0.25">
      <c r="A249" s="46" t="str">
        <f>UPPER(IF(PLANPRODUCCION[[#This Row],[FECHA]]&lt;=45701,_xlfn.CONCAT(TEXT(B249,"MMM"),"-",IF(ROW(A249)&lt;11,"000"&amp;ROW(A249)-1,IF(ROW(A249)&lt;101,"00"&amp;ROW(A249)-1,IF(ROW(A249)&lt;1001,"0"&amp;ROW(A249)-1,ROW(A249)-1))),"-OLD"),_xlfn.CONCAT(TEXT(B249,"MMM"),"-",IF(ROW(A249)&lt;473,"000"&amp;ROW(A249)-463,IF(ROW(A249)&lt;563,"00"&amp;ROW(A249)-463,IF(ROW(A249)&lt;1001,"0"&amp;ROW(A249)-463,ROW(A249)-463))))))</f>
        <v>ENE-0248-OLD</v>
      </c>
      <c r="B249" s="1">
        <v>45680</v>
      </c>
      <c r="C249" s="5"/>
      <c r="D249" s="5"/>
      <c r="E249" t="s">
        <v>72</v>
      </c>
      <c r="F249" s="32"/>
      <c r="G249" s="32"/>
      <c r="H249" s="5">
        <v>1552</v>
      </c>
      <c r="I249" t="s">
        <v>359</v>
      </c>
      <c r="J249" t="s">
        <v>360</v>
      </c>
      <c r="K249" s="5"/>
      <c r="L249" s="10" t="s">
        <v>57</v>
      </c>
      <c r="M249" s="49">
        <v>1.45</v>
      </c>
      <c r="N249" s="34">
        <f>PLANPRODUCCION[[#This Row],[PIEZAS PLANEADAS]]*PLANPRODUCCION[[#This Row],[PRECIO MAQUILAS]]</f>
        <v>0</v>
      </c>
      <c r="O249" s="5">
        <v>3</v>
      </c>
      <c r="P249" s="2">
        <v>0.66666666666666663</v>
      </c>
      <c r="Q249" s="2">
        <v>0.875</v>
      </c>
      <c r="R249" s="24">
        <v>630</v>
      </c>
      <c r="S249" s="35">
        <f>PLANPRODUCCION[[#This Row],[PRECIO MAQUILAS]]*PLANPRODUCCION[[#This Row],[PIEZAS REAL]]</f>
        <v>913.5</v>
      </c>
      <c r="T24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4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4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24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-16.5</v>
      </c>
      <c r="X249" s="8"/>
      <c r="Y24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4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4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49" s="13" t="e">
        <f>IF(PLANPRODUCCION[[#This Row],[PIEZAS REAL]]&gt;0,PLANPRODUCCION[[#This Row],[PIEZAS REAL]]/PLANPRODUCCION[[#This Row],[PIEZAS ACTUALIZADO]],)</f>
        <v>#DIV/0!</v>
      </c>
      <c r="AC249" s="10" t="b">
        <f>PLANPRODUCCION[[#This Row],[INGRESO PLANEADO]]&lt;PLANPRODUCCION[[#This Row],[COSTO PLANEADO]]</f>
        <v>0</v>
      </c>
      <c r="AD249" s="46" t="s">
        <v>363</v>
      </c>
      <c r="AE249" s="10"/>
      <c r="AF249" s="10" t="b">
        <f>IF(COUNTIF(PLANPRODUCCION[[#This Row],[OBSERVACIONES]],"NO APLICA BONO*")&gt;0,TRUE,FALSE)</f>
        <v>0</v>
      </c>
    </row>
    <row r="250" spans="1:32" x14ac:dyDescent="0.25">
      <c r="A250" s="46" t="str">
        <f>UPPER(IF(PLANPRODUCCION[[#This Row],[FECHA]]&lt;=45701,_xlfn.CONCAT(TEXT(B250,"MMM"),"-",IF(ROW(A250)&lt;11,"000"&amp;ROW(A250)-1,IF(ROW(A250)&lt;101,"00"&amp;ROW(A250)-1,IF(ROW(A250)&lt;1001,"0"&amp;ROW(A250)-1,ROW(A250)-1))),"-OLD"),_xlfn.CONCAT(TEXT(B250,"MMM"),"-",IF(ROW(A250)&lt;473,"000"&amp;ROW(A250)-463,IF(ROW(A250)&lt;563,"00"&amp;ROW(A250)-463,IF(ROW(A250)&lt;1001,"0"&amp;ROW(A250)-463,ROW(A250)-463))))))</f>
        <v>ENE-0249-OLD</v>
      </c>
      <c r="B250" s="1">
        <v>45680</v>
      </c>
      <c r="C250" s="5"/>
      <c r="D250" s="5"/>
      <c r="E250" t="s">
        <v>75</v>
      </c>
      <c r="F250" s="32"/>
      <c r="G250" s="32"/>
      <c r="H250" s="5">
        <v>1552</v>
      </c>
      <c r="I250" t="s">
        <v>359</v>
      </c>
      <c r="J250" t="s">
        <v>360</v>
      </c>
      <c r="K250" s="5"/>
      <c r="L250" s="10" t="s">
        <v>57</v>
      </c>
      <c r="M250" s="49">
        <v>1.45</v>
      </c>
      <c r="N250" s="34">
        <f>PLANPRODUCCION[[#This Row],[PIEZAS PLANEADAS]]*PLANPRODUCCION[[#This Row],[PRECIO MAQUILAS]]</f>
        <v>0</v>
      </c>
      <c r="O250" s="5">
        <v>4</v>
      </c>
      <c r="P250" s="2">
        <v>0.875</v>
      </c>
      <c r="Q250" s="2">
        <v>0.25</v>
      </c>
      <c r="R250" s="24">
        <v>2340</v>
      </c>
      <c r="S250" s="35">
        <f>PLANPRODUCCION[[#This Row],[PRECIO MAQUILAS]]*PLANPRODUCCION[[#This Row],[PIEZAS REAL]]</f>
        <v>3393</v>
      </c>
      <c r="T25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5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5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3000</v>
      </c>
      <c r="W25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393</v>
      </c>
      <c r="X250" s="8"/>
      <c r="Y25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5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5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50" s="13" t="e">
        <f>IF(PLANPRODUCCION[[#This Row],[PIEZAS REAL]]&gt;0,PLANPRODUCCION[[#This Row],[PIEZAS REAL]]/PLANPRODUCCION[[#This Row],[PIEZAS ACTUALIZADO]],)</f>
        <v>#DIV/0!</v>
      </c>
      <c r="AC250" s="10" t="b">
        <f>PLANPRODUCCION[[#This Row],[INGRESO PLANEADO]]&lt;PLANPRODUCCION[[#This Row],[COSTO PLANEADO]]</f>
        <v>0</v>
      </c>
      <c r="AD250" s="46" t="s">
        <v>364</v>
      </c>
      <c r="AE250" s="10"/>
      <c r="AF250" s="10" t="b">
        <f>IF(COUNTIF(PLANPRODUCCION[[#This Row],[OBSERVACIONES]],"NO APLICA BONO*")&gt;0,TRUE,FALSE)</f>
        <v>0</v>
      </c>
    </row>
    <row r="251" spans="1:32" x14ac:dyDescent="0.25">
      <c r="A251" s="46" t="str">
        <f>UPPER(IF(PLANPRODUCCION[[#This Row],[FECHA]]&lt;=45701,_xlfn.CONCAT(TEXT(B251,"MMM"),"-",IF(ROW(A251)&lt;11,"000"&amp;ROW(A251)-1,IF(ROW(A251)&lt;101,"00"&amp;ROW(A251)-1,IF(ROW(A251)&lt;1001,"0"&amp;ROW(A251)-1,ROW(A251)-1))),"-OLD"),_xlfn.CONCAT(TEXT(B251,"MMM"),"-",IF(ROW(A251)&lt;473,"000"&amp;ROW(A251)-463,IF(ROW(A251)&lt;563,"00"&amp;ROW(A251)-463,IF(ROW(A251)&lt;1001,"0"&amp;ROW(A251)-463,ROW(A251)-463))))))</f>
        <v>ENE-0250-OLD</v>
      </c>
      <c r="B251" s="1">
        <v>45680</v>
      </c>
      <c r="C251" s="5"/>
      <c r="D251" s="5"/>
      <c r="E251" t="s">
        <v>75</v>
      </c>
      <c r="F251" s="32"/>
      <c r="G251" s="32"/>
      <c r="H251" s="5">
        <v>1552</v>
      </c>
      <c r="I251" t="s">
        <v>359</v>
      </c>
      <c r="J251" t="s">
        <v>360</v>
      </c>
      <c r="K251" s="5"/>
      <c r="L251" s="10" t="s">
        <v>57</v>
      </c>
      <c r="M251" s="49">
        <v>1.45</v>
      </c>
      <c r="N251" s="34">
        <f>PLANPRODUCCION[[#This Row],[PIEZAS PLANEADAS]]*PLANPRODUCCION[[#This Row],[PRECIO MAQUILAS]]</f>
        <v>0</v>
      </c>
      <c r="O251" s="5">
        <v>5</v>
      </c>
      <c r="P251" s="2">
        <v>0.875</v>
      </c>
      <c r="Q251" s="2">
        <v>0.25</v>
      </c>
      <c r="R251" s="24">
        <v>2610</v>
      </c>
      <c r="S251" s="35">
        <f>PLANPRODUCCION[[#This Row],[PRECIO MAQUILAS]]*PLANPRODUCCION[[#This Row],[PIEZAS REAL]]</f>
        <v>3784.5</v>
      </c>
      <c r="T25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5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5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3750</v>
      </c>
      <c r="W25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34.5</v>
      </c>
      <c r="X251" s="8"/>
      <c r="Y25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5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5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51" s="13" t="e">
        <f>IF(PLANPRODUCCION[[#This Row],[PIEZAS REAL]]&gt;0,PLANPRODUCCION[[#This Row],[PIEZAS REAL]]/PLANPRODUCCION[[#This Row],[PIEZAS ACTUALIZADO]],)</f>
        <v>#DIV/0!</v>
      </c>
      <c r="AC251" s="10" t="b">
        <f>PLANPRODUCCION[[#This Row],[INGRESO PLANEADO]]&lt;PLANPRODUCCION[[#This Row],[COSTO PLANEADO]]</f>
        <v>0</v>
      </c>
      <c r="AD251" s="46" t="s">
        <v>365</v>
      </c>
      <c r="AE251" s="10"/>
      <c r="AF251" s="10" t="b">
        <f>IF(COUNTIF(PLANPRODUCCION[[#This Row],[OBSERVACIONES]],"NO APLICA BONO*")&gt;0,TRUE,FALSE)</f>
        <v>0</v>
      </c>
    </row>
    <row r="252" spans="1:32" x14ac:dyDescent="0.25">
      <c r="A252" s="46" t="str">
        <f>UPPER(IF(PLANPRODUCCION[[#This Row],[FECHA]]&lt;=45701,_xlfn.CONCAT(TEXT(B252,"MMM"),"-",IF(ROW(A252)&lt;11,"000"&amp;ROW(A252)-1,IF(ROW(A252)&lt;101,"00"&amp;ROW(A252)-1,IF(ROW(A252)&lt;1001,"0"&amp;ROW(A252)-1,ROW(A252)-1))),"-OLD"),_xlfn.CONCAT(TEXT(B252,"MMM"),"-",IF(ROW(A252)&lt;473,"000"&amp;ROW(A252)-463,IF(ROW(A252)&lt;563,"00"&amp;ROW(A252)-463,IF(ROW(A252)&lt;1001,"0"&amp;ROW(A252)-463,ROW(A252)-463))))))</f>
        <v>ENE-0251-OLD</v>
      </c>
      <c r="B252" s="1">
        <v>45681</v>
      </c>
      <c r="C252" s="5"/>
      <c r="D252" s="5"/>
      <c r="E252" t="s">
        <v>54</v>
      </c>
      <c r="F252" s="32"/>
      <c r="G252" s="32"/>
      <c r="H252" s="5">
        <v>1552</v>
      </c>
      <c r="I252" t="s">
        <v>359</v>
      </c>
      <c r="J252" t="s">
        <v>360</v>
      </c>
      <c r="K252" s="5"/>
      <c r="L252" s="10" t="s">
        <v>57</v>
      </c>
      <c r="M252" s="49">
        <v>1.45</v>
      </c>
      <c r="N252" s="34">
        <f>PLANPRODUCCION[[#This Row],[PIEZAS PLANEADAS]]*PLANPRODUCCION[[#This Row],[PRECIO MAQUILAS]]</f>
        <v>0</v>
      </c>
      <c r="O252" s="5">
        <v>3</v>
      </c>
      <c r="P252" s="2">
        <v>0.25</v>
      </c>
      <c r="Q252" s="2">
        <v>0.5</v>
      </c>
      <c r="R252" s="24">
        <v>1140</v>
      </c>
      <c r="S252" s="35">
        <f>PLANPRODUCCION[[#This Row],[PRECIO MAQUILAS]]*PLANPRODUCCION[[#This Row],[PIEZAS REAL]]</f>
        <v>1653</v>
      </c>
      <c r="T25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5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5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1116</v>
      </c>
      <c r="W25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537</v>
      </c>
      <c r="X252" s="8"/>
      <c r="Y25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5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5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52" s="13" t="e">
        <f>IF(PLANPRODUCCION[[#This Row],[PIEZAS REAL]]&gt;0,PLANPRODUCCION[[#This Row],[PIEZAS REAL]]/PLANPRODUCCION[[#This Row],[PIEZAS ACTUALIZADO]],)</f>
        <v>#DIV/0!</v>
      </c>
      <c r="AC252" s="10" t="b">
        <f>PLANPRODUCCION[[#This Row],[INGRESO PLANEADO]]&lt;PLANPRODUCCION[[#This Row],[COSTO PLANEADO]]</f>
        <v>0</v>
      </c>
      <c r="AD252" s="46" t="s">
        <v>366</v>
      </c>
      <c r="AE252" s="10"/>
      <c r="AF252" s="10" t="b">
        <f>IF(COUNTIF(PLANPRODUCCION[[#This Row],[OBSERVACIONES]],"NO APLICA BONO*")&gt;0,TRUE,FALSE)</f>
        <v>0</v>
      </c>
    </row>
    <row r="253" spans="1:32" x14ac:dyDescent="0.25">
      <c r="A253" s="46" t="str">
        <f>UPPER(IF(PLANPRODUCCION[[#This Row],[FECHA]]&lt;=45701,_xlfn.CONCAT(TEXT(B253,"MMM"),"-",IF(ROW(A253)&lt;11,"000"&amp;ROW(A253)-1,IF(ROW(A253)&lt;101,"00"&amp;ROW(A253)-1,IF(ROW(A253)&lt;1001,"0"&amp;ROW(A253)-1,ROW(A253)-1))),"-OLD"),_xlfn.CONCAT(TEXT(B253,"MMM"),"-",IF(ROW(A253)&lt;473,"000"&amp;ROW(A253)-463,IF(ROW(A253)&lt;563,"00"&amp;ROW(A253)-463,IF(ROW(A253)&lt;1001,"0"&amp;ROW(A253)-463,ROW(A253)-463))))))</f>
        <v>ENE-0252-OLD</v>
      </c>
      <c r="B253" s="1">
        <v>45681</v>
      </c>
      <c r="C253" s="5"/>
      <c r="D253" s="5"/>
      <c r="E253" t="s">
        <v>54</v>
      </c>
      <c r="F253" s="32"/>
      <c r="G253" s="32"/>
      <c r="H253" s="5">
        <v>1552</v>
      </c>
      <c r="I253" t="s">
        <v>359</v>
      </c>
      <c r="J253" t="s">
        <v>360</v>
      </c>
      <c r="K253" s="5"/>
      <c r="L253" s="10" t="s">
        <v>57</v>
      </c>
      <c r="M253" s="49">
        <v>1.45</v>
      </c>
      <c r="N253" s="34">
        <f>PLANPRODUCCION[[#This Row],[PIEZAS PLANEADAS]]*PLANPRODUCCION[[#This Row],[PRECIO MAQUILAS]]</f>
        <v>0</v>
      </c>
      <c r="O253" s="5">
        <v>3</v>
      </c>
      <c r="P253" s="2">
        <v>0.25</v>
      </c>
      <c r="Q253" s="2">
        <v>0.50069444444444444</v>
      </c>
      <c r="R253" s="24">
        <v>1095</v>
      </c>
      <c r="S253" s="35">
        <f>PLANPRODUCCION[[#This Row],[PRECIO MAQUILAS]]*PLANPRODUCCION[[#This Row],[PIEZAS REAL]]</f>
        <v>1587.75</v>
      </c>
      <c r="T25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5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5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1119.1000000000001</v>
      </c>
      <c r="W25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468.64999999999986</v>
      </c>
      <c r="X253" s="8"/>
      <c r="Y25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5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5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53" s="13" t="e">
        <f>IF(PLANPRODUCCION[[#This Row],[PIEZAS REAL]]&gt;0,PLANPRODUCCION[[#This Row],[PIEZAS REAL]]/PLANPRODUCCION[[#This Row],[PIEZAS ACTUALIZADO]],)</f>
        <v>#DIV/0!</v>
      </c>
      <c r="AC253" s="10" t="b">
        <f>PLANPRODUCCION[[#This Row],[INGRESO PLANEADO]]&lt;PLANPRODUCCION[[#This Row],[COSTO PLANEADO]]</f>
        <v>0</v>
      </c>
      <c r="AD253" s="46" t="s">
        <v>367</v>
      </c>
      <c r="AE253" s="10"/>
      <c r="AF253" s="10" t="b">
        <f>IF(COUNTIF(PLANPRODUCCION[[#This Row],[OBSERVACIONES]],"NO APLICA BONO*")&gt;0,TRUE,FALSE)</f>
        <v>0</v>
      </c>
    </row>
    <row r="254" spans="1:32" x14ac:dyDescent="0.25">
      <c r="A254" s="46" t="str">
        <f>UPPER(IF(PLANPRODUCCION[[#This Row],[FECHA]]&lt;=45701,_xlfn.CONCAT(TEXT(B254,"MMM"),"-",IF(ROW(A254)&lt;11,"000"&amp;ROW(A254)-1,IF(ROW(A254)&lt;101,"00"&amp;ROW(A254)-1,IF(ROW(A254)&lt;1001,"0"&amp;ROW(A254)-1,ROW(A254)-1))),"-OLD"),_xlfn.CONCAT(TEXT(B254,"MMM"),"-",IF(ROW(A254)&lt;473,"000"&amp;ROW(A254)-463,IF(ROW(A254)&lt;563,"00"&amp;ROW(A254)-463,IF(ROW(A254)&lt;1001,"0"&amp;ROW(A254)-463,ROW(A254)-463))))))</f>
        <v>ENE-0253-OLD</v>
      </c>
      <c r="B254" s="1">
        <v>45681</v>
      </c>
      <c r="C254" s="5"/>
      <c r="D254" s="5"/>
      <c r="E254" t="s">
        <v>54</v>
      </c>
      <c r="F254" s="32"/>
      <c r="G254" s="32"/>
      <c r="H254" s="5">
        <v>1552</v>
      </c>
      <c r="I254" t="s">
        <v>359</v>
      </c>
      <c r="J254" t="s">
        <v>360</v>
      </c>
      <c r="K254" s="5"/>
      <c r="L254" s="10" t="s">
        <v>57</v>
      </c>
      <c r="M254" s="49">
        <v>1.45</v>
      </c>
      <c r="N254" s="34">
        <f>PLANPRODUCCION[[#This Row],[PIEZAS PLANEADAS]]*PLANPRODUCCION[[#This Row],[PRECIO MAQUILAS]]</f>
        <v>0</v>
      </c>
      <c r="O254" s="5">
        <v>2</v>
      </c>
      <c r="P254" s="2">
        <v>0.25</v>
      </c>
      <c r="Q254" s="2">
        <v>0.5</v>
      </c>
      <c r="R254" s="24">
        <v>546</v>
      </c>
      <c r="S254" s="35">
        <f>PLANPRODUCCION[[#This Row],[PRECIO MAQUILAS]]*PLANPRODUCCION[[#This Row],[PIEZAS REAL]]</f>
        <v>791.69999999999993</v>
      </c>
      <c r="T25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5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5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25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47.699999999999932</v>
      </c>
      <c r="X254" s="8"/>
      <c r="Y25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5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5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54" s="13" t="e">
        <f>IF(PLANPRODUCCION[[#This Row],[PIEZAS REAL]]&gt;0,PLANPRODUCCION[[#This Row],[PIEZAS REAL]]/PLANPRODUCCION[[#This Row],[PIEZAS ACTUALIZADO]],)</f>
        <v>#DIV/0!</v>
      </c>
      <c r="AC254" s="10" t="b">
        <f>PLANPRODUCCION[[#This Row],[INGRESO PLANEADO]]&lt;PLANPRODUCCION[[#This Row],[COSTO PLANEADO]]</f>
        <v>0</v>
      </c>
      <c r="AD254" s="46" t="s">
        <v>368</v>
      </c>
      <c r="AE254" s="10"/>
      <c r="AF254" s="10" t="b">
        <f>IF(COUNTIF(PLANPRODUCCION[[#This Row],[OBSERVACIONES]],"NO APLICA BONO*")&gt;0,TRUE,FALSE)</f>
        <v>0</v>
      </c>
    </row>
    <row r="255" spans="1:32" x14ac:dyDescent="0.25">
      <c r="A255" s="46" t="str">
        <f>UPPER(IF(PLANPRODUCCION[[#This Row],[FECHA]]&lt;=45701,_xlfn.CONCAT(TEXT(B255,"MMM"),"-",IF(ROW(A255)&lt;11,"000"&amp;ROW(A255)-1,IF(ROW(A255)&lt;101,"00"&amp;ROW(A255)-1,IF(ROW(A255)&lt;1001,"0"&amp;ROW(A255)-1,ROW(A255)-1))),"-OLD"),_xlfn.CONCAT(TEXT(B255,"MMM"),"-",IF(ROW(A255)&lt;473,"000"&amp;ROW(A255)-463,IF(ROW(A255)&lt;563,"00"&amp;ROW(A255)-463,IF(ROW(A255)&lt;1001,"0"&amp;ROW(A255)-463,ROW(A255)-463))))))</f>
        <v>ENE-0254-OLD</v>
      </c>
      <c r="B255" s="1">
        <v>45681</v>
      </c>
      <c r="C255" s="5"/>
      <c r="D255" s="5"/>
      <c r="E255" t="s">
        <v>54</v>
      </c>
      <c r="F255" s="32"/>
      <c r="G255" s="32"/>
      <c r="H255" s="5">
        <v>1552</v>
      </c>
      <c r="I255" t="s">
        <v>359</v>
      </c>
      <c r="J255" t="s">
        <v>360</v>
      </c>
      <c r="K255" s="5"/>
      <c r="L255" s="10" t="s">
        <v>57</v>
      </c>
      <c r="M255" s="49">
        <v>1.45</v>
      </c>
      <c r="N255" s="34">
        <f>PLANPRODUCCION[[#This Row],[PIEZAS PLANEADAS]]*PLANPRODUCCION[[#This Row],[PRECIO MAQUILAS]]</f>
        <v>0</v>
      </c>
      <c r="O255" s="5">
        <v>3</v>
      </c>
      <c r="P255" s="2">
        <v>0.25</v>
      </c>
      <c r="Q255" s="2">
        <v>0.5</v>
      </c>
      <c r="R255" s="24">
        <v>1515</v>
      </c>
      <c r="S255" s="35">
        <f>PLANPRODUCCION[[#This Row],[PRECIO MAQUILAS]]*PLANPRODUCCION[[#This Row],[PIEZAS REAL]]</f>
        <v>2196.75</v>
      </c>
      <c r="T25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5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5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1116</v>
      </c>
      <c r="W25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1080.75</v>
      </c>
      <c r="X255" s="8"/>
      <c r="Y25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5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5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55" s="13" t="e">
        <f>IF(PLANPRODUCCION[[#This Row],[PIEZAS REAL]]&gt;0,PLANPRODUCCION[[#This Row],[PIEZAS REAL]]/PLANPRODUCCION[[#This Row],[PIEZAS ACTUALIZADO]],)</f>
        <v>#DIV/0!</v>
      </c>
      <c r="AC255" s="10" t="b">
        <f>PLANPRODUCCION[[#This Row],[INGRESO PLANEADO]]&lt;PLANPRODUCCION[[#This Row],[COSTO PLANEADO]]</f>
        <v>0</v>
      </c>
      <c r="AD255" s="46" t="s">
        <v>369</v>
      </c>
      <c r="AE255" s="10"/>
      <c r="AF255" s="10" t="b">
        <f>IF(COUNTIF(PLANPRODUCCION[[#This Row],[OBSERVACIONES]],"NO APLICA BONO*")&gt;0,TRUE,FALSE)</f>
        <v>0</v>
      </c>
    </row>
    <row r="256" spans="1:32" x14ac:dyDescent="0.25">
      <c r="A256" s="46" t="str">
        <f>UPPER(IF(PLANPRODUCCION[[#This Row],[FECHA]]&lt;=45701,_xlfn.CONCAT(TEXT(B256,"MMM"),"-",IF(ROW(A256)&lt;11,"000"&amp;ROW(A256)-1,IF(ROW(A256)&lt;101,"00"&amp;ROW(A256)-1,IF(ROW(A256)&lt;1001,"0"&amp;ROW(A256)-1,ROW(A256)-1))),"-OLD"),_xlfn.CONCAT(TEXT(B256,"MMM"),"-",IF(ROW(A256)&lt;473,"000"&amp;ROW(A256)-463,IF(ROW(A256)&lt;563,"00"&amp;ROW(A256)-463,IF(ROW(A256)&lt;1001,"0"&amp;ROW(A256)-463,ROW(A256)-463))))))</f>
        <v>ENE-0255-OLD</v>
      </c>
      <c r="B256" s="1">
        <v>45681</v>
      </c>
      <c r="C256" s="5"/>
      <c r="D256" s="5"/>
      <c r="E256" t="s">
        <v>54</v>
      </c>
      <c r="F256" s="32"/>
      <c r="G256" s="32"/>
      <c r="H256" s="5">
        <v>1552</v>
      </c>
      <c r="I256" t="s">
        <v>359</v>
      </c>
      <c r="J256" t="s">
        <v>360</v>
      </c>
      <c r="K256" s="5"/>
      <c r="L256" s="10" t="s">
        <v>57</v>
      </c>
      <c r="M256" s="49">
        <v>1.45</v>
      </c>
      <c r="N256" s="34">
        <f>PLANPRODUCCION[[#This Row],[PIEZAS PLANEADAS]]*PLANPRODUCCION[[#This Row],[PRECIO MAQUILAS]]</f>
        <v>0</v>
      </c>
      <c r="O256" s="5">
        <v>4</v>
      </c>
      <c r="P256" s="2">
        <v>0.25</v>
      </c>
      <c r="Q256" s="2">
        <v>0.5</v>
      </c>
      <c r="R256" s="24">
        <v>1425</v>
      </c>
      <c r="S256" s="35">
        <f>PLANPRODUCCION[[#This Row],[PRECIO MAQUILAS]]*PLANPRODUCCION[[#This Row],[PIEZAS REAL]]</f>
        <v>2066.25</v>
      </c>
      <c r="T25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5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5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25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578.25</v>
      </c>
      <c r="X256" s="8"/>
      <c r="Y25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5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5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56" s="13" t="e">
        <f>IF(PLANPRODUCCION[[#This Row],[PIEZAS REAL]]&gt;0,PLANPRODUCCION[[#This Row],[PIEZAS REAL]]/PLANPRODUCCION[[#This Row],[PIEZAS ACTUALIZADO]],)</f>
        <v>#DIV/0!</v>
      </c>
      <c r="AC256" s="10" t="b">
        <f>PLANPRODUCCION[[#This Row],[INGRESO PLANEADO]]&lt;PLANPRODUCCION[[#This Row],[COSTO PLANEADO]]</f>
        <v>0</v>
      </c>
      <c r="AD256" s="46" t="s">
        <v>370</v>
      </c>
      <c r="AE256" s="10"/>
      <c r="AF256" s="10" t="b">
        <f>IF(COUNTIF(PLANPRODUCCION[[#This Row],[OBSERVACIONES]],"NO APLICA BONO*")&gt;0,TRUE,FALSE)</f>
        <v>0</v>
      </c>
    </row>
    <row r="257" spans="1:32" x14ac:dyDescent="0.25">
      <c r="A257" s="46" t="str">
        <f>UPPER(IF(PLANPRODUCCION[[#This Row],[FECHA]]&lt;=45701,_xlfn.CONCAT(TEXT(B257,"MMM"),"-",IF(ROW(A257)&lt;11,"000"&amp;ROW(A257)-1,IF(ROW(A257)&lt;101,"00"&amp;ROW(A257)-1,IF(ROW(A257)&lt;1001,"0"&amp;ROW(A257)-1,ROW(A257)-1))),"-OLD"),_xlfn.CONCAT(TEXT(B257,"MMM"),"-",IF(ROW(A257)&lt;473,"000"&amp;ROW(A257)-463,IF(ROW(A257)&lt;563,"00"&amp;ROW(A257)-463,IF(ROW(A257)&lt;1001,"0"&amp;ROW(A257)-463,ROW(A257)-463))))))</f>
        <v>ENE-0256-OLD</v>
      </c>
      <c r="B257" s="1">
        <v>45681</v>
      </c>
      <c r="C257" s="5"/>
      <c r="D257" s="5"/>
      <c r="E257" t="s">
        <v>54</v>
      </c>
      <c r="F257" s="32"/>
      <c r="G257" s="32"/>
      <c r="H257" s="5">
        <v>1552</v>
      </c>
      <c r="I257" t="s">
        <v>359</v>
      </c>
      <c r="J257" t="s">
        <v>360</v>
      </c>
      <c r="K257" s="5"/>
      <c r="L257" s="10" t="s">
        <v>57</v>
      </c>
      <c r="M257" s="49">
        <v>1.45</v>
      </c>
      <c r="N257" s="34">
        <f>PLANPRODUCCION[[#This Row],[PIEZAS PLANEADAS]]*PLANPRODUCCION[[#This Row],[PRECIO MAQUILAS]]</f>
        <v>0</v>
      </c>
      <c r="O257" s="5">
        <v>3</v>
      </c>
      <c r="P257" s="2">
        <v>0.46180555555555558</v>
      </c>
      <c r="Q257" s="2">
        <v>0.66666666666666663</v>
      </c>
      <c r="R257" s="24">
        <v>1260</v>
      </c>
      <c r="S257" s="35">
        <f>PLANPRODUCCION[[#This Row],[PRECIO MAQUILAS]]*PLANPRODUCCION[[#This Row],[PIEZAS REAL]]</f>
        <v>1827</v>
      </c>
      <c r="T25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5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5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914.5</v>
      </c>
      <c r="W25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912.5</v>
      </c>
      <c r="X257" s="8"/>
      <c r="Y25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5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5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57" s="13" t="e">
        <f>IF(PLANPRODUCCION[[#This Row],[PIEZAS REAL]]&gt;0,PLANPRODUCCION[[#This Row],[PIEZAS REAL]]/PLANPRODUCCION[[#This Row],[PIEZAS ACTUALIZADO]],)</f>
        <v>#DIV/0!</v>
      </c>
      <c r="AC257" s="10" t="b">
        <f>PLANPRODUCCION[[#This Row],[INGRESO PLANEADO]]&lt;PLANPRODUCCION[[#This Row],[COSTO PLANEADO]]</f>
        <v>0</v>
      </c>
      <c r="AD257" s="46" t="s">
        <v>371</v>
      </c>
      <c r="AE257" s="10"/>
      <c r="AF257" s="10" t="b">
        <f>IF(COUNTIF(PLANPRODUCCION[[#This Row],[OBSERVACIONES]],"NO APLICA BONO*")&gt;0,TRUE,FALSE)</f>
        <v>0</v>
      </c>
    </row>
    <row r="258" spans="1:32" x14ac:dyDescent="0.25">
      <c r="A258" s="46" t="str">
        <f>UPPER(IF(PLANPRODUCCION[[#This Row],[FECHA]]&lt;=45701,_xlfn.CONCAT(TEXT(B258,"MMM"),"-",IF(ROW(A258)&lt;11,"000"&amp;ROW(A258)-1,IF(ROW(A258)&lt;101,"00"&amp;ROW(A258)-1,IF(ROW(A258)&lt;1001,"0"&amp;ROW(A258)-1,ROW(A258)-1))),"-OLD"),_xlfn.CONCAT(TEXT(B258,"MMM"),"-",IF(ROW(A258)&lt;473,"000"&amp;ROW(A258)-463,IF(ROW(A258)&lt;563,"00"&amp;ROW(A258)-463,IF(ROW(A258)&lt;1001,"0"&amp;ROW(A258)-463,ROW(A258)-463))))))</f>
        <v>ENE-0257-OLD</v>
      </c>
      <c r="B258" s="1">
        <v>45681</v>
      </c>
      <c r="C258" s="5"/>
      <c r="D258" s="5"/>
      <c r="E258" t="s">
        <v>54</v>
      </c>
      <c r="F258" s="32"/>
      <c r="G258" s="32"/>
      <c r="H258" s="5">
        <v>1557</v>
      </c>
      <c r="I258" t="s">
        <v>285</v>
      </c>
      <c r="J258" t="s">
        <v>286</v>
      </c>
      <c r="K258" s="5"/>
      <c r="L258" s="10" t="s">
        <v>83</v>
      </c>
      <c r="M258" s="49">
        <v>17.8</v>
      </c>
      <c r="N258" s="34">
        <f>PLANPRODUCCION[[#This Row],[PIEZAS PLANEADAS]]*PLANPRODUCCION[[#This Row],[PRECIO MAQUILAS]]</f>
        <v>0</v>
      </c>
      <c r="O258" s="5">
        <v>3</v>
      </c>
      <c r="P258" s="2">
        <v>0.5</v>
      </c>
      <c r="Q258" s="2">
        <v>0.66666666666666663</v>
      </c>
      <c r="R258" s="24">
        <v>132</v>
      </c>
      <c r="S258" s="35">
        <f>PLANPRODUCCION[[#This Row],[PRECIO MAQUILAS]]*PLANPRODUCCION[[#This Row],[PIEZAS REAL]]</f>
        <v>2349.6</v>
      </c>
      <c r="T25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5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5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25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1605.6</v>
      </c>
      <c r="X258" s="8"/>
      <c r="Y25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5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5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58" s="13" t="e">
        <f>IF(PLANPRODUCCION[[#This Row],[PIEZAS REAL]]&gt;0,PLANPRODUCCION[[#This Row],[PIEZAS REAL]]/PLANPRODUCCION[[#This Row],[PIEZAS ACTUALIZADO]],)</f>
        <v>#DIV/0!</v>
      </c>
      <c r="AC258" s="10" t="b">
        <f>PLANPRODUCCION[[#This Row],[INGRESO PLANEADO]]&lt;PLANPRODUCCION[[#This Row],[COSTO PLANEADO]]</f>
        <v>0</v>
      </c>
      <c r="AD258" s="46" t="s">
        <v>372</v>
      </c>
      <c r="AE258" s="10"/>
      <c r="AF258" s="10" t="b">
        <f>IF(COUNTIF(PLANPRODUCCION[[#This Row],[OBSERVACIONES]],"NO APLICA BONO*")&gt;0,TRUE,FALSE)</f>
        <v>0</v>
      </c>
    </row>
    <row r="259" spans="1:32" x14ac:dyDescent="0.25">
      <c r="A259" s="46" t="str">
        <f>UPPER(IF(PLANPRODUCCION[[#This Row],[FECHA]]&lt;=45701,_xlfn.CONCAT(TEXT(B259,"MMM"),"-",IF(ROW(A259)&lt;11,"000"&amp;ROW(A259)-1,IF(ROW(A259)&lt;101,"00"&amp;ROW(A259)-1,IF(ROW(A259)&lt;1001,"0"&amp;ROW(A259)-1,ROW(A259)-1))),"-OLD"),_xlfn.CONCAT(TEXT(B259,"MMM"),"-",IF(ROW(A259)&lt;473,"000"&amp;ROW(A259)-463,IF(ROW(A259)&lt;563,"00"&amp;ROW(A259)-463,IF(ROW(A259)&lt;1001,"0"&amp;ROW(A259)-463,ROW(A259)-463))))))</f>
        <v>ENE-0258-OLD</v>
      </c>
      <c r="B259" s="1">
        <v>45681</v>
      </c>
      <c r="C259" s="5"/>
      <c r="D259" s="5"/>
      <c r="E259" t="s">
        <v>54</v>
      </c>
      <c r="F259" s="32"/>
      <c r="G259" s="32"/>
      <c r="H259" s="5">
        <v>1557</v>
      </c>
      <c r="I259" t="s">
        <v>285</v>
      </c>
      <c r="J259" t="s">
        <v>286</v>
      </c>
      <c r="K259" s="5"/>
      <c r="L259" s="10" t="s">
        <v>83</v>
      </c>
      <c r="M259" s="49">
        <v>17.8</v>
      </c>
      <c r="N259" s="34">
        <f>PLANPRODUCCION[[#This Row],[PIEZAS PLANEADAS]]*PLANPRODUCCION[[#This Row],[PRECIO MAQUILAS]]</f>
        <v>0</v>
      </c>
      <c r="O259" s="5">
        <v>4</v>
      </c>
      <c r="P259" s="2">
        <v>0.5</v>
      </c>
      <c r="Q259" s="2">
        <v>0.66666666666666663</v>
      </c>
      <c r="R259" s="24">
        <v>96</v>
      </c>
      <c r="S259" s="35">
        <f>PLANPRODUCCION[[#This Row],[PRECIO MAQUILAS]]*PLANPRODUCCION[[#This Row],[PIEZAS REAL]]</f>
        <v>1708.8000000000002</v>
      </c>
      <c r="T25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5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5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992</v>
      </c>
      <c r="W25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716.80000000000018</v>
      </c>
      <c r="X259" s="8"/>
      <c r="Y25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5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5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59" s="13" t="e">
        <f>IF(PLANPRODUCCION[[#This Row],[PIEZAS REAL]]&gt;0,PLANPRODUCCION[[#This Row],[PIEZAS REAL]]/PLANPRODUCCION[[#This Row],[PIEZAS ACTUALIZADO]],)</f>
        <v>#DIV/0!</v>
      </c>
      <c r="AC259" s="10" t="b">
        <f>PLANPRODUCCION[[#This Row],[INGRESO PLANEADO]]&lt;PLANPRODUCCION[[#This Row],[COSTO PLANEADO]]</f>
        <v>0</v>
      </c>
      <c r="AD259" s="46" t="s">
        <v>373</v>
      </c>
      <c r="AE259" s="10"/>
      <c r="AF259" s="10" t="b">
        <f>IF(COUNTIF(PLANPRODUCCION[[#This Row],[OBSERVACIONES]],"NO APLICA BONO*")&gt;0,TRUE,FALSE)</f>
        <v>0</v>
      </c>
    </row>
    <row r="260" spans="1:32" x14ac:dyDescent="0.25">
      <c r="A260" s="46" t="str">
        <f>UPPER(IF(PLANPRODUCCION[[#This Row],[FECHA]]&lt;=45701,_xlfn.CONCAT(TEXT(B260,"MMM"),"-",IF(ROW(A260)&lt;11,"000"&amp;ROW(A260)-1,IF(ROW(A260)&lt;101,"00"&amp;ROW(A260)-1,IF(ROW(A260)&lt;1001,"0"&amp;ROW(A260)-1,ROW(A260)-1))),"-OLD"),_xlfn.CONCAT(TEXT(B260,"MMM"),"-",IF(ROW(A260)&lt;473,"000"&amp;ROW(A260)-463,IF(ROW(A260)&lt;563,"00"&amp;ROW(A260)-463,IF(ROW(A260)&lt;1001,"0"&amp;ROW(A260)-463,ROW(A260)-463))))))</f>
        <v>ENE-0259-OLD</v>
      </c>
      <c r="B260" s="1">
        <v>45681</v>
      </c>
      <c r="C260" s="5"/>
      <c r="D260" s="5"/>
      <c r="E260" t="s">
        <v>54</v>
      </c>
      <c r="F260" s="32"/>
      <c r="G260" s="32"/>
      <c r="H260" s="5">
        <v>1552</v>
      </c>
      <c r="I260" t="s">
        <v>359</v>
      </c>
      <c r="J260" t="s">
        <v>360</v>
      </c>
      <c r="K260" s="5"/>
      <c r="L260" s="10" t="s">
        <v>57</v>
      </c>
      <c r="M260" s="49">
        <v>1.45</v>
      </c>
      <c r="N260" s="34">
        <f>PLANPRODUCCION[[#This Row],[PIEZAS PLANEADAS]]*PLANPRODUCCION[[#This Row],[PRECIO MAQUILAS]]</f>
        <v>0</v>
      </c>
      <c r="O260" s="5">
        <v>3</v>
      </c>
      <c r="P260" s="2">
        <v>0.50069444444444444</v>
      </c>
      <c r="Q260" s="2">
        <v>0.66666666666666663</v>
      </c>
      <c r="R260" s="24">
        <v>111</v>
      </c>
      <c r="S260" s="35">
        <f>PLANPRODUCCION[[#This Row],[PRECIO MAQUILAS]]*PLANPRODUCCION[[#This Row],[PIEZAS REAL]]</f>
        <v>160.94999999999999</v>
      </c>
      <c r="T26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6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6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740.9</v>
      </c>
      <c r="W26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-579.95000000000005</v>
      </c>
      <c r="X260" s="8"/>
      <c r="Y26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6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6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60" s="13" t="e">
        <f>IF(PLANPRODUCCION[[#This Row],[PIEZAS REAL]]&gt;0,PLANPRODUCCION[[#This Row],[PIEZAS REAL]]/PLANPRODUCCION[[#This Row],[PIEZAS ACTUALIZADO]],)</f>
        <v>#DIV/0!</v>
      </c>
      <c r="AC260" s="10" t="b">
        <f>PLANPRODUCCION[[#This Row],[INGRESO PLANEADO]]&lt;PLANPRODUCCION[[#This Row],[COSTO PLANEADO]]</f>
        <v>0</v>
      </c>
      <c r="AD260" s="46" t="s">
        <v>374</v>
      </c>
      <c r="AE260" s="10"/>
      <c r="AF260" s="10" t="b">
        <f>IF(COUNTIF(PLANPRODUCCION[[#This Row],[OBSERVACIONES]],"NO APLICA BONO*")&gt;0,TRUE,FALSE)</f>
        <v>0</v>
      </c>
    </row>
    <row r="261" spans="1:32" x14ac:dyDescent="0.25">
      <c r="A261" s="46" t="str">
        <f>UPPER(IF(PLANPRODUCCION[[#This Row],[FECHA]]&lt;=45701,_xlfn.CONCAT(TEXT(B261,"MMM"),"-",IF(ROW(A261)&lt;11,"000"&amp;ROW(A261)-1,IF(ROW(A261)&lt;101,"00"&amp;ROW(A261)-1,IF(ROW(A261)&lt;1001,"0"&amp;ROW(A261)-1,ROW(A261)-1))),"-OLD"),_xlfn.CONCAT(TEXT(B261,"MMM"),"-",IF(ROW(A261)&lt;473,"000"&amp;ROW(A261)-463,IF(ROW(A261)&lt;563,"00"&amp;ROW(A261)-463,IF(ROW(A261)&lt;1001,"0"&amp;ROW(A261)-463,ROW(A261)-463))))))</f>
        <v>ENE-0260-OLD</v>
      </c>
      <c r="B261" s="1">
        <v>45681</v>
      </c>
      <c r="C261" s="5"/>
      <c r="D261" s="5"/>
      <c r="E261" t="s">
        <v>54</v>
      </c>
      <c r="F261" s="32"/>
      <c r="G261" s="32"/>
      <c r="H261" s="5">
        <v>1557</v>
      </c>
      <c r="I261" t="s">
        <v>285</v>
      </c>
      <c r="J261" t="s">
        <v>286</v>
      </c>
      <c r="K261" s="5"/>
      <c r="L261" s="10" t="s">
        <v>83</v>
      </c>
      <c r="M261" s="49">
        <v>17.8</v>
      </c>
      <c r="N261" s="34">
        <f>PLANPRODUCCION[[#This Row],[PIEZAS PLANEADAS]]*PLANPRODUCCION[[#This Row],[PRECIO MAQUILAS]]</f>
        <v>0</v>
      </c>
      <c r="O261" s="5">
        <v>3</v>
      </c>
      <c r="P261" s="2">
        <v>0.50069444444444444</v>
      </c>
      <c r="Q261" s="2">
        <v>0.66666666666666663</v>
      </c>
      <c r="R261" s="24">
        <v>83</v>
      </c>
      <c r="S261" s="35">
        <f>PLANPRODUCCION[[#This Row],[PRECIO MAQUILAS]]*PLANPRODUCCION[[#This Row],[PIEZAS REAL]]</f>
        <v>1477.4</v>
      </c>
      <c r="T26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6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6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740.9</v>
      </c>
      <c r="W26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736.50000000000011</v>
      </c>
      <c r="X261" s="8"/>
      <c r="Y26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6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6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61" s="13" t="e">
        <f>IF(PLANPRODUCCION[[#This Row],[PIEZAS REAL]]&gt;0,PLANPRODUCCION[[#This Row],[PIEZAS REAL]]/PLANPRODUCCION[[#This Row],[PIEZAS ACTUALIZADO]],)</f>
        <v>#DIV/0!</v>
      </c>
      <c r="AC261" s="10" t="b">
        <f>PLANPRODUCCION[[#This Row],[INGRESO PLANEADO]]&lt;PLANPRODUCCION[[#This Row],[COSTO PLANEADO]]</f>
        <v>0</v>
      </c>
      <c r="AD261" s="46" t="s">
        <v>375</v>
      </c>
      <c r="AE261" s="10"/>
      <c r="AF261" s="10" t="b">
        <f>IF(COUNTIF(PLANPRODUCCION[[#This Row],[OBSERVACIONES]],"NO APLICA BONO*")&gt;0,TRUE,FALSE)</f>
        <v>0</v>
      </c>
    </row>
    <row r="262" spans="1:32" x14ac:dyDescent="0.25">
      <c r="A262" s="46" t="str">
        <f>UPPER(IF(PLANPRODUCCION[[#This Row],[FECHA]]&lt;=45701,_xlfn.CONCAT(TEXT(B262,"MMM"),"-",IF(ROW(A262)&lt;11,"000"&amp;ROW(A262)-1,IF(ROW(A262)&lt;101,"00"&amp;ROW(A262)-1,IF(ROW(A262)&lt;1001,"0"&amp;ROW(A262)-1,ROW(A262)-1))),"-OLD"),_xlfn.CONCAT(TEXT(B262,"MMM"),"-",IF(ROW(A262)&lt;473,"000"&amp;ROW(A262)-463,IF(ROW(A262)&lt;563,"00"&amp;ROW(A262)-463,IF(ROW(A262)&lt;1001,"0"&amp;ROW(A262)-463,ROW(A262)-463))))))</f>
        <v>ENE-0261-OLD</v>
      </c>
      <c r="B262" s="1">
        <v>45681</v>
      </c>
      <c r="C262" s="5"/>
      <c r="D262" s="5"/>
      <c r="E262" t="s">
        <v>54</v>
      </c>
      <c r="F262" s="32"/>
      <c r="G262" s="32"/>
      <c r="H262" s="5">
        <v>1557</v>
      </c>
      <c r="I262" t="s">
        <v>285</v>
      </c>
      <c r="J262" t="s">
        <v>286</v>
      </c>
      <c r="K262" s="5"/>
      <c r="L262" s="10" t="s">
        <v>83</v>
      </c>
      <c r="M262" s="49">
        <v>17.8</v>
      </c>
      <c r="N262" s="34">
        <f>PLANPRODUCCION[[#This Row],[PIEZAS PLANEADAS]]*PLANPRODUCCION[[#This Row],[PRECIO MAQUILAS]]</f>
        <v>0</v>
      </c>
      <c r="O262" s="5">
        <v>2</v>
      </c>
      <c r="P262" s="2">
        <v>0.50069444444444444</v>
      </c>
      <c r="Q262" s="2">
        <v>0.66666666666666663</v>
      </c>
      <c r="R262" s="24">
        <v>88</v>
      </c>
      <c r="S262" s="35">
        <f>PLANPRODUCCION[[#This Row],[PRECIO MAQUILAS]]*PLANPRODUCCION[[#This Row],[PIEZAS REAL]]</f>
        <v>1566.4</v>
      </c>
      <c r="T26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6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6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493.93333333333334</v>
      </c>
      <c r="W26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1072.4666666666667</v>
      </c>
      <c r="X262" s="8"/>
      <c r="Y26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6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6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62" s="13" t="e">
        <f>IF(PLANPRODUCCION[[#This Row],[PIEZAS REAL]]&gt;0,PLANPRODUCCION[[#This Row],[PIEZAS REAL]]/PLANPRODUCCION[[#This Row],[PIEZAS ACTUALIZADO]],)</f>
        <v>#DIV/0!</v>
      </c>
      <c r="AC262" s="10" t="b">
        <f>PLANPRODUCCION[[#This Row],[INGRESO PLANEADO]]&lt;PLANPRODUCCION[[#This Row],[COSTO PLANEADO]]</f>
        <v>0</v>
      </c>
      <c r="AD262" s="46" t="s">
        <v>376</v>
      </c>
      <c r="AE262" s="10"/>
      <c r="AF262" s="10" t="b">
        <f>IF(COUNTIF(PLANPRODUCCION[[#This Row],[OBSERVACIONES]],"NO APLICA BONO*")&gt;0,TRUE,FALSE)</f>
        <v>0</v>
      </c>
    </row>
    <row r="263" spans="1:32" x14ac:dyDescent="0.25">
      <c r="A263" s="46" t="str">
        <f>UPPER(IF(PLANPRODUCCION[[#This Row],[FECHA]]&lt;=45701,_xlfn.CONCAT(TEXT(B263,"MMM"),"-",IF(ROW(A263)&lt;11,"000"&amp;ROW(A263)-1,IF(ROW(A263)&lt;101,"00"&amp;ROW(A263)-1,IF(ROW(A263)&lt;1001,"0"&amp;ROW(A263)-1,ROW(A263)-1))),"-OLD"),_xlfn.CONCAT(TEXT(B263,"MMM"),"-",IF(ROW(A263)&lt;473,"000"&amp;ROW(A263)-463,IF(ROW(A263)&lt;563,"00"&amp;ROW(A263)-463,IF(ROW(A263)&lt;1001,"0"&amp;ROW(A263)-463,ROW(A263)-463))))))</f>
        <v>ENE-0262-OLD</v>
      </c>
      <c r="B263" s="1">
        <v>45681</v>
      </c>
      <c r="C263" s="5"/>
      <c r="D263" s="5"/>
      <c r="E263" t="s">
        <v>67</v>
      </c>
      <c r="F263" s="32"/>
      <c r="G263" s="32"/>
      <c r="H263" s="5">
        <v>1552</v>
      </c>
      <c r="I263" t="s">
        <v>359</v>
      </c>
      <c r="J263" t="s">
        <v>360</v>
      </c>
      <c r="K263" s="5"/>
      <c r="L263" s="10" t="s">
        <v>57</v>
      </c>
      <c r="M263" s="49">
        <v>1.45</v>
      </c>
      <c r="N263" s="34">
        <f>PLANPRODUCCION[[#This Row],[PIEZAS PLANEADAS]]*PLANPRODUCCION[[#This Row],[PRECIO MAQUILAS]]</f>
        <v>0</v>
      </c>
      <c r="O263" s="5">
        <v>2</v>
      </c>
      <c r="P263" s="2">
        <v>0.33333333333333331</v>
      </c>
      <c r="Q263" s="2">
        <v>0.75</v>
      </c>
      <c r="R263" s="24">
        <v>975</v>
      </c>
      <c r="S263" s="35">
        <f>PLANPRODUCCION[[#This Row],[PRECIO MAQUILAS]]*PLANPRODUCCION[[#This Row],[PIEZAS REAL]]</f>
        <v>1413.75</v>
      </c>
      <c r="T26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6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6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26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173.75</v>
      </c>
      <c r="X263" s="8"/>
      <c r="Y26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6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6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63" s="13" t="e">
        <f>IF(PLANPRODUCCION[[#This Row],[PIEZAS REAL]]&gt;0,PLANPRODUCCION[[#This Row],[PIEZAS REAL]]/PLANPRODUCCION[[#This Row],[PIEZAS ACTUALIZADO]],)</f>
        <v>#DIV/0!</v>
      </c>
      <c r="AC263" s="10" t="b">
        <f>PLANPRODUCCION[[#This Row],[INGRESO PLANEADO]]&lt;PLANPRODUCCION[[#This Row],[COSTO PLANEADO]]</f>
        <v>0</v>
      </c>
      <c r="AD263" s="46" t="s">
        <v>377</v>
      </c>
      <c r="AE263" s="10"/>
      <c r="AF263" s="10" t="b">
        <f>IF(COUNTIF(PLANPRODUCCION[[#This Row],[OBSERVACIONES]],"NO APLICA BONO*")&gt;0,TRUE,FALSE)</f>
        <v>0</v>
      </c>
    </row>
    <row r="264" spans="1:32" x14ac:dyDescent="0.25">
      <c r="A264" s="46" t="str">
        <f>UPPER(IF(PLANPRODUCCION[[#This Row],[FECHA]]&lt;=45701,_xlfn.CONCAT(TEXT(B264,"MMM"),"-",IF(ROW(A264)&lt;11,"000"&amp;ROW(A264)-1,IF(ROW(A264)&lt;101,"00"&amp;ROW(A264)-1,IF(ROW(A264)&lt;1001,"0"&amp;ROW(A264)-1,ROW(A264)-1))),"-OLD"),_xlfn.CONCAT(TEXT(B264,"MMM"),"-",IF(ROW(A264)&lt;473,"000"&amp;ROW(A264)-463,IF(ROW(A264)&lt;563,"00"&amp;ROW(A264)-463,IF(ROW(A264)&lt;1001,"0"&amp;ROW(A264)-463,ROW(A264)-463))))))</f>
        <v>ENE-0263-OLD</v>
      </c>
      <c r="B264" s="1">
        <v>45681</v>
      </c>
      <c r="C264" s="5"/>
      <c r="D264" s="5"/>
      <c r="E264" t="s">
        <v>110</v>
      </c>
      <c r="F264" s="32"/>
      <c r="G264" s="32"/>
      <c r="H264" s="5">
        <v>1557</v>
      </c>
      <c r="I264" t="s">
        <v>285</v>
      </c>
      <c r="J264" t="s">
        <v>286</v>
      </c>
      <c r="K264" s="5"/>
      <c r="L264" s="10" t="s">
        <v>83</v>
      </c>
      <c r="M264" s="49">
        <v>17.8</v>
      </c>
      <c r="N264" s="34">
        <f>PLANPRODUCCION[[#This Row],[PIEZAS PLANEADAS]]*PLANPRODUCCION[[#This Row],[PRECIO MAQUILAS]]</f>
        <v>0</v>
      </c>
      <c r="O264" s="5">
        <v>3</v>
      </c>
      <c r="P264" s="2">
        <v>0.54166666666666663</v>
      </c>
      <c r="Q264" s="2">
        <v>0.875</v>
      </c>
      <c r="R264" s="24">
        <v>264</v>
      </c>
      <c r="S264" s="35">
        <f>PLANPRODUCCION[[#This Row],[PRECIO MAQUILAS]]*PLANPRODUCCION[[#This Row],[PIEZAS REAL]]</f>
        <v>4699.2</v>
      </c>
      <c r="T26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6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6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6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2839.2</v>
      </c>
      <c r="X264" s="8"/>
      <c r="Y26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6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6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64" s="13" t="e">
        <f>IF(PLANPRODUCCION[[#This Row],[PIEZAS REAL]]&gt;0,PLANPRODUCCION[[#This Row],[PIEZAS REAL]]/PLANPRODUCCION[[#This Row],[PIEZAS ACTUALIZADO]],)</f>
        <v>#DIV/0!</v>
      </c>
      <c r="AC264" s="10" t="b">
        <f>PLANPRODUCCION[[#This Row],[INGRESO PLANEADO]]&lt;PLANPRODUCCION[[#This Row],[COSTO PLANEADO]]</f>
        <v>0</v>
      </c>
      <c r="AD264" s="46" t="s">
        <v>378</v>
      </c>
      <c r="AE264" s="10"/>
      <c r="AF264" s="10" t="b">
        <f>IF(COUNTIF(PLANPRODUCCION[[#This Row],[OBSERVACIONES]],"NO APLICA BONO*")&gt;0,TRUE,FALSE)</f>
        <v>0</v>
      </c>
    </row>
    <row r="265" spans="1:32" x14ac:dyDescent="0.25">
      <c r="A265" s="46" t="str">
        <f>UPPER(IF(PLANPRODUCCION[[#This Row],[FECHA]]&lt;=45701,_xlfn.CONCAT(TEXT(B265,"MMM"),"-",IF(ROW(A265)&lt;11,"000"&amp;ROW(A265)-1,IF(ROW(A265)&lt;101,"00"&amp;ROW(A265)-1,IF(ROW(A265)&lt;1001,"0"&amp;ROW(A265)-1,ROW(A265)-1))),"-OLD"),_xlfn.CONCAT(TEXT(B265,"MMM"),"-",IF(ROW(A265)&lt;473,"000"&amp;ROW(A265)-463,IF(ROW(A265)&lt;563,"00"&amp;ROW(A265)-463,IF(ROW(A265)&lt;1001,"0"&amp;ROW(A265)-463,ROW(A265)-463))))))</f>
        <v>ENE-0264-OLD</v>
      </c>
      <c r="B265" s="1">
        <v>45681</v>
      </c>
      <c r="C265" s="5"/>
      <c r="D265" s="5"/>
      <c r="E265" t="s">
        <v>72</v>
      </c>
      <c r="F265" s="32"/>
      <c r="G265" s="32"/>
      <c r="H265" s="5">
        <v>1557</v>
      </c>
      <c r="I265" t="s">
        <v>285</v>
      </c>
      <c r="J265" t="s">
        <v>286</v>
      </c>
      <c r="K265" s="5"/>
      <c r="L265" s="10" t="s">
        <v>83</v>
      </c>
      <c r="M265" s="49">
        <v>17.8</v>
      </c>
      <c r="N265" s="34">
        <f>PLANPRODUCCION[[#This Row],[PIEZAS PLANEADAS]]*PLANPRODUCCION[[#This Row],[PRECIO MAQUILAS]]</f>
        <v>0</v>
      </c>
      <c r="O265" s="5">
        <v>4</v>
      </c>
      <c r="P265" s="2">
        <v>0.66666666666666663</v>
      </c>
      <c r="Q265" s="2">
        <v>0.875</v>
      </c>
      <c r="R265" s="24">
        <v>160</v>
      </c>
      <c r="S265" s="35">
        <f>PLANPRODUCCION[[#This Row],[PRECIO MAQUILAS]]*PLANPRODUCCION[[#This Row],[PIEZAS REAL]]</f>
        <v>2848</v>
      </c>
      <c r="T26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6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6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26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1608</v>
      </c>
      <c r="X265" s="8"/>
      <c r="Y26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6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6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65" s="13" t="e">
        <f>IF(PLANPRODUCCION[[#This Row],[PIEZAS REAL]]&gt;0,PLANPRODUCCION[[#This Row],[PIEZAS REAL]]/PLANPRODUCCION[[#This Row],[PIEZAS ACTUALIZADO]],)</f>
        <v>#DIV/0!</v>
      </c>
      <c r="AC265" s="10" t="b">
        <f>PLANPRODUCCION[[#This Row],[INGRESO PLANEADO]]&lt;PLANPRODUCCION[[#This Row],[COSTO PLANEADO]]</f>
        <v>0</v>
      </c>
      <c r="AD265" s="46" t="s">
        <v>379</v>
      </c>
      <c r="AE265" s="10"/>
      <c r="AF265" s="10" t="b">
        <f>IF(COUNTIF(PLANPRODUCCION[[#This Row],[OBSERVACIONES]],"NO APLICA BONO*")&gt;0,TRUE,FALSE)</f>
        <v>0</v>
      </c>
    </row>
    <row r="266" spans="1:32" x14ac:dyDescent="0.25">
      <c r="A266" s="46" t="str">
        <f>UPPER(IF(PLANPRODUCCION[[#This Row],[FECHA]]&lt;=45701,_xlfn.CONCAT(TEXT(B266,"MMM"),"-",IF(ROW(A266)&lt;11,"000"&amp;ROW(A266)-1,IF(ROW(A266)&lt;101,"00"&amp;ROW(A266)-1,IF(ROW(A266)&lt;1001,"0"&amp;ROW(A266)-1,ROW(A266)-1))),"-OLD"),_xlfn.CONCAT(TEXT(B266,"MMM"),"-",IF(ROW(A266)&lt;473,"000"&amp;ROW(A266)-463,IF(ROW(A266)&lt;563,"00"&amp;ROW(A266)-463,IF(ROW(A266)&lt;1001,"0"&amp;ROW(A266)-463,ROW(A266)-463))))))</f>
        <v>ENE-0265-OLD</v>
      </c>
      <c r="B266" s="1">
        <v>45681</v>
      </c>
      <c r="C266" s="5"/>
      <c r="D266" s="5"/>
      <c r="E266" t="s">
        <v>72</v>
      </c>
      <c r="F266" s="32"/>
      <c r="G266" s="32"/>
      <c r="H266" s="5">
        <v>1557</v>
      </c>
      <c r="I266" t="s">
        <v>285</v>
      </c>
      <c r="J266" t="s">
        <v>286</v>
      </c>
      <c r="K266" s="5"/>
      <c r="L266" s="10" t="s">
        <v>83</v>
      </c>
      <c r="M266" s="49">
        <v>17.8</v>
      </c>
      <c r="N266" s="34">
        <f>PLANPRODUCCION[[#This Row],[PIEZAS PLANEADAS]]*PLANPRODUCCION[[#This Row],[PRECIO MAQUILAS]]</f>
        <v>0</v>
      </c>
      <c r="O266" s="5">
        <v>3</v>
      </c>
      <c r="P266" s="2">
        <v>0.66666666666666663</v>
      </c>
      <c r="Q266" s="2">
        <v>0.875</v>
      </c>
      <c r="R266" s="24">
        <v>138</v>
      </c>
      <c r="S266" s="35">
        <f>PLANPRODUCCION[[#This Row],[PRECIO MAQUILAS]]*PLANPRODUCCION[[#This Row],[PIEZAS REAL]]</f>
        <v>2456.4</v>
      </c>
      <c r="T26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6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6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26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1526.4</v>
      </c>
      <c r="X266" s="8"/>
      <c r="Y26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6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6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66" s="13" t="e">
        <f>IF(PLANPRODUCCION[[#This Row],[PIEZAS REAL]]&gt;0,PLANPRODUCCION[[#This Row],[PIEZAS REAL]]/PLANPRODUCCION[[#This Row],[PIEZAS ACTUALIZADO]],)</f>
        <v>#DIV/0!</v>
      </c>
      <c r="AC266" s="10" t="b">
        <f>PLANPRODUCCION[[#This Row],[INGRESO PLANEADO]]&lt;PLANPRODUCCION[[#This Row],[COSTO PLANEADO]]</f>
        <v>0</v>
      </c>
      <c r="AD266" s="46" t="s">
        <v>380</v>
      </c>
      <c r="AE266" s="10"/>
      <c r="AF266" s="10" t="b">
        <f>IF(COUNTIF(PLANPRODUCCION[[#This Row],[OBSERVACIONES]],"NO APLICA BONO*")&gt;0,TRUE,FALSE)</f>
        <v>0</v>
      </c>
    </row>
    <row r="267" spans="1:32" x14ac:dyDescent="0.25">
      <c r="A267" s="46" t="str">
        <f>UPPER(IF(PLANPRODUCCION[[#This Row],[FECHA]]&lt;=45701,_xlfn.CONCAT(TEXT(B267,"MMM"),"-",IF(ROW(A267)&lt;11,"000"&amp;ROW(A267)-1,IF(ROW(A267)&lt;101,"00"&amp;ROW(A267)-1,IF(ROW(A267)&lt;1001,"0"&amp;ROW(A267)-1,ROW(A267)-1))),"-OLD"),_xlfn.CONCAT(TEXT(B267,"MMM"),"-",IF(ROW(A267)&lt;473,"000"&amp;ROW(A267)-463,IF(ROW(A267)&lt;563,"00"&amp;ROW(A267)-463,IF(ROW(A267)&lt;1001,"0"&amp;ROW(A267)-463,ROW(A267)-463))))))</f>
        <v>ENE-0266-OLD</v>
      </c>
      <c r="B267" s="1">
        <v>45681</v>
      </c>
      <c r="C267" s="5"/>
      <c r="D267" s="5"/>
      <c r="E267" t="s">
        <v>75</v>
      </c>
      <c r="F267" s="32"/>
      <c r="G267" s="32"/>
      <c r="H267" s="5">
        <v>1557</v>
      </c>
      <c r="I267" t="s">
        <v>285</v>
      </c>
      <c r="J267" t="s">
        <v>286</v>
      </c>
      <c r="K267" s="5"/>
      <c r="L267" s="10" t="s">
        <v>83</v>
      </c>
      <c r="M267" s="49">
        <v>17.8</v>
      </c>
      <c r="N267" s="34">
        <f>PLANPRODUCCION[[#This Row],[PIEZAS PLANEADAS]]*PLANPRODUCCION[[#This Row],[PRECIO MAQUILAS]]</f>
        <v>0</v>
      </c>
      <c r="O267" s="5">
        <v>4</v>
      </c>
      <c r="P267" s="2">
        <v>0.875</v>
      </c>
      <c r="Q267" s="2">
        <v>0.25</v>
      </c>
      <c r="R267" s="24">
        <v>322</v>
      </c>
      <c r="S267" s="35">
        <f>PLANPRODUCCION[[#This Row],[PRECIO MAQUILAS]]*PLANPRODUCCION[[#This Row],[PIEZAS REAL]]</f>
        <v>5731.6</v>
      </c>
      <c r="T26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6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6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3000</v>
      </c>
      <c r="W26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2731.6000000000004</v>
      </c>
      <c r="X267" s="8"/>
      <c r="Y26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6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6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67" s="13" t="e">
        <f>IF(PLANPRODUCCION[[#This Row],[PIEZAS REAL]]&gt;0,PLANPRODUCCION[[#This Row],[PIEZAS REAL]]/PLANPRODUCCION[[#This Row],[PIEZAS ACTUALIZADO]],)</f>
        <v>#DIV/0!</v>
      </c>
      <c r="AC267" s="10" t="b">
        <f>PLANPRODUCCION[[#This Row],[INGRESO PLANEADO]]&lt;PLANPRODUCCION[[#This Row],[COSTO PLANEADO]]</f>
        <v>0</v>
      </c>
      <c r="AD267" s="46" t="s">
        <v>381</v>
      </c>
      <c r="AE267" s="10"/>
      <c r="AF267" s="10" t="b">
        <f>IF(COUNTIF(PLANPRODUCCION[[#This Row],[OBSERVACIONES]],"NO APLICA BONO*")&gt;0,TRUE,FALSE)</f>
        <v>0</v>
      </c>
    </row>
    <row r="268" spans="1:32" x14ac:dyDescent="0.25">
      <c r="A268" s="46" t="str">
        <f>UPPER(IF(PLANPRODUCCION[[#This Row],[FECHA]]&lt;=45701,_xlfn.CONCAT(TEXT(B268,"MMM"),"-",IF(ROW(A268)&lt;11,"000"&amp;ROW(A268)-1,IF(ROW(A268)&lt;101,"00"&amp;ROW(A268)-1,IF(ROW(A268)&lt;1001,"0"&amp;ROW(A268)-1,ROW(A268)-1))),"-OLD"),_xlfn.CONCAT(TEXT(B268,"MMM"),"-",IF(ROW(A268)&lt;473,"000"&amp;ROW(A268)-463,IF(ROW(A268)&lt;563,"00"&amp;ROW(A268)-463,IF(ROW(A268)&lt;1001,"0"&amp;ROW(A268)-463,ROW(A268)-463))))))</f>
        <v>ENE-0267-OLD</v>
      </c>
      <c r="B268" s="1">
        <v>45681</v>
      </c>
      <c r="C268" s="5"/>
      <c r="D268" s="5"/>
      <c r="E268" t="s">
        <v>75</v>
      </c>
      <c r="F268" s="32"/>
      <c r="G268" s="32"/>
      <c r="H268" s="5">
        <v>1557</v>
      </c>
      <c r="I268" t="s">
        <v>285</v>
      </c>
      <c r="J268" t="s">
        <v>286</v>
      </c>
      <c r="K268" s="5"/>
      <c r="L268" s="10" t="s">
        <v>83</v>
      </c>
      <c r="M268" s="49">
        <v>17.8</v>
      </c>
      <c r="N268" s="34">
        <f>PLANPRODUCCION[[#This Row],[PIEZAS PLANEADAS]]*PLANPRODUCCION[[#This Row],[PRECIO MAQUILAS]]</f>
        <v>0</v>
      </c>
      <c r="O268" s="5">
        <v>4</v>
      </c>
      <c r="P268" s="2">
        <v>0.875</v>
      </c>
      <c r="Q268" s="2">
        <v>0.25</v>
      </c>
      <c r="R268" s="24">
        <v>330</v>
      </c>
      <c r="S268" s="35">
        <f>PLANPRODUCCION[[#This Row],[PRECIO MAQUILAS]]*PLANPRODUCCION[[#This Row],[PIEZAS REAL]]</f>
        <v>5874</v>
      </c>
      <c r="T26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6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6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3000</v>
      </c>
      <c r="W26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2874</v>
      </c>
      <c r="X268" s="8"/>
      <c r="Y26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6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6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68" s="13" t="e">
        <f>IF(PLANPRODUCCION[[#This Row],[PIEZAS REAL]]&gt;0,PLANPRODUCCION[[#This Row],[PIEZAS REAL]]/PLANPRODUCCION[[#This Row],[PIEZAS ACTUALIZADO]],)</f>
        <v>#DIV/0!</v>
      </c>
      <c r="AC268" s="10" t="b">
        <f>PLANPRODUCCION[[#This Row],[INGRESO PLANEADO]]&lt;PLANPRODUCCION[[#This Row],[COSTO PLANEADO]]</f>
        <v>0</v>
      </c>
      <c r="AD268" s="46" t="s">
        <v>382</v>
      </c>
      <c r="AE268" s="10"/>
      <c r="AF268" s="10" t="b">
        <f>IF(COUNTIF(PLANPRODUCCION[[#This Row],[OBSERVACIONES]],"NO APLICA BONO*")&gt;0,TRUE,FALSE)</f>
        <v>0</v>
      </c>
    </row>
    <row r="269" spans="1:32" x14ac:dyDescent="0.25">
      <c r="A269" s="46" t="str">
        <f>UPPER(IF(PLANPRODUCCION[[#This Row],[FECHA]]&lt;=45701,_xlfn.CONCAT(TEXT(B269,"MMM"),"-",IF(ROW(A269)&lt;11,"000"&amp;ROW(A269)-1,IF(ROW(A269)&lt;101,"00"&amp;ROW(A269)-1,IF(ROW(A269)&lt;1001,"0"&amp;ROW(A269)-1,ROW(A269)-1))),"-OLD"),_xlfn.CONCAT(TEXT(B269,"MMM"),"-",IF(ROW(A269)&lt;473,"000"&amp;ROW(A269)-463,IF(ROW(A269)&lt;563,"00"&amp;ROW(A269)-463,IF(ROW(A269)&lt;1001,"0"&amp;ROW(A269)-463,ROW(A269)-463))))))</f>
        <v>ENE-0268-OLD</v>
      </c>
      <c r="B269" s="1">
        <v>45684</v>
      </c>
      <c r="C269" s="5"/>
      <c r="D269" s="5"/>
      <c r="E269" t="s">
        <v>54</v>
      </c>
      <c r="F269" s="32"/>
      <c r="G269" s="32"/>
      <c r="H269" s="5">
        <v>1477</v>
      </c>
      <c r="I269" t="s">
        <v>85</v>
      </c>
      <c r="J269" t="s">
        <v>86</v>
      </c>
      <c r="K269" s="5"/>
      <c r="L269" s="10" t="s">
        <v>57</v>
      </c>
      <c r="M269" s="49">
        <v>6</v>
      </c>
      <c r="N269" s="34">
        <f>PLANPRODUCCION[[#This Row],[PIEZAS PLANEADAS]]*PLANPRODUCCION[[#This Row],[PRECIO MAQUILAS]]</f>
        <v>0</v>
      </c>
      <c r="O269" s="5">
        <v>3</v>
      </c>
      <c r="P269" s="2">
        <v>0.25</v>
      </c>
      <c r="Q269" s="2">
        <v>0.66666666666666663</v>
      </c>
      <c r="R269" s="24">
        <v>561</v>
      </c>
      <c r="S269" s="35">
        <f>PLANPRODUCCION[[#This Row],[PRECIO MAQUILAS]]*PLANPRODUCCION[[#This Row],[PIEZAS REAL]]</f>
        <v>3366</v>
      </c>
      <c r="T26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6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6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6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1506</v>
      </c>
      <c r="X269" s="8"/>
      <c r="Y26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6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6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69" s="13" t="e">
        <f>IF(PLANPRODUCCION[[#This Row],[PIEZAS REAL]]&gt;0,PLANPRODUCCION[[#This Row],[PIEZAS REAL]]/PLANPRODUCCION[[#This Row],[PIEZAS ACTUALIZADO]],)</f>
        <v>#DIV/0!</v>
      </c>
      <c r="AC269" s="10" t="b">
        <f>PLANPRODUCCION[[#This Row],[INGRESO PLANEADO]]&lt;PLANPRODUCCION[[#This Row],[COSTO PLANEADO]]</f>
        <v>0</v>
      </c>
      <c r="AD269" s="46" t="s">
        <v>383</v>
      </c>
      <c r="AE269" s="10"/>
      <c r="AF269" s="10" t="b">
        <f>IF(COUNTIF(PLANPRODUCCION[[#This Row],[OBSERVACIONES]],"NO APLICA BONO*")&gt;0,TRUE,FALSE)</f>
        <v>0</v>
      </c>
    </row>
    <row r="270" spans="1:32" x14ac:dyDescent="0.25">
      <c r="A270" s="46" t="str">
        <f>UPPER(IF(PLANPRODUCCION[[#This Row],[FECHA]]&lt;=45701,_xlfn.CONCAT(TEXT(B270,"MMM"),"-",IF(ROW(A270)&lt;11,"000"&amp;ROW(A270)-1,IF(ROW(A270)&lt;101,"00"&amp;ROW(A270)-1,IF(ROW(A270)&lt;1001,"0"&amp;ROW(A270)-1,ROW(A270)-1))),"-OLD"),_xlfn.CONCAT(TEXT(B270,"MMM"),"-",IF(ROW(A270)&lt;473,"000"&amp;ROW(A270)-463,IF(ROW(A270)&lt;563,"00"&amp;ROW(A270)-463,IF(ROW(A270)&lt;1001,"0"&amp;ROW(A270)-463,ROW(A270)-463))))))</f>
        <v>ENE-0269-OLD</v>
      </c>
      <c r="B270" s="1">
        <v>45684</v>
      </c>
      <c r="C270" s="5"/>
      <c r="D270" s="5"/>
      <c r="E270" t="s">
        <v>54</v>
      </c>
      <c r="F270" s="32"/>
      <c r="G270" s="32"/>
      <c r="H270" s="5">
        <v>1557</v>
      </c>
      <c r="I270" t="s">
        <v>285</v>
      </c>
      <c r="J270" t="s">
        <v>286</v>
      </c>
      <c r="K270" s="5"/>
      <c r="L270" s="10" t="s">
        <v>83</v>
      </c>
      <c r="M270" s="49">
        <v>17.8</v>
      </c>
      <c r="N270" s="34">
        <f>PLANPRODUCCION[[#This Row],[PIEZAS PLANEADAS]]*PLANPRODUCCION[[#This Row],[PRECIO MAQUILAS]]</f>
        <v>0</v>
      </c>
      <c r="O270" s="5">
        <v>3</v>
      </c>
      <c r="P270" s="2">
        <v>0.25</v>
      </c>
      <c r="Q270" s="2">
        <v>0.4548611111111111</v>
      </c>
      <c r="R270" s="24">
        <v>137</v>
      </c>
      <c r="S270" s="35">
        <f>PLANPRODUCCION[[#This Row],[PRECIO MAQUILAS]]*PLANPRODUCCION[[#This Row],[PIEZAS REAL]]</f>
        <v>2438.6</v>
      </c>
      <c r="T27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7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7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914.5</v>
      </c>
      <c r="W27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1524.1</v>
      </c>
      <c r="X270" s="8"/>
      <c r="Y27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7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7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70" s="13" t="e">
        <f>IF(PLANPRODUCCION[[#This Row],[PIEZAS REAL]]&gt;0,PLANPRODUCCION[[#This Row],[PIEZAS REAL]]/PLANPRODUCCION[[#This Row],[PIEZAS ACTUALIZADO]],)</f>
        <v>#DIV/0!</v>
      </c>
      <c r="AC270" s="10" t="b">
        <f>PLANPRODUCCION[[#This Row],[INGRESO PLANEADO]]&lt;PLANPRODUCCION[[#This Row],[COSTO PLANEADO]]</f>
        <v>0</v>
      </c>
      <c r="AD270" s="46" t="s">
        <v>384</v>
      </c>
      <c r="AE270" s="10"/>
      <c r="AF270" s="10" t="b">
        <f>IF(COUNTIF(PLANPRODUCCION[[#This Row],[OBSERVACIONES]],"NO APLICA BONO*")&gt;0,TRUE,FALSE)</f>
        <v>0</v>
      </c>
    </row>
    <row r="271" spans="1:32" x14ac:dyDescent="0.25">
      <c r="A271" s="46" t="str">
        <f>UPPER(IF(PLANPRODUCCION[[#This Row],[FECHA]]&lt;=45701,_xlfn.CONCAT(TEXT(B271,"MMM"),"-",IF(ROW(A271)&lt;11,"000"&amp;ROW(A271)-1,IF(ROW(A271)&lt;101,"00"&amp;ROW(A271)-1,IF(ROW(A271)&lt;1001,"0"&amp;ROW(A271)-1,ROW(A271)-1))),"-OLD"),_xlfn.CONCAT(TEXT(B271,"MMM"),"-",IF(ROW(A271)&lt;473,"000"&amp;ROW(A271)-463,IF(ROW(A271)&lt;563,"00"&amp;ROW(A271)-463,IF(ROW(A271)&lt;1001,"0"&amp;ROW(A271)-463,ROW(A271)-463))))))</f>
        <v>ENE-0270-OLD</v>
      </c>
      <c r="B271" s="1">
        <v>45684</v>
      </c>
      <c r="C271" s="5"/>
      <c r="D271" s="5"/>
      <c r="E271" t="s">
        <v>54</v>
      </c>
      <c r="F271" s="32"/>
      <c r="G271" s="32"/>
      <c r="H271" s="5">
        <v>1557</v>
      </c>
      <c r="I271" t="s">
        <v>285</v>
      </c>
      <c r="J271" t="s">
        <v>286</v>
      </c>
      <c r="K271" s="5"/>
      <c r="L271" s="10" t="s">
        <v>83</v>
      </c>
      <c r="M271" s="49">
        <v>17.8</v>
      </c>
      <c r="N271" s="34">
        <f>PLANPRODUCCION[[#This Row],[PIEZAS PLANEADAS]]*PLANPRODUCCION[[#This Row],[PRECIO MAQUILAS]]</f>
        <v>0</v>
      </c>
      <c r="O271" s="5">
        <v>3</v>
      </c>
      <c r="P271" s="2">
        <v>0.25</v>
      </c>
      <c r="Q271" s="2">
        <v>0.4548611111111111</v>
      </c>
      <c r="R271" s="24">
        <v>142</v>
      </c>
      <c r="S271" s="35">
        <f>PLANPRODUCCION[[#This Row],[PRECIO MAQUILAS]]*PLANPRODUCCION[[#This Row],[PIEZAS REAL]]</f>
        <v>2527.6</v>
      </c>
      <c r="T27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7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7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914.5</v>
      </c>
      <c r="W27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1613.1</v>
      </c>
      <c r="X271" s="8"/>
      <c r="Y27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7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7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71" s="13" t="e">
        <f>IF(PLANPRODUCCION[[#This Row],[PIEZAS REAL]]&gt;0,PLANPRODUCCION[[#This Row],[PIEZAS REAL]]/PLANPRODUCCION[[#This Row],[PIEZAS ACTUALIZADO]],)</f>
        <v>#DIV/0!</v>
      </c>
      <c r="AC271" s="10" t="b">
        <f>PLANPRODUCCION[[#This Row],[INGRESO PLANEADO]]&lt;PLANPRODUCCION[[#This Row],[COSTO PLANEADO]]</f>
        <v>0</v>
      </c>
      <c r="AD271" s="46" t="s">
        <v>385</v>
      </c>
      <c r="AE271" s="10"/>
      <c r="AF271" s="10" t="b">
        <f>IF(COUNTIF(PLANPRODUCCION[[#This Row],[OBSERVACIONES]],"NO APLICA BONO*")&gt;0,TRUE,FALSE)</f>
        <v>0</v>
      </c>
    </row>
    <row r="272" spans="1:32" x14ac:dyDescent="0.25">
      <c r="A272" s="46" t="str">
        <f>UPPER(IF(PLANPRODUCCION[[#This Row],[FECHA]]&lt;=45701,_xlfn.CONCAT(TEXT(B272,"MMM"),"-",IF(ROW(A272)&lt;11,"000"&amp;ROW(A272)-1,IF(ROW(A272)&lt;101,"00"&amp;ROW(A272)-1,IF(ROW(A272)&lt;1001,"0"&amp;ROW(A272)-1,ROW(A272)-1))),"-OLD"),_xlfn.CONCAT(TEXT(B272,"MMM"),"-",IF(ROW(A272)&lt;473,"000"&amp;ROW(A272)-463,IF(ROW(A272)&lt;563,"00"&amp;ROW(A272)-463,IF(ROW(A272)&lt;1001,"0"&amp;ROW(A272)-463,ROW(A272)-463))))))</f>
        <v>ENE-0271-OLD</v>
      </c>
      <c r="B272" s="1">
        <v>45684</v>
      </c>
      <c r="C272" s="5"/>
      <c r="D272" s="5"/>
      <c r="E272" t="s">
        <v>54</v>
      </c>
      <c r="F272" s="32"/>
      <c r="G272" s="32"/>
      <c r="H272" s="5">
        <v>1538</v>
      </c>
      <c r="I272" t="s">
        <v>281</v>
      </c>
      <c r="J272" t="s">
        <v>282</v>
      </c>
      <c r="K272" s="5"/>
      <c r="L272" s="10" t="s">
        <v>283</v>
      </c>
      <c r="M272" s="49">
        <v>12</v>
      </c>
      <c r="N272" s="34">
        <f>PLANPRODUCCION[[#This Row],[PIEZAS PLANEADAS]]*PLANPRODUCCION[[#This Row],[PRECIO MAQUILAS]]</f>
        <v>0</v>
      </c>
      <c r="O272" s="5">
        <v>3</v>
      </c>
      <c r="P272" s="2">
        <v>0.27083333333333331</v>
      </c>
      <c r="Q272" s="2">
        <v>0.31944444444444442</v>
      </c>
      <c r="R272" s="24">
        <v>14</v>
      </c>
      <c r="S272" s="35">
        <f>PLANPRODUCCION[[#This Row],[PRECIO MAQUILAS]]*PLANPRODUCCION[[#This Row],[PIEZAS REAL]]</f>
        <v>168</v>
      </c>
      <c r="T27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7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7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217.00000000000003</v>
      </c>
      <c r="W27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-49.000000000000028</v>
      </c>
      <c r="X272" s="8"/>
      <c r="Y27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7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7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72" s="13" t="e">
        <f>IF(PLANPRODUCCION[[#This Row],[PIEZAS REAL]]&gt;0,PLANPRODUCCION[[#This Row],[PIEZAS REAL]]/PLANPRODUCCION[[#This Row],[PIEZAS ACTUALIZADO]],)</f>
        <v>#DIV/0!</v>
      </c>
      <c r="AC272" s="10" t="b">
        <f>PLANPRODUCCION[[#This Row],[INGRESO PLANEADO]]&lt;PLANPRODUCCION[[#This Row],[COSTO PLANEADO]]</f>
        <v>0</v>
      </c>
      <c r="AD272" s="46" t="s">
        <v>386</v>
      </c>
      <c r="AE272" s="10"/>
      <c r="AF272" s="10" t="b">
        <f>IF(COUNTIF(PLANPRODUCCION[[#This Row],[OBSERVACIONES]],"NO APLICA BONO*")&gt;0,TRUE,FALSE)</f>
        <v>0</v>
      </c>
    </row>
    <row r="273" spans="1:32" x14ac:dyDescent="0.25">
      <c r="A273" s="46" t="str">
        <f>UPPER(IF(PLANPRODUCCION[[#This Row],[FECHA]]&lt;=45701,_xlfn.CONCAT(TEXT(B273,"MMM"),"-",IF(ROW(A273)&lt;11,"000"&amp;ROW(A273)-1,IF(ROW(A273)&lt;101,"00"&amp;ROW(A273)-1,IF(ROW(A273)&lt;1001,"0"&amp;ROW(A273)-1,ROW(A273)-1))),"-OLD"),_xlfn.CONCAT(TEXT(B273,"MMM"),"-",IF(ROW(A273)&lt;473,"000"&amp;ROW(A273)-463,IF(ROW(A273)&lt;563,"00"&amp;ROW(A273)-463,IF(ROW(A273)&lt;1001,"0"&amp;ROW(A273)-463,ROW(A273)-463))))))</f>
        <v>ENE-0272-OLD</v>
      </c>
      <c r="B273" s="1">
        <v>45684</v>
      </c>
      <c r="C273" s="5"/>
      <c r="D273" s="5"/>
      <c r="E273" t="s">
        <v>54</v>
      </c>
      <c r="F273" s="32"/>
      <c r="G273" s="32"/>
      <c r="H273" s="5">
        <v>1557</v>
      </c>
      <c r="I273" t="s">
        <v>285</v>
      </c>
      <c r="J273" t="s">
        <v>286</v>
      </c>
      <c r="K273" s="5"/>
      <c r="L273" s="10" t="s">
        <v>83</v>
      </c>
      <c r="M273" s="49">
        <v>17.8</v>
      </c>
      <c r="N273" s="34">
        <f>PLANPRODUCCION[[#This Row],[PIEZAS PLANEADAS]]*PLANPRODUCCION[[#This Row],[PRECIO MAQUILAS]]</f>
        <v>0</v>
      </c>
      <c r="O273" s="5">
        <v>3</v>
      </c>
      <c r="P273" s="2">
        <v>0.33333333333333331</v>
      </c>
      <c r="Q273" s="2">
        <v>0.40625</v>
      </c>
      <c r="R273" s="24">
        <v>35</v>
      </c>
      <c r="S273" s="35">
        <f>PLANPRODUCCION[[#This Row],[PRECIO MAQUILAS]]*PLANPRODUCCION[[#This Row],[PIEZAS REAL]]</f>
        <v>623</v>
      </c>
      <c r="T27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7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7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325.5</v>
      </c>
      <c r="W27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297.5</v>
      </c>
      <c r="X273" s="8"/>
      <c r="Y27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7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7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73" s="13" t="e">
        <f>IF(PLANPRODUCCION[[#This Row],[PIEZAS REAL]]&gt;0,PLANPRODUCCION[[#This Row],[PIEZAS REAL]]/PLANPRODUCCION[[#This Row],[PIEZAS ACTUALIZADO]],)</f>
        <v>#DIV/0!</v>
      </c>
      <c r="AC273" s="10" t="b">
        <f>PLANPRODUCCION[[#This Row],[INGRESO PLANEADO]]&lt;PLANPRODUCCION[[#This Row],[COSTO PLANEADO]]</f>
        <v>0</v>
      </c>
      <c r="AD273" s="46" t="s">
        <v>387</v>
      </c>
      <c r="AE273" s="10"/>
      <c r="AF273" s="10" t="b">
        <f>IF(COUNTIF(PLANPRODUCCION[[#This Row],[OBSERVACIONES]],"NO APLICA BONO*")&gt;0,TRUE,FALSE)</f>
        <v>0</v>
      </c>
    </row>
    <row r="274" spans="1:32" x14ac:dyDescent="0.25">
      <c r="A274" s="46" t="str">
        <f>UPPER(IF(PLANPRODUCCION[[#This Row],[FECHA]]&lt;=45701,_xlfn.CONCAT(TEXT(B274,"MMM"),"-",IF(ROW(A274)&lt;11,"000"&amp;ROW(A274)-1,IF(ROW(A274)&lt;101,"00"&amp;ROW(A274)-1,IF(ROW(A274)&lt;1001,"0"&amp;ROW(A274)-1,ROW(A274)-1))),"-OLD"),_xlfn.CONCAT(TEXT(B274,"MMM"),"-",IF(ROW(A274)&lt;473,"000"&amp;ROW(A274)-463,IF(ROW(A274)&lt;563,"00"&amp;ROW(A274)-463,IF(ROW(A274)&lt;1001,"0"&amp;ROW(A274)-463,ROW(A274)-463))))))</f>
        <v>ENE-0273-OLD</v>
      </c>
      <c r="B274" s="1">
        <v>45684</v>
      </c>
      <c r="C274" s="5"/>
      <c r="D274" s="5"/>
      <c r="E274" t="s">
        <v>54</v>
      </c>
      <c r="F274" s="32"/>
      <c r="G274" s="32"/>
      <c r="H274" s="5">
        <v>1477</v>
      </c>
      <c r="I274" t="s">
        <v>85</v>
      </c>
      <c r="J274" t="s">
        <v>86</v>
      </c>
      <c r="K274" s="5"/>
      <c r="L274" s="10" t="s">
        <v>57</v>
      </c>
      <c r="M274" s="49">
        <v>6</v>
      </c>
      <c r="N274" s="34">
        <f>PLANPRODUCCION[[#This Row],[PIEZAS PLANEADAS]]*PLANPRODUCCION[[#This Row],[PRECIO MAQUILAS]]</f>
        <v>0</v>
      </c>
      <c r="O274" s="5">
        <v>3</v>
      </c>
      <c r="P274" s="2">
        <v>0.42708333333333331</v>
      </c>
      <c r="Q274" s="2">
        <v>0.66666666666666663</v>
      </c>
      <c r="R274" s="24">
        <v>320</v>
      </c>
      <c r="S274" s="35">
        <f>PLANPRODUCCION[[#This Row],[PRECIO MAQUILAS]]*PLANPRODUCCION[[#This Row],[PIEZAS REAL]]</f>
        <v>1920</v>
      </c>
      <c r="T27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7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7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1069.5</v>
      </c>
      <c r="W27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850.5</v>
      </c>
      <c r="X274" s="8"/>
      <c r="Y27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7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7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74" s="13" t="e">
        <f>IF(PLANPRODUCCION[[#This Row],[PIEZAS REAL]]&gt;0,PLANPRODUCCION[[#This Row],[PIEZAS REAL]]/PLANPRODUCCION[[#This Row],[PIEZAS ACTUALIZADO]],)</f>
        <v>#DIV/0!</v>
      </c>
      <c r="AC274" s="10" t="b">
        <f>PLANPRODUCCION[[#This Row],[INGRESO PLANEADO]]&lt;PLANPRODUCCION[[#This Row],[COSTO PLANEADO]]</f>
        <v>0</v>
      </c>
      <c r="AD274" s="46" t="s">
        <v>388</v>
      </c>
      <c r="AE274" s="10"/>
      <c r="AF274" s="10" t="b">
        <f>IF(COUNTIF(PLANPRODUCCION[[#This Row],[OBSERVACIONES]],"NO APLICA BONO*")&gt;0,TRUE,FALSE)</f>
        <v>0</v>
      </c>
    </row>
    <row r="275" spans="1:32" x14ac:dyDescent="0.25">
      <c r="A275" s="46" t="str">
        <f>UPPER(IF(PLANPRODUCCION[[#This Row],[FECHA]]&lt;=45701,_xlfn.CONCAT(TEXT(B275,"MMM"),"-",IF(ROW(A275)&lt;11,"000"&amp;ROW(A275)-1,IF(ROW(A275)&lt;101,"00"&amp;ROW(A275)-1,IF(ROW(A275)&lt;1001,"0"&amp;ROW(A275)-1,ROW(A275)-1))),"-OLD"),_xlfn.CONCAT(TEXT(B275,"MMM"),"-",IF(ROW(A275)&lt;473,"000"&amp;ROW(A275)-463,IF(ROW(A275)&lt;563,"00"&amp;ROW(A275)-463,IF(ROW(A275)&lt;1001,"0"&amp;ROW(A275)-463,ROW(A275)-463))))))</f>
        <v>ENE-0274-OLD</v>
      </c>
      <c r="B275" s="1">
        <v>45684</v>
      </c>
      <c r="C275" s="5"/>
      <c r="D275" s="5"/>
      <c r="E275" t="s">
        <v>54</v>
      </c>
      <c r="F275" s="32"/>
      <c r="G275" s="32"/>
      <c r="H275" s="5">
        <v>1552</v>
      </c>
      <c r="I275" t="s">
        <v>359</v>
      </c>
      <c r="J275" t="s">
        <v>360</v>
      </c>
      <c r="K275" s="5"/>
      <c r="L275" s="10" t="s">
        <v>57</v>
      </c>
      <c r="M275" s="49">
        <v>1.45</v>
      </c>
      <c r="N275" s="34">
        <f>PLANPRODUCCION[[#This Row],[PIEZAS PLANEADAS]]*PLANPRODUCCION[[#This Row],[PRECIO MAQUILAS]]</f>
        <v>0</v>
      </c>
      <c r="O275" s="5">
        <v>3</v>
      </c>
      <c r="P275" s="2">
        <v>0.46180555555555558</v>
      </c>
      <c r="Q275" s="2">
        <v>0.66666666666666663</v>
      </c>
      <c r="R275" s="24">
        <v>137</v>
      </c>
      <c r="S275" s="35">
        <f>PLANPRODUCCION[[#This Row],[PRECIO MAQUILAS]]*PLANPRODUCCION[[#This Row],[PIEZAS REAL]]</f>
        <v>198.65</v>
      </c>
      <c r="T27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7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7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914.5</v>
      </c>
      <c r="W27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-715.85</v>
      </c>
      <c r="X275" s="8"/>
      <c r="Y27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7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7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75" s="13" t="e">
        <f>IF(PLANPRODUCCION[[#This Row],[PIEZAS REAL]]&gt;0,PLANPRODUCCION[[#This Row],[PIEZAS REAL]]/PLANPRODUCCION[[#This Row],[PIEZAS ACTUALIZADO]],)</f>
        <v>#DIV/0!</v>
      </c>
      <c r="AC275" s="10" t="b">
        <f>PLANPRODUCCION[[#This Row],[INGRESO PLANEADO]]&lt;PLANPRODUCCION[[#This Row],[COSTO PLANEADO]]</f>
        <v>0</v>
      </c>
      <c r="AD275" s="46" t="s">
        <v>389</v>
      </c>
      <c r="AE275" s="10"/>
      <c r="AF275" s="10" t="b">
        <f>IF(COUNTIF(PLANPRODUCCION[[#This Row],[OBSERVACIONES]],"NO APLICA BONO*")&gt;0,TRUE,FALSE)</f>
        <v>0</v>
      </c>
    </row>
    <row r="276" spans="1:32" x14ac:dyDescent="0.25">
      <c r="A276" s="46" t="str">
        <f>UPPER(IF(PLANPRODUCCION[[#This Row],[FECHA]]&lt;=45701,_xlfn.CONCAT(TEXT(B276,"MMM"),"-",IF(ROW(A276)&lt;11,"000"&amp;ROW(A276)-1,IF(ROW(A276)&lt;101,"00"&amp;ROW(A276)-1,IF(ROW(A276)&lt;1001,"0"&amp;ROW(A276)-1,ROW(A276)-1))),"-OLD"),_xlfn.CONCAT(TEXT(B276,"MMM"),"-",IF(ROW(A276)&lt;473,"000"&amp;ROW(A276)-463,IF(ROW(A276)&lt;563,"00"&amp;ROW(A276)-463,IF(ROW(A276)&lt;1001,"0"&amp;ROW(A276)-463,ROW(A276)-463))))))</f>
        <v>ENE-0275-OLD</v>
      </c>
      <c r="B276" s="1">
        <v>45684</v>
      </c>
      <c r="C276" s="5"/>
      <c r="D276" s="5"/>
      <c r="E276" t="s">
        <v>67</v>
      </c>
      <c r="F276" s="32"/>
      <c r="G276" s="32"/>
      <c r="H276" s="5">
        <v>1477</v>
      </c>
      <c r="I276" t="s">
        <v>85</v>
      </c>
      <c r="J276" t="s">
        <v>86</v>
      </c>
      <c r="K276" s="5"/>
      <c r="L276" s="10" t="s">
        <v>57</v>
      </c>
      <c r="M276" s="49">
        <v>6</v>
      </c>
      <c r="N276" s="34">
        <f>PLANPRODUCCION[[#This Row],[PIEZAS PLANEADAS]]*PLANPRODUCCION[[#This Row],[PRECIO MAQUILAS]]</f>
        <v>0</v>
      </c>
      <c r="O276" s="5">
        <v>3</v>
      </c>
      <c r="P276" s="2">
        <v>0.33333333333333331</v>
      </c>
      <c r="Q276" s="2">
        <v>0.75</v>
      </c>
      <c r="R276" s="24">
        <v>520</v>
      </c>
      <c r="S276" s="35">
        <f>PLANPRODUCCION[[#This Row],[PRECIO MAQUILAS]]*PLANPRODUCCION[[#This Row],[PIEZAS REAL]]</f>
        <v>3120</v>
      </c>
      <c r="T27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7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7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7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1260</v>
      </c>
      <c r="X276" s="8"/>
      <c r="Y27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7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7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76" s="13" t="e">
        <f>IF(PLANPRODUCCION[[#This Row],[PIEZAS REAL]]&gt;0,PLANPRODUCCION[[#This Row],[PIEZAS REAL]]/PLANPRODUCCION[[#This Row],[PIEZAS ACTUALIZADO]],)</f>
        <v>#DIV/0!</v>
      </c>
      <c r="AC276" s="10" t="b">
        <f>PLANPRODUCCION[[#This Row],[INGRESO PLANEADO]]&lt;PLANPRODUCCION[[#This Row],[COSTO PLANEADO]]</f>
        <v>0</v>
      </c>
      <c r="AD276" s="46" t="s">
        <v>390</v>
      </c>
      <c r="AE276" s="10"/>
      <c r="AF276" s="10" t="b">
        <f>IF(COUNTIF(PLANPRODUCCION[[#This Row],[OBSERVACIONES]],"NO APLICA BONO*")&gt;0,TRUE,FALSE)</f>
        <v>0</v>
      </c>
    </row>
    <row r="277" spans="1:32" x14ac:dyDescent="0.25">
      <c r="A277" s="46" t="str">
        <f>UPPER(IF(PLANPRODUCCION[[#This Row],[FECHA]]&lt;=45701,_xlfn.CONCAT(TEXT(B277,"MMM"),"-",IF(ROW(A277)&lt;11,"000"&amp;ROW(A277)-1,IF(ROW(A277)&lt;101,"00"&amp;ROW(A277)-1,IF(ROW(A277)&lt;1001,"0"&amp;ROW(A277)-1,ROW(A277)-1))),"-OLD"),_xlfn.CONCAT(TEXT(B277,"MMM"),"-",IF(ROW(A277)&lt;473,"000"&amp;ROW(A277)-463,IF(ROW(A277)&lt;563,"00"&amp;ROW(A277)-463,IF(ROW(A277)&lt;1001,"0"&amp;ROW(A277)-463,ROW(A277)-463))))))</f>
        <v>ENE-0276-OLD</v>
      </c>
      <c r="B277" s="1">
        <v>45684</v>
      </c>
      <c r="C277" s="5"/>
      <c r="D277" s="5"/>
      <c r="E277" t="s">
        <v>67</v>
      </c>
      <c r="F277" s="32"/>
      <c r="G277" s="32"/>
      <c r="H277" s="5">
        <v>1477</v>
      </c>
      <c r="I277" t="s">
        <v>85</v>
      </c>
      <c r="J277" t="s">
        <v>96</v>
      </c>
      <c r="K277" s="5"/>
      <c r="L277" s="10" t="s">
        <v>57</v>
      </c>
      <c r="M277" s="49">
        <v>0.4</v>
      </c>
      <c r="N277" s="34">
        <f>PLANPRODUCCION[[#This Row],[PIEZAS PLANEADAS]]*PLANPRODUCCION[[#This Row],[PRECIO MAQUILAS]]</f>
        <v>0</v>
      </c>
      <c r="O277" s="5">
        <v>3</v>
      </c>
      <c r="P277" s="2">
        <v>0.33333333333333331</v>
      </c>
      <c r="Q277" s="2">
        <v>0.38194444444444442</v>
      </c>
      <c r="R277" s="24">
        <v>1182</v>
      </c>
      <c r="S277" s="35">
        <f>PLANPRODUCCION[[#This Row],[PRECIO MAQUILAS]]*PLANPRODUCCION[[#This Row],[PIEZAS REAL]]</f>
        <v>472.8</v>
      </c>
      <c r="T27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7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7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217</v>
      </c>
      <c r="W27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255.8</v>
      </c>
      <c r="X277" s="8"/>
      <c r="Y27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7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7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77" s="13" t="e">
        <f>IF(PLANPRODUCCION[[#This Row],[PIEZAS REAL]]&gt;0,PLANPRODUCCION[[#This Row],[PIEZAS REAL]]/PLANPRODUCCION[[#This Row],[PIEZAS ACTUALIZADO]],)</f>
        <v>#DIV/0!</v>
      </c>
      <c r="AC277" s="10" t="b">
        <f>PLANPRODUCCION[[#This Row],[INGRESO PLANEADO]]&lt;PLANPRODUCCION[[#This Row],[COSTO PLANEADO]]</f>
        <v>0</v>
      </c>
      <c r="AD277" s="46" t="s">
        <v>391</v>
      </c>
      <c r="AE277" s="10"/>
      <c r="AF277" s="10" t="b">
        <f>IF(COUNTIF(PLANPRODUCCION[[#This Row],[OBSERVACIONES]],"NO APLICA BONO*")&gt;0,TRUE,FALSE)</f>
        <v>0</v>
      </c>
    </row>
    <row r="278" spans="1:32" x14ac:dyDescent="0.25">
      <c r="A278" s="46" t="str">
        <f>UPPER(IF(PLANPRODUCCION[[#This Row],[FECHA]]&lt;=45701,_xlfn.CONCAT(TEXT(B278,"MMM"),"-",IF(ROW(A278)&lt;11,"000"&amp;ROW(A278)-1,IF(ROW(A278)&lt;101,"00"&amp;ROW(A278)-1,IF(ROW(A278)&lt;1001,"0"&amp;ROW(A278)-1,ROW(A278)-1))),"-OLD"),_xlfn.CONCAT(TEXT(B278,"MMM"),"-",IF(ROW(A278)&lt;473,"000"&amp;ROW(A278)-463,IF(ROW(A278)&lt;563,"00"&amp;ROW(A278)-463,IF(ROW(A278)&lt;1001,"0"&amp;ROW(A278)-463,ROW(A278)-463))))))</f>
        <v>ENE-0277-OLD</v>
      </c>
      <c r="B278" s="1">
        <v>45684</v>
      </c>
      <c r="C278" s="5"/>
      <c r="D278" s="5"/>
      <c r="E278" t="s">
        <v>67</v>
      </c>
      <c r="F278" s="32"/>
      <c r="G278" s="32"/>
      <c r="H278" s="5">
        <v>1477</v>
      </c>
      <c r="I278" t="s">
        <v>85</v>
      </c>
      <c r="J278" t="s">
        <v>86</v>
      </c>
      <c r="K278" s="5"/>
      <c r="L278" s="10" t="s">
        <v>57</v>
      </c>
      <c r="M278" s="49">
        <v>6</v>
      </c>
      <c r="N278" s="34">
        <f>PLANPRODUCCION[[#This Row],[PIEZAS PLANEADAS]]*PLANPRODUCCION[[#This Row],[PRECIO MAQUILAS]]</f>
        <v>0</v>
      </c>
      <c r="O278" s="5">
        <v>3</v>
      </c>
      <c r="P278" s="2">
        <v>0.3888888888888889</v>
      </c>
      <c r="Q278" s="2">
        <v>0.75</v>
      </c>
      <c r="R278" s="24">
        <v>320</v>
      </c>
      <c r="S278" s="35">
        <f>PLANPRODUCCION[[#This Row],[PRECIO MAQUILAS]]*PLANPRODUCCION[[#This Row],[PIEZAS REAL]]</f>
        <v>1920</v>
      </c>
      <c r="T27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7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7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1612</v>
      </c>
      <c r="W27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308</v>
      </c>
      <c r="X278" s="8"/>
      <c r="Y27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7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7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78" s="13" t="e">
        <f>IF(PLANPRODUCCION[[#This Row],[PIEZAS REAL]]&gt;0,PLANPRODUCCION[[#This Row],[PIEZAS REAL]]/PLANPRODUCCION[[#This Row],[PIEZAS ACTUALIZADO]],)</f>
        <v>#DIV/0!</v>
      </c>
      <c r="AC278" s="10" t="b">
        <f>PLANPRODUCCION[[#This Row],[INGRESO PLANEADO]]&lt;PLANPRODUCCION[[#This Row],[COSTO PLANEADO]]</f>
        <v>0</v>
      </c>
      <c r="AD278" s="46" t="s">
        <v>392</v>
      </c>
      <c r="AE278" s="10"/>
      <c r="AF278" s="10" t="b">
        <f>IF(COUNTIF(PLANPRODUCCION[[#This Row],[OBSERVACIONES]],"NO APLICA BONO*")&gt;0,TRUE,FALSE)</f>
        <v>0</v>
      </c>
    </row>
    <row r="279" spans="1:32" x14ac:dyDescent="0.25">
      <c r="A279" s="46" t="str">
        <f>UPPER(IF(PLANPRODUCCION[[#This Row],[FECHA]]&lt;=45701,_xlfn.CONCAT(TEXT(B279,"MMM"),"-",IF(ROW(A279)&lt;11,"000"&amp;ROW(A279)-1,IF(ROW(A279)&lt;101,"00"&amp;ROW(A279)-1,IF(ROW(A279)&lt;1001,"0"&amp;ROW(A279)-1,ROW(A279)-1))),"-OLD"),_xlfn.CONCAT(TEXT(B279,"MMM"),"-",IF(ROW(A279)&lt;473,"000"&amp;ROW(A279)-463,IF(ROW(A279)&lt;563,"00"&amp;ROW(A279)-463,IF(ROW(A279)&lt;1001,"0"&amp;ROW(A279)-463,ROW(A279)-463))))))</f>
        <v>ENE-0278-OLD</v>
      </c>
      <c r="B279" s="1">
        <v>45684</v>
      </c>
      <c r="C279" s="5"/>
      <c r="D279" s="5"/>
      <c r="E279" t="s">
        <v>110</v>
      </c>
      <c r="F279" s="32"/>
      <c r="G279" s="32"/>
      <c r="H279" s="5">
        <v>1552</v>
      </c>
      <c r="I279" t="s">
        <v>359</v>
      </c>
      <c r="J279" t="s">
        <v>360</v>
      </c>
      <c r="K279" s="5"/>
      <c r="L279" s="10" t="s">
        <v>57</v>
      </c>
      <c r="M279" s="49">
        <v>1.45</v>
      </c>
      <c r="N279" s="34">
        <f>PLANPRODUCCION[[#This Row],[PIEZAS PLANEADAS]]*PLANPRODUCCION[[#This Row],[PRECIO MAQUILAS]]</f>
        <v>0</v>
      </c>
      <c r="O279" s="5">
        <v>3</v>
      </c>
      <c r="P279" s="2">
        <v>0.54166666666666663</v>
      </c>
      <c r="Q279" s="2">
        <v>0.875</v>
      </c>
      <c r="R279" s="24">
        <v>1620</v>
      </c>
      <c r="S279" s="35">
        <f>PLANPRODUCCION[[#This Row],[PRECIO MAQUILAS]]*PLANPRODUCCION[[#This Row],[PIEZAS REAL]]</f>
        <v>2349</v>
      </c>
      <c r="T27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7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7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7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489</v>
      </c>
      <c r="X279" s="8"/>
      <c r="Y27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7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7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79" s="13" t="e">
        <f>IF(PLANPRODUCCION[[#This Row],[PIEZAS REAL]]&gt;0,PLANPRODUCCION[[#This Row],[PIEZAS REAL]]/PLANPRODUCCION[[#This Row],[PIEZAS ACTUALIZADO]],)</f>
        <v>#DIV/0!</v>
      </c>
      <c r="AC279" s="10" t="b">
        <f>PLANPRODUCCION[[#This Row],[INGRESO PLANEADO]]&lt;PLANPRODUCCION[[#This Row],[COSTO PLANEADO]]</f>
        <v>0</v>
      </c>
      <c r="AD279" s="46" t="s">
        <v>393</v>
      </c>
      <c r="AE279" s="10"/>
      <c r="AF279" s="10" t="b">
        <f>IF(COUNTIF(PLANPRODUCCION[[#This Row],[OBSERVACIONES]],"NO APLICA BONO*")&gt;0,TRUE,FALSE)</f>
        <v>0</v>
      </c>
    </row>
    <row r="280" spans="1:32" x14ac:dyDescent="0.25">
      <c r="A280" s="46" t="str">
        <f>UPPER(IF(PLANPRODUCCION[[#This Row],[FECHA]]&lt;=45701,_xlfn.CONCAT(TEXT(B280,"MMM"),"-",IF(ROW(A280)&lt;11,"000"&amp;ROW(A280)-1,IF(ROW(A280)&lt;101,"00"&amp;ROW(A280)-1,IF(ROW(A280)&lt;1001,"0"&amp;ROW(A280)-1,ROW(A280)-1))),"-OLD"),_xlfn.CONCAT(TEXT(B280,"MMM"),"-",IF(ROW(A280)&lt;473,"000"&amp;ROW(A280)-463,IF(ROW(A280)&lt;563,"00"&amp;ROW(A280)-463,IF(ROW(A280)&lt;1001,"0"&amp;ROW(A280)-463,ROW(A280)-463))))))</f>
        <v>ENE-0279-OLD</v>
      </c>
      <c r="B280" s="1">
        <v>45684</v>
      </c>
      <c r="C280" s="5"/>
      <c r="D280" s="5"/>
      <c r="E280" t="s">
        <v>72</v>
      </c>
      <c r="F280" s="32"/>
      <c r="G280" s="32"/>
      <c r="H280" s="5">
        <v>1514</v>
      </c>
      <c r="I280" t="s">
        <v>141</v>
      </c>
      <c r="J280" t="s">
        <v>142</v>
      </c>
      <c r="K280" s="5"/>
      <c r="L280" s="10" t="s">
        <v>57</v>
      </c>
      <c r="M280" s="49">
        <v>0.5</v>
      </c>
      <c r="N280" s="34">
        <f>PLANPRODUCCION[[#This Row],[PIEZAS PLANEADAS]]*PLANPRODUCCION[[#This Row],[PRECIO MAQUILAS]]</f>
        <v>0</v>
      </c>
      <c r="O280" s="5">
        <v>1</v>
      </c>
      <c r="P280" s="2">
        <v>0.66666666666666663</v>
      </c>
      <c r="Q280" s="2">
        <v>0.875</v>
      </c>
      <c r="R280" s="24">
        <v>1604</v>
      </c>
      <c r="S280" s="35">
        <f>PLANPRODUCCION[[#This Row],[PRECIO MAQUILAS]]*PLANPRODUCCION[[#This Row],[PIEZAS REAL]]</f>
        <v>802</v>
      </c>
      <c r="T28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8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8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28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492</v>
      </c>
      <c r="X280" s="8"/>
      <c r="Y28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8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8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80" s="13" t="e">
        <f>IF(PLANPRODUCCION[[#This Row],[PIEZAS REAL]]&gt;0,PLANPRODUCCION[[#This Row],[PIEZAS REAL]]/PLANPRODUCCION[[#This Row],[PIEZAS ACTUALIZADO]],)</f>
        <v>#DIV/0!</v>
      </c>
      <c r="AC280" s="10" t="b">
        <f>PLANPRODUCCION[[#This Row],[INGRESO PLANEADO]]&lt;PLANPRODUCCION[[#This Row],[COSTO PLANEADO]]</f>
        <v>0</v>
      </c>
      <c r="AD280" s="46" t="s">
        <v>394</v>
      </c>
      <c r="AE280" s="10"/>
      <c r="AF280" s="10" t="b">
        <f>IF(COUNTIF(PLANPRODUCCION[[#This Row],[OBSERVACIONES]],"NO APLICA BONO*")&gt;0,TRUE,FALSE)</f>
        <v>0</v>
      </c>
    </row>
    <row r="281" spans="1:32" x14ac:dyDescent="0.25">
      <c r="A281" s="46" t="str">
        <f>UPPER(IF(PLANPRODUCCION[[#This Row],[FECHA]]&lt;=45701,_xlfn.CONCAT(TEXT(B281,"MMM"),"-",IF(ROW(A281)&lt;11,"000"&amp;ROW(A281)-1,IF(ROW(A281)&lt;101,"00"&amp;ROW(A281)-1,IF(ROW(A281)&lt;1001,"0"&amp;ROW(A281)-1,ROW(A281)-1))),"-OLD"),_xlfn.CONCAT(TEXT(B281,"MMM"),"-",IF(ROW(A281)&lt;473,"000"&amp;ROW(A281)-463,IF(ROW(A281)&lt;563,"00"&amp;ROW(A281)-463,IF(ROW(A281)&lt;1001,"0"&amp;ROW(A281)-463,ROW(A281)-463))))))</f>
        <v>ENE-0280-OLD</v>
      </c>
      <c r="B281" s="1">
        <v>45684</v>
      </c>
      <c r="C281" s="5"/>
      <c r="D281" s="5"/>
      <c r="E281" t="s">
        <v>72</v>
      </c>
      <c r="F281" s="32"/>
      <c r="G281" s="32"/>
      <c r="H281" s="5">
        <v>1514</v>
      </c>
      <c r="I281" t="s">
        <v>141</v>
      </c>
      <c r="J281" t="s">
        <v>144</v>
      </c>
      <c r="K281" s="5"/>
      <c r="L281" s="10" t="s">
        <v>57</v>
      </c>
      <c r="M281" s="49">
        <v>1</v>
      </c>
      <c r="N281" s="34">
        <f>PLANPRODUCCION[[#This Row],[PIEZAS PLANEADAS]]*PLANPRODUCCION[[#This Row],[PRECIO MAQUILAS]]</f>
        <v>0</v>
      </c>
      <c r="O281" s="5">
        <v>3</v>
      </c>
      <c r="P281" s="2">
        <v>0.66666666666666663</v>
      </c>
      <c r="Q281" s="2">
        <v>0.875</v>
      </c>
      <c r="R281" s="24">
        <v>942</v>
      </c>
      <c r="S281" s="35">
        <f>PLANPRODUCCION[[#This Row],[PRECIO MAQUILAS]]*PLANPRODUCCION[[#This Row],[PIEZAS REAL]]</f>
        <v>942</v>
      </c>
      <c r="T28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8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8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28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12</v>
      </c>
      <c r="X281" s="8"/>
      <c r="Y28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8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8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81" s="13" t="e">
        <f>IF(PLANPRODUCCION[[#This Row],[PIEZAS REAL]]&gt;0,PLANPRODUCCION[[#This Row],[PIEZAS REAL]]/PLANPRODUCCION[[#This Row],[PIEZAS ACTUALIZADO]],)</f>
        <v>#DIV/0!</v>
      </c>
      <c r="AC281" s="10" t="b">
        <f>PLANPRODUCCION[[#This Row],[INGRESO PLANEADO]]&lt;PLANPRODUCCION[[#This Row],[COSTO PLANEADO]]</f>
        <v>0</v>
      </c>
      <c r="AD281" s="46" t="s">
        <v>395</v>
      </c>
      <c r="AE281" s="10"/>
      <c r="AF281" s="10" t="b">
        <f>IF(COUNTIF(PLANPRODUCCION[[#This Row],[OBSERVACIONES]],"NO APLICA BONO*")&gt;0,TRUE,FALSE)</f>
        <v>0</v>
      </c>
    </row>
    <row r="282" spans="1:32" x14ac:dyDescent="0.25">
      <c r="A282" s="46" t="str">
        <f>UPPER(IF(PLANPRODUCCION[[#This Row],[FECHA]]&lt;=45701,_xlfn.CONCAT(TEXT(B282,"MMM"),"-",IF(ROW(A282)&lt;11,"000"&amp;ROW(A282)-1,IF(ROW(A282)&lt;101,"00"&amp;ROW(A282)-1,IF(ROW(A282)&lt;1001,"0"&amp;ROW(A282)-1,ROW(A282)-1))),"-OLD"),_xlfn.CONCAT(TEXT(B282,"MMM"),"-",IF(ROW(A282)&lt;473,"000"&amp;ROW(A282)-463,IF(ROW(A282)&lt;563,"00"&amp;ROW(A282)-463,IF(ROW(A282)&lt;1001,"0"&amp;ROW(A282)-463,ROW(A282)-463))))))</f>
        <v>ENE-0281-OLD</v>
      </c>
      <c r="B282" s="1">
        <v>45684</v>
      </c>
      <c r="C282" s="5"/>
      <c r="D282" s="5"/>
      <c r="E282" t="s">
        <v>72</v>
      </c>
      <c r="F282" s="32"/>
      <c r="G282" s="32"/>
      <c r="H282" s="5">
        <v>1514</v>
      </c>
      <c r="I282" t="s">
        <v>141</v>
      </c>
      <c r="J282" t="s">
        <v>144</v>
      </c>
      <c r="K282" s="5"/>
      <c r="L282" s="10" t="s">
        <v>57</v>
      </c>
      <c r="M282" s="49">
        <v>1</v>
      </c>
      <c r="N282" s="34">
        <f>PLANPRODUCCION[[#This Row],[PIEZAS PLANEADAS]]*PLANPRODUCCION[[#This Row],[PRECIO MAQUILAS]]</f>
        <v>0</v>
      </c>
      <c r="O282" s="5">
        <v>3</v>
      </c>
      <c r="P282" s="2">
        <v>0.66666666666666663</v>
      </c>
      <c r="Q282" s="2">
        <v>0.875</v>
      </c>
      <c r="R282" s="24">
        <v>623</v>
      </c>
      <c r="S282" s="35">
        <f>PLANPRODUCCION[[#This Row],[PRECIO MAQUILAS]]*PLANPRODUCCION[[#This Row],[PIEZAS REAL]]</f>
        <v>623</v>
      </c>
      <c r="T28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8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8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28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-307</v>
      </c>
      <c r="X282" s="8"/>
      <c r="Y28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8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8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82" s="13" t="e">
        <f>IF(PLANPRODUCCION[[#This Row],[PIEZAS REAL]]&gt;0,PLANPRODUCCION[[#This Row],[PIEZAS REAL]]/PLANPRODUCCION[[#This Row],[PIEZAS ACTUALIZADO]],)</f>
        <v>#DIV/0!</v>
      </c>
      <c r="AC282" s="10" t="b">
        <f>PLANPRODUCCION[[#This Row],[INGRESO PLANEADO]]&lt;PLANPRODUCCION[[#This Row],[COSTO PLANEADO]]</f>
        <v>0</v>
      </c>
      <c r="AD282" s="46" t="s">
        <v>396</v>
      </c>
      <c r="AE282" s="10"/>
      <c r="AF282" s="10" t="b">
        <f>IF(COUNTIF(PLANPRODUCCION[[#This Row],[OBSERVACIONES]],"NO APLICA BONO*")&gt;0,TRUE,FALSE)</f>
        <v>0</v>
      </c>
    </row>
    <row r="283" spans="1:32" x14ac:dyDescent="0.25">
      <c r="A283" s="46" t="str">
        <f>UPPER(IF(PLANPRODUCCION[[#This Row],[FECHA]]&lt;=45701,_xlfn.CONCAT(TEXT(B283,"MMM"),"-",IF(ROW(A283)&lt;11,"000"&amp;ROW(A283)-1,IF(ROW(A283)&lt;101,"00"&amp;ROW(A283)-1,IF(ROW(A283)&lt;1001,"0"&amp;ROW(A283)-1,ROW(A283)-1))),"-OLD"),_xlfn.CONCAT(TEXT(B283,"MMM"),"-",IF(ROW(A283)&lt;473,"000"&amp;ROW(A283)-463,IF(ROW(A283)&lt;563,"00"&amp;ROW(A283)-463,IF(ROW(A283)&lt;1001,"0"&amp;ROW(A283)-463,ROW(A283)-463))))))</f>
        <v>ENE-0282-OLD</v>
      </c>
      <c r="B283" s="1">
        <v>45684</v>
      </c>
      <c r="C283" s="5"/>
      <c r="D283" s="5"/>
      <c r="E283" t="s">
        <v>75</v>
      </c>
      <c r="F283" s="32"/>
      <c r="G283" s="32"/>
      <c r="H283" s="5">
        <v>1514</v>
      </c>
      <c r="I283" t="s">
        <v>141</v>
      </c>
      <c r="J283" t="s">
        <v>148</v>
      </c>
      <c r="K283" s="5"/>
      <c r="L283" s="10" t="s">
        <v>83</v>
      </c>
      <c r="M283" s="49">
        <v>30</v>
      </c>
      <c r="N283" s="34">
        <f>PLANPRODUCCION[[#This Row],[PIEZAS PLANEADAS]]*PLANPRODUCCION[[#This Row],[PRECIO MAQUILAS]]</f>
        <v>0</v>
      </c>
      <c r="O283" s="5">
        <v>5</v>
      </c>
      <c r="P283" s="2">
        <v>0.875</v>
      </c>
      <c r="Q283" s="2">
        <v>0.25</v>
      </c>
      <c r="R283" s="24">
        <v>175</v>
      </c>
      <c r="S283" s="35">
        <f>PLANPRODUCCION[[#This Row],[PRECIO MAQUILAS]]*PLANPRODUCCION[[#This Row],[PIEZAS REAL]]</f>
        <v>5250</v>
      </c>
      <c r="T28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8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8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3750</v>
      </c>
      <c r="W28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1500</v>
      </c>
      <c r="X283" s="8"/>
      <c r="Y28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8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8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83" s="13" t="e">
        <f>IF(PLANPRODUCCION[[#This Row],[PIEZAS REAL]]&gt;0,PLANPRODUCCION[[#This Row],[PIEZAS REAL]]/PLANPRODUCCION[[#This Row],[PIEZAS ACTUALIZADO]],)</f>
        <v>#DIV/0!</v>
      </c>
      <c r="AC283" s="10" t="b">
        <f>PLANPRODUCCION[[#This Row],[INGRESO PLANEADO]]&lt;PLANPRODUCCION[[#This Row],[COSTO PLANEADO]]</f>
        <v>0</v>
      </c>
      <c r="AD283" s="46" t="s">
        <v>397</v>
      </c>
      <c r="AE283" s="10"/>
      <c r="AF283" s="10" t="b">
        <f>IF(COUNTIF(PLANPRODUCCION[[#This Row],[OBSERVACIONES]],"NO APLICA BONO*")&gt;0,TRUE,FALSE)</f>
        <v>0</v>
      </c>
    </row>
    <row r="284" spans="1:32" x14ac:dyDescent="0.25">
      <c r="A284" s="46" t="str">
        <f>UPPER(IF(PLANPRODUCCION[[#This Row],[FECHA]]&lt;=45701,_xlfn.CONCAT(TEXT(B284,"MMM"),"-",IF(ROW(A284)&lt;11,"000"&amp;ROW(A284)-1,IF(ROW(A284)&lt;101,"00"&amp;ROW(A284)-1,IF(ROW(A284)&lt;1001,"0"&amp;ROW(A284)-1,ROW(A284)-1))),"-OLD"),_xlfn.CONCAT(TEXT(B284,"MMM"),"-",IF(ROW(A284)&lt;473,"000"&amp;ROW(A284)-463,IF(ROW(A284)&lt;563,"00"&amp;ROW(A284)-463,IF(ROW(A284)&lt;1001,"0"&amp;ROW(A284)-463,ROW(A284)-463))))))</f>
        <v>ENE-0283-OLD</v>
      </c>
      <c r="B284" s="1">
        <v>45684</v>
      </c>
      <c r="C284" s="5"/>
      <c r="D284" s="5"/>
      <c r="E284" t="s">
        <v>75</v>
      </c>
      <c r="F284" s="32"/>
      <c r="G284" s="32"/>
      <c r="H284" s="5">
        <v>1514</v>
      </c>
      <c r="I284" t="s">
        <v>141</v>
      </c>
      <c r="J284" t="s">
        <v>148</v>
      </c>
      <c r="K284" s="5"/>
      <c r="L284" s="10" t="s">
        <v>83</v>
      </c>
      <c r="M284" s="49">
        <v>30</v>
      </c>
      <c r="N284" s="34">
        <f>PLANPRODUCCION[[#This Row],[PIEZAS PLANEADAS]]*PLANPRODUCCION[[#This Row],[PRECIO MAQUILAS]]</f>
        <v>0</v>
      </c>
      <c r="O284" s="5">
        <v>3</v>
      </c>
      <c r="P284" s="2">
        <v>0.875</v>
      </c>
      <c r="Q284" s="2">
        <v>0.25</v>
      </c>
      <c r="R284" s="24">
        <v>818</v>
      </c>
      <c r="S284" s="35">
        <f>PLANPRODUCCION[[#This Row],[PRECIO MAQUILAS]]*PLANPRODUCCION[[#This Row],[PIEZAS REAL]]</f>
        <v>24540</v>
      </c>
      <c r="T28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8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8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2250</v>
      </c>
      <c r="W28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22290</v>
      </c>
      <c r="X284" s="8"/>
      <c r="Y28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8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8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84" s="13" t="e">
        <f>IF(PLANPRODUCCION[[#This Row],[PIEZAS REAL]]&gt;0,PLANPRODUCCION[[#This Row],[PIEZAS REAL]]/PLANPRODUCCION[[#This Row],[PIEZAS ACTUALIZADO]],)</f>
        <v>#DIV/0!</v>
      </c>
      <c r="AC284" s="10" t="b">
        <f>PLANPRODUCCION[[#This Row],[INGRESO PLANEADO]]&lt;PLANPRODUCCION[[#This Row],[COSTO PLANEADO]]</f>
        <v>0</v>
      </c>
      <c r="AD284" s="46" t="s">
        <v>398</v>
      </c>
      <c r="AE284" s="10"/>
      <c r="AF284" s="10" t="b">
        <f>IF(COUNTIF(PLANPRODUCCION[[#This Row],[OBSERVACIONES]],"NO APLICA BONO*")&gt;0,TRUE,FALSE)</f>
        <v>0</v>
      </c>
    </row>
    <row r="285" spans="1:32" x14ac:dyDescent="0.25">
      <c r="A285" s="46" t="str">
        <f>UPPER(IF(PLANPRODUCCION[[#This Row],[FECHA]]&lt;=45701,_xlfn.CONCAT(TEXT(B285,"MMM"),"-",IF(ROW(A285)&lt;11,"000"&amp;ROW(A285)-1,IF(ROW(A285)&lt;101,"00"&amp;ROW(A285)-1,IF(ROW(A285)&lt;1001,"0"&amp;ROW(A285)-1,ROW(A285)-1))),"-OLD"),_xlfn.CONCAT(TEXT(B285,"MMM"),"-",IF(ROW(A285)&lt;473,"000"&amp;ROW(A285)-463,IF(ROW(A285)&lt;563,"00"&amp;ROW(A285)-463,IF(ROW(A285)&lt;1001,"0"&amp;ROW(A285)-463,ROW(A285)-463))))))</f>
        <v>ENE-0284-OLD</v>
      </c>
      <c r="B285" s="1">
        <v>45685</v>
      </c>
      <c r="C285" s="5"/>
      <c r="D285" s="5"/>
      <c r="E285" t="s">
        <v>54</v>
      </c>
      <c r="F285" s="32"/>
      <c r="G285" s="32"/>
      <c r="H285" s="5">
        <v>1514</v>
      </c>
      <c r="I285" t="s">
        <v>141</v>
      </c>
      <c r="J285" t="s">
        <v>142</v>
      </c>
      <c r="K285" s="5"/>
      <c r="L285" s="10" t="s">
        <v>57</v>
      </c>
      <c r="M285" s="49">
        <v>0.5</v>
      </c>
      <c r="N285" s="34">
        <f>PLANPRODUCCION[[#This Row],[PIEZAS PLANEADAS]]*PLANPRODUCCION[[#This Row],[PRECIO MAQUILAS]]</f>
        <v>0</v>
      </c>
      <c r="O285" s="5">
        <v>1</v>
      </c>
      <c r="P285" s="2">
        <v>0.25</v>
      </c>
      <c r="Q285" s="2">
        <v>0.66666666666666663</v>
      </c>
      <c r="R285" s="24">
        <v>2570</v>
      </c>
      <c r="S285" s="35">
        <f>PLANPRODUCCION[[#This Row],[PRECIO MAQUILAS]]*PLANPRODUCCION[[#This Row],[PIEZAS REAL]]</f>
        <v>1285</v>
      </c>
      <c r="T28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8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8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28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665</v>
      </c>
      <c r="X285" s="8"/>
      <c r="Y28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8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8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85" s="13" t="e">
        <f>IF(PLANPRODUCCION[[#This Row],[PIEZAS REAL]]&gt;0,PLANPRODUCCION[[#This Row],[PIEZAS REAL]]/PLANPRODUCCION[[#This Row],[PIEZAS ACTUALIZADO]],)</f>
        <v>#DIV/0!</v>
      </c>
      <c r="AC285" s="10" t="b">
        <f>PLANPRODUCCION[[#This Row],[INGRESO PLANEADO]]&lt;PLANPRODUCCION[[#This Row],[COSTO PLANEADO]]</f>
        <v>0</v>
      </c>
      <c r="AD285" s="46" t="s">
        <v>399</v>
      </c>
      <c r="AE285" s="10"/>
      <c r="AF285" s="10" t="b">
        <f>IF(COUNTIF(PLANPRODUCCION[[#This Row],[OBSERVACIONES]],"NO APLICA BONO*")&gt;0,TRUE,FALSE)</f>
        <v>0</v>
      </c>
    </row>
    <row r="286" spans="1:32" x14ac:dyDescent="0.25">
      <c r="A286" s="46" t="str">
        <f>UPPER(IF(PLANPRODUCCION[[#This Row],[FECHA]]&lt;=45701,_xlfn.CONCAT(TEXT(B286,"MMM"),"-",IF(ROW(A286)&lt;11,"000"&amp;ROW(A286)-1,IF(ROW(A286)&lt;101,"00"&amp;ROW(A286)-1,IF(ROW(A286)&lt;1001,"0"&amp;ROW(A286)-1,ROW(A286)-1))),"-OLD"),_xlfn.CONCAT(TEXT(B286,"MMM"),"-",IF(ROW(A286)&lt;473,"000"&amp;ROW(A286)-463,IF(ROW(A286)&lt;563,"00"&amp;ROW(A286)-463,IF(ROW(A286)&lt;1001,"0"&amp;ROW(A286)-463,ROW(A286)-463))))))</f>
        <v>ENE-0285-OLD</v>
      </c>
      <c r="B286" s="1">
        <v>45685</v>
      </c>
      <c r="C286" s="5"/>
      <c r="D286" s="5"/>
      <c r="E286" t="s">
        <v>54</v>
      </c>
      <c r="F286" s="32"/>
      <c r="G286" s="32"/>
      <c r="H286" s="5">
        <v>1514</v>
      </c>
      <c r="I286" t="s">
        <v>141</v>
      </c>
      <c r="J286" t="s">
        <v>144</v>
      </c>
      <c r="K286" s="5"/>
      <c r="L286" s="10" t="s">
        <v>57</v>
      </c>
      <c r="M286" s="49">
        <v>1</v>
      </c>
      <c r="N286" s="34">
        <f>PLANPRODUCCION[[#This Row],[PIEZAS PLANEADAS]]*PLANPRODUCCION[[#This Row],[PRECIO MAQUILAS]]</f>
        <v>0</v>
      </c>
      <c r="O286" s="5">
        <v>2</v>
      </c>
      <c r="P286" s="2">
        <v>0.25</v>
      </c>
      <c r="Q286" s="2">
        <v>0.66666666666666663</v>
      </c>
      <c r="R286" s="24">
        <v>700</v>
      </c>
      <c r="S286" s="35">
        <f>PLANPRODUCCION[[#This Row],[PRECIO MAQUILAS]]*PLANPRODUCCION[[#This Row],[PIEZAS REAL]]</f>
        <v>700</v>
      </c>
      <c r="T28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8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8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28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-540</v>
      </c>
      <c r="X286" s="8"/>
      <c r="Y28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8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8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86" s="13" t="e">
        <f>IF(PLANPRODUCCION[[#This Row],[PIEZAS REAL]]&gt;0,PLANPRODUCCION[[#This Row],[PIEZAS REAL]]/PLANPRODUCCION[[#This Row],[PIEZAS ACTUALIZADO]],)</f>
        <v>#DIV/0!</v>
      </c>
      <c r="AC286" s="10" t="b">
        <f>PLANPRODUCCION[[#This Row],[INGRESO PLANEADO]]&lt;PLANPRODUCCION[[#This Row],[COSTO PLANEADO]]</f>
        <v>0</v>
      </c>
      <c r="AD286" s="46" t="s">
        <v>400</v>
      </c>
      <c r="AE286" s="10"/>
      <c r="AF286" s="10" t="b">
        <f>IF(COUNTIF(PLANPRODUCCION[[#This Row],[OBSERVACIONES]],"NO APLICA BONO*")&gt;0,TRUE,FALSE)</f>
        <v>0</v>
      </c>
    </row>
    <row r="287" spans="1:32" x14ac:dyDescent="0.25">
      <c r="A287" s="46" t="str">
        <f>UPPER(IF(PLANPRODUCCION[[#This Row],[FECHA]]&lt;=45701,_xlfn.CONCAT(TEXT(B287,"MMM"),"-",IF(ROW(A287)&lt;11,"000"&amp;ROW(A287)-1,IF(ROW(A287)&lt;101,"00"&amp;ROW(A287)-1,IF(ROW(A287)&lt;1001,"0"&amp;ROW(A287)-1,ROW(A287)-1))),"-OLD"),_xlfn.CONCAT(TEXT(B287,"MMM"),"-",IF(ROW(A287)&lt;473,"000"&amp;ROW(A287)-463,IF(ROW(A287)&lt;563,"00"&amp;ROW(A287)-463,IF(ROW(A287)&lt;1001,"0"&amp;ROW(A287)-463,ROW(A287)-463))))))</f>
        <v>ENE-0286-OLD</v>
      </c>
      <c r="B287" s="1">
        <v>45685</v>
      </c>
      <c r="C287" s="5"/>
      <c r="D287" s="5"/>
      <c r="E287" t="s">
        <v>54</v>
      </c>
      <c r="F287" s="32"/>
      <c r="G287" s="32"/>
      <c r="H287" s="5">
        <v>1514</v>
      </c>
      <c r="I287" t="s">
        <v>141</v>
      </c>
      <c r="J287" t="s">
        <v>144</v>
      </c>
      <c r="K287" s="5"/>
      <c r="L287" s="10" t="s">
        <v>57</v>
      </c>
      <c r="M287" s="49">
        <v>1</v>
      </c>
      <c r="N287" s="34">
        <f>PLANPRODUCCION[[#This Row],[PIEZAS PLANEADAS]]*PLANPRODUCCION[[#This Row],[PRECIO MAQUILAS]]</f>
        <v>0</v>
      </c>
      <c r="O287" s="5">
        <v>2</v>
      </c>
      <c r="P287" s="2">
        <v>0.25</v>
      </c>
      <c r="Q287" s="2">
        <v>0.66666666666666663</v>
      </c>
      <c r="R287" s="24">
        <v>1684</v>
      </c>
      <c r="S287" s="35">
        <f>PLANPRODUCCION[[#This Row],[PRECIO MAQUILAS]]*PLANPRODUCCION[[#This Row],[PIEZAS REAL]]</f>
        <v>1684</v>
      </c>
      <c r="T28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8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8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28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444</v>
      </c>
      <c r="X287" s="8"/>
      <c r="Y28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8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8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87" s="13" t="e">
        <f>IF(PLANPRODUCCION[[#This Row],[PIEZAS REAL]]&gt;0,PLANPRODUCCION[[#This Row],[PIEZAS REAL]]/PLANPRODUCCION[[#This Row],[PIEZAS ACTUALIZADO]],)</f>
        <v>#DIV/0!</v>
      </c>
      <c r="AC287" s="10" t="b">
        <f>PLANPRODUCCION[[#This Row],[INGRESO PLANEADO]]&lt;PLANPRODUCCION[[#This Row],[COSTO PLANEADO]]</f>
        <v>0</v>
      </c>
      <c r="AD287" s="46" t="s">
        <v>401</v>
      </c>
      <c r="AE287" s="10"/>
      <c r="AF287" s="10" t="b">
        <f>IF(COUNTIF(PLANPRODUCCION[[#This Row],[OBSERVACIONES]],"NO APLICA BONO*")&gt;0,TRUE,FALSE)</f>
        <v>0</v>
      </c>
    </row>
    <row r="288" spans="1:32" x14ac:dyDescent="0.25">
      <c r="A288" s="46" t="str">
        <f>UPPER(IF(PLANPRODUCCION[[#This Row],[FECHA]]&lt;=45701,_xlfn.CONCAT(TEXT(B288,"MMM"),"-",IF(ROW(A288)&lt;11,"000"&amp;ROW(A288)-1,IF(ROW(A288)&lt;101,"00"&amp;ROW(A288)-1,IF(ROW(A288)&lt;1001,"0"&amp;ROW(A288)-1,ROW(A288)-1))),"-OLD"),_xlfn.CONCAT(TEXT(B288,"MMM"),"-",IF(ROW(A288)&lt;473,"000"&amp;ROW(A288)-463,IF(ROW(A288)&lt;563,"00"&amp;ROW(A288)-463,IF(ROW(A288)&lt;1001,"0"&amp;ROW(A288)-463,ROW(A288)-463))))))</f>
        <v>ENE-0287-OLD</v>
      </c>
      <c r="B288" s="1">
        <v>45685</v>
      </c>
      <c r="C288" s="5"/>
      <c r="D288" s="5"/>
      <c r="E288" t="s">
        <v>54</v>
      </c>
      <c r="F288" s="32"/>
      <c r="G288" s="32"/>
      <c r="H288" s="5">
        <v>1514</v>
      </c>
      <c r="I288" t="s">
        <v>141</v>
      </c>
      <c r="J288" t="s">
        <v>148</v>
      </c>
      <c r="K288" s="5"/>
      <c r="L288" s="10" t="s">
        <v>83</v>
      </c>
      <c r="M288" s="49">
        <v>30</v>
      </c>
      <c r="N288" s="34">
        <f>PLANPRODUCCION[[#This Row],[PIEZAS PLANEADAS]]*PLANPRODUCCION[[#This Row],[PRECIO MAQUILAS]]</f>
        <v>0</v>
      </c>
      <c r="O288" s="5">
        <v>8</v>
      </c>
      <c r="P288" s="2">
        <v>0.25</v>
      </c>
      <c r="Q288" s="2">
        <v>0.45833333333333331</v>
      </c>
      <c r="R288" s="24">
        <v>175</v>
      </c>
      <c r="S288" s="35">
        <f>PLANPRODUCCION[[#This Row],[PRECIO MAQUILAS]]*PLANPRODUCCION[[#This Row],[PIEZAS REAL]]</f>
        <v>5250</v>
      </c>
      <c r="T28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8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8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28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2770</v>
      </c>
      <c r="X288" s="8"/>
      <c r="Y28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8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8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88" s="13" t="e">
        <f>IF(PLANPRODUCCION[[#This Row],[PIEZAS REAL]]&gt;0,PLANPRODUCCION[[#This Row],[PIEZAS REAL]]/PLANPRODUCCION[[#This Row],[PIEZAS ACTUALIZADO]],)</f>
        <v>#DIV/0!</v>
      </c>
      <c r="AC288" s="10" t="b">
        <f>PLANPRODUCCION[[#This Row],[INGRESO PLANEADO]]&lt;PLANPRODUCCION[[#This Row],[COSTO PLANEADO]]</f>
        <v>0</v>
      </c>
      <c r="AD288" s="46" t="s">
        <v>402</v>
      </c>
      <c r="AE288" s="10"/>
      <c r="AF288" s="10" t="b">
        <f>IF(COUNTIF(PLANPRODUCCION[[#This Row],[OBSERVACIONES]],"NO APLICA BONO*")&gt;0,TRUE,FALSE)</f>
        <v>0</v>
      </c>
    </row>
    <row r="289" spans="1:32" x14ac:dyDescent="0.25">
      <c r="A289" s="46" t="str">
        <f>UPPER(IF(PLANPRODUCCION[[#This Row],[FECHA]]&lt;=45701,_xlfn.CONCAT(TEXT(B289,"MMM"),"-",IF(ROW(A289)&lt;11,"000"&amp;ROW(A289)-1,IF(ROW(A289)&lt;101,"00"&amp;ROW(A289)-1,IF(ROW(A289)&lt;1001,"0"&amp;ROW(A289)-1,ROW(A289)-1))),"-OLD"),_xlfn.CONCAT(TEXT(B289,"MMM"),"-",IF(ROW(A289)&lt;473,"000"&amp;ROW(A289)-463,IF(ROW(A289)&lt;563,"00"&amp;ROW(A289)-463,IF(ROW(A289)&lt;1001,"0"&amp;ROW(A289)-463,ROW(A289)-463))))))</f>
        <v>ENE-0288-OLD</v>
      </c>
      <c r="B289" s="1">
        <v>45685</v>
      </c>
      <c r="C289" s="5"/>
      <c r="D289" s="5"/>
      <c r="E289" t="s">
        <v>54</v>
      </c>
      <c r="F289" s="32"/>
      <c r="G289" s="32"/>
      <c r="H289" s="5">
        <v>1552</v>
      </c>
      <c r="I289" t="s">
        <v>359</v>
      </c>
      <c r="J289" t="s">
        <v>403</v>
      </c>
      <c r="K289" s="5"/>
      <c r="L289" s="10" t="s">
        <v>57</v>
      </c>
      <c r="M289" s="49">
        <v>1.45</v>
      </c>
      <c r="N289" s="34">
        <f>PLANPRODUCCION[[#This Row],[PIEZAS PLANEADAS]]*PLANPRODUCCION[[#This Row],[PRECIO MAQUILAS]]</f>
        <v>0</v>
      </c>
      <c r="O289" s="5">
        <v>3</v>
      </c>
      <c r="P289" s="2">
        <v>0.25</v>
      </c>
      <c r="Q289" s="2">
        <v>0.66666666666666663</v>
      </c>
      <c r="R289" s="24">
        <v>2610</v>
      </c>
      <c r="S289" s="35">
        <f>PLANPRODUCCION[[#This Row],[PRECIO MAQUILAS]]*PLANPRODUCCION[[#This Row],[PIEZAS REAL]]</f>
        <v>3784.5</v>
      </c>
      <c r="T28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8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8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8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1924.5</v>
      </c>
      <c r="X289" s="8"/>
      <c r="Y28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8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8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89" s="13" t="e">
        <f>IF(PLANPRODUCCION[[#This Row],[PIEZAS REAL]]&gt;0,PLANPRODUCCION[[#This Row],[PIEZAS REAL]]/PLANPRODUCCION[[#This Row],[PIEZAS ACTUALIZADO]],)</f>
        <v>#DIV/0!</v>
      </c>
      <c r="AC289" s="10" t="b">
        <f>PLANPRODUCCION[[#This Row],[INGRESO PLANEADO]]&lt;PLANPRODUCCION[[#This Row],[COSTO PLANEADO]]</f>
        <v>0</v>
      </c>
      <c r="AD289" s="46" t="s">
        <v>404</v>
      </c>
      <c r="AE289" s="10"/>
      <c r="AF289" s="10" t="b">
        <f>IF(COUNTIF(PLANPRODUCCION[[#This Row],[OBSERVACIONES]],"NO APLICA BONO*")&gt;0,TRUE,FALSE)</f>
        <v>0</v>
      </c>
    </row>
    <row r="290" spans="1:32" x14ac:dyDescent="0.25">
      <c r="A290" s="46" t="str">
        <f>UPPER(IF(PLANPRODUCCION[[#This Row],[FECHA]]&lt;=45701,_xlfn.CONCAT(TEXT(B290,"MMM"),"-",IF(ROW(A290)&lt;11,"000"&amp;ROW(A290)-1,IF(ROW(A290)&lt;101,"00"&amp;ROW(A290)-1,IF(ROW(A290)&lt;1001,"0"&amp;ROW(A290)-1,ROW(A290)-1))),"-OLD"),_xlfn.CONCAT(TEXT(B290,"MMM"),"-",IF(ROW(A290)&lt;473,"000"&amp;ROW(A290)-463,IF(ROW(A290)&lt;563,"00"&amp;ROW(A290)-463,IF(ROW(A290)&lt;1001,"0"&amp;ROW(A290)-463,ROW(A290)-463))))))</f>
        <v>ENE-0289-OLD</v>
      </c>
      <c r="B290" s="1">
        <v>45685</v>
      </c>
      <c r="C290" s="5"/>
      <c r="D290" s="5"/>
      <c r="E290" t="s">
        <v>67</v>
      </c>
      <c r="F290" s="32"/>
      <c r="G290" s="32"/>
      <c r="H290" s="5">
        <v>1552</v>
      </c>
      <c r="I290" t="s">
        <v>359</v>
      </c>
      <c r="J290" t="s">
        <v>360</v>
      </c>
      <c r="K290" s="5"/>
      <c r="L290" s="10" t="s">
        <v>57</v>
      </c>
      <c r="M290" s="49">
        <v>1.45</v>
      </c>
      <c r="N290" s="34">
        <f>PLANPRODUCCION[[#This Row],[PIEZAS PLANEADAS]]*PLANPRODUCCION[[#This Row],[PRECIO MAQUILAS]]</f>
        <v>0</v>
      </c>
      <c r="O290" s="5">
        <v>3</v>
      </c>
      <c r="P290" s="2">
        <v>0.33333333333333331</v>
      </c>
      <c r="Q290" s="2">
        <v>0.45833333333333331</v>
      </c>
      <c r="R290" s="24">
        <v>450</v>
      </c>
      <c r="S290" s="35">
        <f>PLANPRODUCCION[[#This Row],[PRECIO MAQUILAS]]*PLANPRODUCCION[[#This Row],[PIEZAS REAL]]</f>
        <v>652.5</v>
      </c>
      <c r="T29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9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9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558</v>
      </c>
      <c r="W29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94.5</v>
      </c>
      <c r="X290" s="8"/>
      <c r="Y29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9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9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90" s="13" t="e">
        <f>IF(PLANPRODUCCION[[#This Row],[PIEZAS REAL]]&gt;0,PLANPRODUCCION[[#This Row],[PIEZAS REAL]]/PLANPRODUCCION[[#This Row],[PIEZAS ACTUALIZADO]],)</f>
        <v>#DIV/0!</v>
      </c>
      <c r="AC290" s="10" t="b">
        <f>PLANPRODUCCION[[#This Row],[INGRESO PLANEADO]]&lt;PLANPRODUCCION[[#This Row],[COSTO PLANEADO]]</f>
        <v>0</v>
      </c>
      <c r="AD290" s="46" t="s">
        <v>405</v>
      </c>
      <c r="AE290" s="10"/>
      <c r="AF290" s="10" t="b">
        <f>IF(COUNTIF(PLANPRODUCCION[[#This Row],[OBSERVACIONES]],"NO APLICA BONO*")&gt;0,TRUE,FALSE)</f>
        <v>0</v>
      </c>
    </row>
    <row r="291" spans="1:32" x14ac:dyDescent="0.25">
      <c r="A291" s="46" t="str">
        <f>UPPER(IF(PLANPRODUCCION[[#This Row],[FECHA]]&lt;=45701,_xlfn.CONCAT(TEXT(B291,"MMM"),"-",IF(ROW(A291)&lt;11,"000"&amp;ROW(A291)-1,IF(ROW(A291)&lt;101,"00"&amp;ROW(A291)-1,IF(ROW(A291)&lt;1001,"0"&amp;ROW(A291)-1,ROW(A291)-1))),"-OLD"),_xlfn.CONCAT(TEXT(B291,"MMM"),"-",IF(ROW(A291)&lt;473,"000"&amp;ROW(A291)-463,IF(ROW(A291)&lt;563,"00"&amp;ROW(A291)-463,IF(ROW(A291)&lt;1001,"0"&amp;ROW(A291)-463,ROW(A291)-463))))))</f>
        <v>ENE-0290-OLD</v>
      </c>
      <c r="B291" s="1">
        <v>45685</v>
      </c>
      <c r="C291" s="5"/>
      <c r="D291" s="5"/>
      <c r="E291" t="s">
        <v>67</v>
      </c>
      <c r="F291" s="32"/>
      <c r="G291" s="32"/>
      <c r="H291" s="5">
        <v>1552</v>
      </c>
      <c r="I291" t="s">
        <v>359</v>
      </c>
      <c r="J291" t="s">
        <v>360</v>
      </c>
      <c r="K291" s="5"/>
      <c r="L291" s="10" t="s">
        <v>57</v>
      </c>
      <c r="M291" s="49">
        <v>1.45</v>
      </c>
      <c r="N291" s="34">
        <f>PLANPRODUCCION[[#This Row],[PIEZAS PLANEADAS]]*PLANPRODUCCION[[#This Row],[PRECIO MAQUILAS]]</f>
        <v>0</v>
      </c>
      <c r="O291" s="5">
        <v>3</v>
      </c>
      <c r="P291" s="2">
        <v>0.33333333333333331</v>
      </c>
      <c r="Q291" s="2">
        <v>0.75</v>
      </c>
      <c r="R291" s="24">
        <v>1950</v>
      </c>
      <c r="S291" s="35">
        <f>PLANPRODUCCION[[#This Row],[PRECIO MAQUILAS]]*PLANPRODUCCION[[#This Row],[PIEZAS REAL]]</f>
        <v>2827.5</v>
      </c>
      <c r="T29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9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9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29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967.5</v>
      </c>
      <c r="X291" s="8"/>
      <c r="Y29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9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9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91" s="13" t="e">
        <f>IF(PLANPRODUCCION[[#This Row],[PIEZAS REAL]]&gt;0,PLANPRODUCCION[[#This Row],[PIEZAS REAL]]/PLANPRODUCCION[[#This Row],[PIEZAS ACTUALIZADO]],)</f>
        <v>#DIV/0!</v>
      </c>
      <c r="AC291" s="10" t="b">
        <f>PLANPRODUCCION[[#This Row],[INGRESO PLANEADO]]&lt;PLANPRODUCCION[[#This Row],[COSTO PLANEADO]]</f>
        <v>0</v>
      </c>
      <c r="AD291" s="46" t="s">
        <v>406</v>
      </c>
      <c r="AE291" s="10"/>
      <c r="AF291" s="10" t="b">
        <f>IF(COUNTIF(PLANPRODUCCION[[#This Row],[OBSERVACIONES]],"NO APLICA BONO*")&gt;0,TRUE,FALSE)</f>
        <v>0</v>
      </c>
    </row>
    <row r="292" spans="1:32" x14ac:dyDescent="0.25">
      <c r="A292" s="46" t="str">
        <f>UPPER(IF(PLANPRODUCCION[[#This Row],[FECHA]]&lt;=45701,_xlfn.CONCAT(TEXT(B292,"MMM"),"-",IF(ROW(A292)&lt;11,"000"&amp;ROW(A292)-1,IF(ROW(A292)&lt;101,"00"&amp;ROW(A292)-1,IF(ROW(A292)&lt;1001,"0"&amp;ROW(A292)-1,ROW(A292)-1))),"-OLD"),_xlfn.CONCAT(TEXT(B292,"MMM"),"-",IF(ROW(A292)&lt;473,"000"&amp;ROW(A292)-463,IF(ROW(A292)&lt;563,"00"&amp;ROW(A292)-463,IF(ROW(A292)&lt;1001,"0"&amp;ROW(A292)-463,ROW(A292)-463))))))</f>
        <v>ENE-0291-OLD</v>
      </c>
      <c r="B292" s="1">
        <v>45685</v>
      </c>
      <c r="C292" s="5"/>
      <c r="D292" s="5"/>
      <c r="E292" t="s">
        <v>67</v>
      </c>
      <c r="F292" s="32"/>
      <c r="G292" s="32"/>
      <c r="H292" s="5">
        <v>1542</v>
      </c>
      <c r="I292" t="s">
        <v>327</v>
      </c>
      <c r="J292" t="s">
        <v>328</v>
      </c>
      <c r="K292" s="5"/>
      <c r="L292" s="10" t="s">
        <v>83</v>
      </c>
      <c r="M292" s="49">
        <v>15.9</v>
      </c>
      <c r="N292" s="34">
        <f>PLANPRODUCCION[[#This Row],[PIEZAS PLANEADAS]]*PLANPRODUCCION[[#This Row],[PRECIO MAQUILAS]]</f>
        <v>0</v>
      </c>
      <c r="O292" s="5">
        <v>3</v>
      </c>
      <c r="P292" s="2">
        <v>0.4861111111111111</v>
      </c>
      <c r="Q292" s="2">
        <v>0.75</v>
      </c>
      <c r="R292" s="24">
        <v>36</v>
      </c>
      <c r="S292" s="35">
        <f>PLANPRODUCCION[[#This Row],[PRECIO MAQUILAS]]*PLANPRODUCCION[[#This Row],[PIEZAS REAL]]</f>
        <v>572.4</v>
      </c>
      <c r="T29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9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9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1178</v>
      </c>
      <c r="W29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-605.6</v>
      </c>
      <c r="X292" s="8"/>
      <c r="Y29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9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9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92" s="13" t="e">
        <f>IF(PLANPRODUCCION[[#This Row],[PIEZAS REAL]]&gt;0,PLANPRODUCCION[[#This Row],[PIEZAS REAL]]/PLANPRODUCCION[[#This Row],[PIEZAS ACTUALIZADO]],)</f>
        <v>#DIV/0!</v>
      </c>
      <c r="AC292" s="10" t="b">
        <f>PLANPRODUCCION[[#This Row],[INGRESO PLANEADO]]&lt;PLANPRODUCCION[[#This Row],[COSTO PLANEADO]]</f>
        <v>0</v>
      </c>
      <c r="AD292" s="46" t="s">
        <v>407</v>
      </c>
      <c r="AE292" s="10"/>
      <c r="AF292" s="10" t="b">
        <f>IF(COUNTIF(PLANPRODUCCION[[#This Row],[OBSERVACIONES]],"NO APLICA BONO*")&gt;0,TRUE,FALSE)</f>
        <v>0</v>
      </c>
    </row>
    <row r="293" spans="1:32" x14ac:dyDescent="0.25">
      <c r="A293" s="46" t="str">
        <f>UPPER(IF(PLANPRODUCCION[[#This Row],[FECHA]]&lt;=45701,_xlfn.CONCAT(TEXT(B293,"MMM"),"-",IF(ROW(A293)&lt;11,"000"&amp;ROW(A293)-1,IF(ROW(A293)&lt;101,"00"&amp;ROW(A293)-1,IF(ROW(A293)&lt;1001,"0"&amp;ROW(A293)-1,ROW(A293)-1))),"-OLD"),_xlfn.CONCAT(TEXT(B293,"MMM"),"-",IF(ROW(A293)&lt;473,"000"&amp;ROW(A293)-463,IF(ROW(A293)&lt;563,"00"&amp;ROW(A293)-463,IF(ROW(A293)&lt;1001,"0"&amp;ROW(A293)-463,ROW(A293)-463))))))</f>
        <v>ENE-0292-OLD</v>
      </c>
      <c r="B293" s="1">
        <v>45685</v>
      </c>
      <c r="C293" s="5"/>
      <c r="D293" s="5"/>
      <c r="E293" t="s">
        <v>110</v>
      </c>
      <c r="F293" s="32"/>
      <c r="G293" s="32"/>
      <c r="H293" s="5">
        <v>1552</v>
      </c>
      <c r="I293" t="s">
        <v>359</v>
      </c>
      <c r="J293" t="s">
        <v>360</v>
      </c>
      <c r="K293" s="5"/>
      <c r="L293" s="10" t="s">
        <v>57</v>
      </c>
      <c r="M293" s="49">
        <v>1.45</v>
      </c>
      <c r="N293" s="34">
        <f>PLANPRODUCCION[[#This Row],[PIEZAS PLANEADAS]]*PLANPRODUCCION[[#This Row],[PRECIO MAQUILAS]]</f>
        <v>0</v>
      </c>
      <c r="O293" s="5">
        <v>2</v>
      </c>
      <c r="P293" s="2">
        <v>0.54166666666666663</v>
      </c>
      <c r="Q293" s="2">
        <v>0.875</v>
      </c>
      <c r="R293" s="24">
        <v>1020</v>
      </c>
      <c r="S293" s="35">
        <f>PLANPRODUCCION[[#This Row],[PRECIO MAQUILAS]]*PLANPRODUCCION[[#This Row],[PIEZAS REAL]]</f>
        <v>1479</v>
      </c>
      <c r="T29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9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9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29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239</v>
      </c>
      <c r="X293" s="8"/>
      <c r="Y29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9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9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93" s="13" t="e">
        <f>IF(PLANPRODUCCION[[#This Row],[PIEZAS REAL]]&gt;0,PLANPRODUCCION[[#This Row],[PIEZAS REAL]]/PLANPRODUCCION[[#This Row],[PIEZAS ACTUALIZADO]],)</f>
        <v>#DIV/0!</v>
      </c>
      <c r="AC293" s="10" t="b">
        <f>PLANPRODUCCION[[#This Row],[INGRESO PLANEADO]]&lt;PLANPRODUCCION[[#This Row],[COSTO PLANEADO]]</f>
        <v>0</v>
      </c>
      <c r="AD293" s="46" t="s">
        <v>408</v>
      </c>
      <c r="AE293" s="10"/>
      <c r="AF293" s="10" t="b">
        <f>IF(COUNTIF(PLANPRODUCCION[[#This Row],[OBSERVACIONES]],"NO APLICA BONO*")&gt;0,TRUE,FALSE)</f>
        <v>0</v>
      </c>
    </row>
    <row r="294" spans="1:32" x14ac:dyDescent="0.25">
      <c r="A294" s="46" t="str">
        <f>UPPER(IF(PLANPRODUCCION[[#This Row],[FECHA]]&lt;=45701,_xlfn.CONCAT(TEXT(B294,"MMM"),"-",IF(ROW(A294)&lt;11,"000"&amp;ROW(A294)-1,IF(ROW(A294)&lt;101,"00"&amp;ROW(A294)-1,IF(ROW(A294)&lt;1001,"0"&amp;ROW(A294)-1,ROW(A294)-1))),"-OLD"),_xlfn.CONCAT(TEXT(B294,"MMM"),"-",IF(ROW(A294)&lt;473,"000"&amp;ROW(A294)-463,IF(ROW(A294)&lt;563,"00"&amp;ROW(A294)-463,IF(ROW(A294)&lt;1001,"0"&amp;ROW(A294)-463,ROW(A294)-463))))))</f>
        <v>ENE-0293-OLD</v>
      </c>
      <c r="B294" s="1">
        <v>45685</v>
      </c>
      <c r="C294" s="5"/>
      <c r="D294" s="5"/>
      <c r="E294" t="s">
        <v>72</v>
      </c>
      <c r="F294" s="32"/>
      <c r="G294" s="32"/>
      <c r="H294" s="5">
        <v>1514</v>
      </c>
      <c r="I294" t="s">
        <v>141</v>
      </c>
      <c r="J294" t="s">
        <v>142</v>
      </c>
      <c r="K294" s="5"/>
      <c r="L294" s="10" t="s">
        <v>57</v>
      </c>
      <c r="M294" s="49">
        <v>0.5</v>
      </c>
      <c r="N294" s="34">
        <f>PLANPRODUCCION[[#This Row],[PIEZAS PLANEADAS]]*PLANPRODUCCION[[#This Row],[PRECIO MAQUILAS]]</f>
        <v>0</v>
      </c>
      <c r="O294" s="5">
        <v>1</v>
      </c>
      <c r="P294" s="2">
        <v>0.66666666666666663</v>
      </c>
      <c r="Q294" s="2">
        <v>0.875</v>
      </c>
      <c r="R294" s="24">
        <v>1920</v>
      </c>
      <c r="S294" s="35">
        <f>PLANPRODUCCION[[#This Row],[PRECIO MAQUILAS]]*PLANPRODUCCION[[#This Row],[PIEZAS REAL]]</f>
        <v>960</v>
      </c>
      <c r="T29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9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9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29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650</v>
      </c>
      <c r="X294" s="8"/>
      <c r="Y29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9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9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94" s="13" t="e">
        <f>IF(PLANPRODUCCION[[#This Row],[PIEZAS REAL]]&gt;0,PLANPRODUCCION[[#This Row],[PIEZAS REAL]]/PLANPRODUCCION[[#This Row],[PIEZAS ACTUALIZADO]],)</f>
        <v>#DIV/0!</v>
      </c>
      <c r="AC294" s="10" t="b">
        <f>PLANPRODUCCION[[#This Row],[INGRESO PLANEADO]]&lt;PLANPRODUCCION[[#This Row],[COSTO PLANEADO]]</f>
        <v>0</v>
      </c>
      <c r="AD294" s="46" t="s">
        <v>409</v>
      </c>
      <c r="AE294" s="10"/>
      <c r="AF294" s="10" t="b">
        <f>IF(COUNTIF(PLANPRODUCCION[[#This Row],[OBSERVACIONES]],"NO APLICA BONO*")&gt;0,TRUE,FALSE)</f>
        <v>0</v>
      </c>
    </row>
    <row r="295" spans="1:32" x14ac:dyDescent="0.25">
      <c r="A295" s="46" t="str">
        <f>UPPER(IF(PLANPRODUCCION[[#This Row],[FECHA]]&lt;=45701,_xlfn.CONCAT(TEXT(B295,"MMM"),"-",IF(ROW(A295)&lt;11,"000"&amp;ROW(A295)-1,IF(ROW(A295)&lt;101,"00"&amp;ROW(A295)-1,IF(ROW(A295)&lt;1001,"0"&amp;ROW(A295)-1,ROW(A295)-1))),"-OLD"),_xlfn.CONCAT(TEXT(B295,"MMM"),"-",IF(ROW(A295)&lt;473,"000"&amp;ROW(A295)-463,IF(ROW(A295)&lt;563,"00"&amp;ROW(A295)-463,IF(ROW(A295)&lt;1001,"0"&amp;ROW(A295)-463,ROW(A295)-463))))))</f>
        <v>ENE-0294-OLD</v>
      </c>
      <c r="B295" s="1">
        <v>45685</v>
      </c>
      <c r="C295" s="5"/>
      <c r="D295" s="5"/>
      <c r="E295" t="s">
        <v>72</v>
      </c>
      <c r="F295" s="32"/>
      <c r="G295" s="32"/>
      <c r="H295" s="5">
        <v>1514</v>
      </c>
      <c r="I295" t="s">
        <v>141</v>
      </c>
      <c r="J295" t="s">
        <v>144</v>
      </c>
      <c r="K295" s="5"/>
      <c r="L295" s="10" t="s">
        <v>57</v>
      </c>
      <c r="M295" s="49">
        <v>1</v>
      </c>
      <c r="N295" s="34">
        <f>PLANPRODUCCION[[#This Row],[PIEZAS PLANEADAS]]*PLANPRODUCCION[[#This Row],[PRECIO MAQUILAS]]</f>
        <v>0</v>
      </c>
      <c r="O295" s="5">
        <v>3</v>
      </c>
      <c r="P295" s="2">
        <v>0.66666666666666663</v>
      </c>
      <c r="Q295" s="2">
        <v>0.875</v>
      </c>
      <c r="R295" s="24">
        <v>910</v>
      </c>
      <c r="S295" s="35">
        <f>PLANPRODUCCION[[#This Row],[PRECIO MAQUILAS]]*PLANPRODUCCION[[#This Row],[PIEZAS REAL]]</f>
        <v>910</v>
      </c>
      <c r="T29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9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9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29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-20</v>
      </c>
      <c r="X295" s="8"/>
      <c r="Y29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9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9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95" s="13" t="e">
        <f>IF(PLANPRODUCCION[[#This Row],[PIEZAS REAL]]&gt;0,PLANPRODUCCION[[#This Row],[PIEZAS REAL]]/PLANPRODUCCION[[#This Row],[PIEZAS ACTUALIZADO]],)</f>
        <v>#DIV/0!</v>
      </c>
      <c r="AC295" s="10" t="b">
        <f>PLANPRODUCCION[[#This Row],[INGRESO PLANEADO]]&lt;PLANPRODUCCION[[#This Row],[COSTO PLANEADO]]</f>
        <v>0</v>
      </c>
      <c r="AD295" s="46" t="s">
        <v>410</v>
      </c>
      <c r="AE295" s="10"/>
      <c r="AF295" s="10" t="b">
        <f>IF(COUNTIF(PLANPRODUCCION[[#This Row],[OBSERVACIONES]],"NO APLICA BONO*")&gt;0,TRUE,FALSE)</f>
        <v>0</v>
      </c>
    </row>
    <row r="296" spans="1:32" x14ac:dyDescent="0.25">
      <c r="A296" s="46" t="str">
        <f>UPPER(IF(PLANPRODUCCION[[#This Row],[FECHA]]&lt;=45701,_xlfn.CONCAT(TEXT(B296,"MMM"),"-",IF(ROW(A296)&lt;11,"000"&amp;ROW(A296)-1,IF(ROW(A296)&lt;101,"00"&amp;ROW(A296)-1,IF(ROW(A296)&lt;1001,"0"&amp;ROW(A296)-1,ROW(A296)-1))),"-OLD"),_xlfn.CONCAT(TEXT(B296,"MMM"),"-",IF(ROW(A296)&lt;473,"000"&amp;ROW(A296)-463,IF(ROW(A296)&lt;563,"00"&amp;ROW(A296)-463,IF(ROW(A296)&lt;1001,"0"&amp;ROW(A296)-463,ROW(A296)-463))))))</f>
        <v>ENE-0295-OLD</v>
      </c>
      <c r="B296" s="1">
        <v>45685</v>
      </c>
      <c r="C296" s="5"/>
      <c r="D296" s="5"/>
      <c r="E296" t="s">
        <v>72</v>
      </c>
      <c r="F296" s="32"/>
      <c r="G296" s="32"/>
      <c r="H296" s="5">
        <v>1514</v>
      </c>
      <c r="I296" t="s">
        <v>141</v>
      </c>
      <c r="J296" t="s">
        <v>144</v>
      </c>
      <c r="K296" s="5"/>
      <c r="L296" s="10" t="s">
        <v>57</v>
      </c>
      <c r="M296" s="49">
        <v>1</v>
      </c>
      <c r="N296" s="34">
        <f>PLANPRODUCCION[[#This Row],[PIEZAS PLANEADAS]]*PLANPRODUCCION[[#This Row],[PRECIO MAQUILAS]]</f>
        <v>0</v>
      </c>
      <c r="O296" s="5">
        <v>2</v>
      </c>
      <c r="P296" s="2">
        <v>0.66666666666666663</v>
      </c>
      <c r="Q296" s="2">
        <v>0.875</v>
      </c>
      <c r="R296" s="24">
        <v>858</v>
      </c>
      <c r="S296" s="35">
        <f>PLANPRODUCCION[[#This Row],[PRECIO MAQUILAS]]*PLANPRODUCCION[[#This Row],[PIEZAS REAL]]</f>
        <v>858</v>
      </c>
      <c r="T29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9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9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29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238</v>
      </c>
      <c r="X296" s="8"/>
      <c r="Y29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9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9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96" s="13" t="e">
        <f>IF(PLANPRODUCCION[[#This Row],[PIEZAS REAL]]&gt;0,PLANPRODUCCION[[#This Row],[PIEZAS REAL]]/PLANPRODUCCION[[#This Row],[PIEZAS ACTUALIZADO]],)</f>
        <v>#DIV/0!</v>
      </c>
      <c r="AC296" s="10" t="b">
        <f>PLANPRODUCCION[[#This Row],[INGRESO PLANEADO]]&lt;PLANPRODUCCION[[#This Row],[COSTO PLANEADO]]</f>
        <v>0</v>
      </c>
      <c r="AD296" s="46" t="s">
        <v>411</v>
      </c>
      <c r="AE296" s="10"/>
      <c r="AF296" s="10" t="b">
        <f>IF(COUNTIF(PLANPRODUCCION[[#This Row],[OBSERVACIONES]],"NO APLICA BONO*")&gt;0,TRUE,FALSE)</f>
        <v>0</v>
      </c>
    </row>
    <row r="297" spans="1:32" x14ac:dyDescent="0.25">
      <c r="A297" s="46" t="str">
        <f>UPPER(IF(PLANPRODUCCION[[#This Row],[FECHA]]&lt;=45701,_xlfn.CONCAT(TEXT(B297,"MMM"),"-",IF(ROW(A297)&lt;11,"000"&amp;ROW(A297)-1,IF(ROW(A297)&lt;101,"00"&amp;ROW(A297)-1,IF(ROW(A297)&lt;1001,"0"&amp;ROW(A297)-1,ROW(A297)-1))),"-OLD"),_xlfn.CONCAT(TEXT(B297,"MMM"),"-",IF(ROW(A297)&lt;473,"000"&amp;ROW(A297)-463,IF(ROW(A297)&lt;563,"00"&amp;ROW(A297)-463,IF(ROW(A297)&lt;1001,"0"&amp;ROW(A297)-463,ROW(A297)-463))))))</f>
        <v>ENE-0296-OLD</v>
      </c>
      <c r="B297" s="1">
        <v>45685</v>
      </c>
      <c r="C297" s="5"/>
      <c r="D297" s="5"/>
      <c r="E297" t="s">
        <v>75</v>
      </c>
      <c r="F297" s="32"/>
      <c r="G297" s="32"/>
      <c r="H297" s="5">
        <v>1514</v>
      </c>
      <c r="I297" t="s">
        <v>141</v>
      </c>
      <c r="J297" t="s">
        <v>148</v>
      </c>
      <c r="K297" s="5"/>
      <c r="L297" s="10" t="s">
        <v>83</v>
      </c>
      <c r="M297" s="49">
        <v>30</v>
      </c>
      <c r="N297" s="34">
        <f>PLANPRODUCCION[[#This Row],[PIEZAS PLANEADAS]]*PLANPRODUCCION[[#This Row],[PRECIO MAQUILAS]]</f>
        <v>0</v>
      </c>
      <c r="O297" s="5">
        <v>5</v>
      </c>
      <c r="P297" s="2">
        <v>0.875</v>
      </c>
      <c r="Q297" s="2">
        <v>0.25</v>
      </c>
      <c r="R297" s="24">
        <v>202</v>
      </c>
      <c r="S297" s="35">
        <f>PLANPRODUCCION[[#This Row],[PRECIO MAQUILAS]]*PLANPRODUCCION[[#This Row],[PIEZAS REAL]]</f>
        <v>6060</v>
      </c>
      <c r="T29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9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9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3750</v>
      </c>
      <c r="W29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2310</v>
      </c>
      <c r="X297" s="8"/>
      <c r="Y29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9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9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97" s="13" t="e">
        <f>IF(PLANPRODUCCION[[#This Row],[PIEZAS REAL]]&gt;0,PLANPRODUCCION[[#This Row],[PIEZAS REAL]]/PLANPRODUCCION[[#This Row],[PIEZAS ACTUALIZADO]],)</f>
        <v>#DIV/0!</v>
      </c>
      <c r="AC297" s="10" t="b">
        <f>PLANPRODUCCION[[#This Row],[INGRESO PLANEADO]]&lt;PLANPRODUCCION[[#This Row],[COSTO PLANEADO]]</f>
        <v>0</v>
      </c>
      <c r="AD297" s="46" t="s">
        <v>412</v>
      </c>
      <c r="AE297" s="10"/>
      <c r="AF297" s="10" t="b">
        <f>IF(COUNTIF(PLANPRODUCCION[[#This Row],[OBSERVACIONES]],"NO APLICA BONO*")&gt;0,TRUE,FALSE)</f>
        <v>0</v>
      </c>
    </row>
    <row r="298" spans="1:32" x14ac:dyDescent="0.25">
      <c r="A298" s="46" t="str">
        <f>UPPER(IF(PLANPRODUCCION[[#This Row],[FECHA]]&lt;=45701,_xlfn.CONCAT(TEXT(B298,"MMM"),"-",IF(ROW(A298)&lt;11,"000"&amp;ROW(A298)-1,IF(ROW(A298)&lt;101,"00"&amp;ROW(A298)-1,IF(ROW(A298)&lt;1001,"0"&amp;ROW(A298)-1,ROW(A298)-1))),"-OLD"),_xlfn.CONCAT(TEXT(B298,"MMM"),"-",IF(ROW(A298)&lt;473,"000"&amp;ROW(A298)-463,IF(ROW(A298)&lt;563,"00"&amp;ROW(A298)-463,IF(ROW(A298)&lt;1001,"0"&amp;ROW(A298)-463,ROW(A298)-463))))))</f>
        <v>ENE-0297-OLD</v>
      </c>
      <c r="B298" s="1">
        <v>45685</v>
      </c>
      <c r="C298" s="5"/>
      <c r="D298" s="5"/>
      <c r="E298" t="s">
        <v>75</v>
      </c>
      <c r="F298" s="32"/>
      <c r="G298" s="32"/>
      <c r="H298" s="5">
        <v>1514</v>
      </c>
      <c r="I298" t="s">
        <v>141</v>
      </c>
      <c r="J298" t="s">
        <v>142</v>
      </c>
      <c r="K298" s="5"/>
      <c r="L298" s="10" t="s">
        <v>57</v>
      </c>
      <c r="M298" s="49">
        <v>0.5</v>
      </c>
      <c r="N298" s="34">
        <f>PLANPRODUCCION[[#This Row],[PIEZAS PLANEADAS]]*PLANPRODUCCION[[#This Row],[PRECIO MAQUILAS]]</f>
        <v>0</v>
      </c>
      <c r="O298" s="5">
        <v>3</v>
      </c>
      <c r="P298" s="2">
        <v>0.875</v>
      </c>
      <c r="Q298" s="2">
        <v>0.25</v>
      </c>
      <c r="R298" s="24">
        <v>1013</v>
      </c>
      <c r="S298" s="35">
        <f>PLANPRODUCCION[[#This Row],[PRECIO MAQUILAS]]*PLANPRODUCCION[[#This Row],[PIEZAS REAL]]</f>
        <v>506.5</v>
      </c>
      <c r="T29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9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9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2250</v>
      </c>
      <c r="W29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-1743.5</v>
      </c>
      <c r="X298" s="8"/>
      <c r="Y29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9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9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98" s="13" t="e">
        <f>IF(PLANPRODUCCION[[#This Row],[PIEZAS REAL]]&gt;0,PLANPRODUCCION[[#This Row],[PIEZAS REAL]]/PLANPRODUCCION[[#This Row],[PIEZAS ACTUALIZADO]],)</f>
        <v>#DIV/0!</v>
      </c>
      <c r="AC298" s="10" t="b">
        <f>PLANPRODUCCION[[#This Row],[INGRESO PLANEADO]]&lt;PLANPRODUCCION[[#This Row],[COSTO PLANEADO]]</f>
        <v>0</v>
      </c>
      <c r="AD298" s="46" t="s">
        <v>413</v>
      </c>
      <c r="AE298" s="10"/>
      <c r="AF298" s="10" t="b">
        <f>IF(COUNTIF(PLANPRODUCCION[[#This Row],[OBSERVACIONES]],"NO APLICA BONO*")&gt;0,TRUE,FALSE)</f>
        <v>0</v>
      </c>
    </row>
    <row r="299" spans="1:32" x14ac:dyDescent="0.25">
      <c r="A299" s="46" t="str">
        <f>UPPER(IF(PLANPRODUCCION[[#This Row],[FECHA]]&lt;=45701,_xlfn.CONCAT(TEXT(B299,"MMM"),"-",IF(ROW(A299)&lt;11,"000"&amp;ROW(A299)-1,IF(ROW(A299)&lt;101,"00"&amp;ROW(A299)-1,IF(ROW(A299)&lt;1001,"0"&amp;ROW(A299)-1,ROW(A299)-1))),"-OLD"),_xlfn.CONCAT(TEXT(B299,"MMM"),"-",IF(ROW(A299)&lt;473,"000"&amp;ROW(A299)-463,IF(ROW(A299)&lt;563,"00"&amp;ROW(A299)-463,IF(ROW(A299)&lt;1001,"0"&amp;ROW(A299)-463,ROW(A299)-463))))))</f>
        <v>ENE-0298-OLD</v>
      </c>
      <c r="B299" s="1">
        <v>45686</v>
      </c>
      <c r="C299" s="5"/>
      <c r="D299" s="5"/>
      <c r="E299" t="s">
        <v>54</v>
      </c>
      <c r="F299" s="32"/>
      <c r="G299" s="32"/>
      <c r="H299" s="5">
        <v>1514</v>
      </c>
      <c r="I299" t="s">
        <v>141</v>
      </c>
      <c r="J299" t="s">
        <v>148</v>
      </c>
      <c r="K299" s="5"/>
      <c r="L299" s="10" t="s">
        <v>83</v>
      </c>
      <c r="M299" s="49">
        <v>30</v>
      </c>
      <c r="N299" s="34">
        <f>PLANPRODUCCION[[#This Row],[PIEZAS PLANEADAS]]*PLANPRODUCCION[[#This Row],[PRECIO MAQUILAS]]</f>
        <v>0</v>
      </c>
      <c r="O299" s="5">
        <v>8</v>
      </c>
      <c r="P299" s="2">
        <v>0.25</v>
      </c>
      <c r="Q299" s="2">
        <v>0.66666666666666663</v>
      </c>
      <c r="R299" s="24">
        <v>314</v>
      </c>
      <c r="S299" s="35">
        <f>PLANPRODUCCION[[#This Row],[PRECIO MAQUILAS]]*PLANPRODUCCION[[#This Row],[PIEZAS REAL]]</f>
        <v>9420</v>
      </c>
      <c r="T29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29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29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4960</v>
      </c>
      <c r="W29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4460</v>
      </c>
      <c r="X299" s="8"/>
      <c r="Y29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29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29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299" s="13" t="e">
        <f>IF(PLANPRODUCCION[[#This Row],[PIEZAS REAL]]&gt;0,PLANPRODUCCION[[#This Row],[PIEZAS REAL]]/PLANPRODUCCION[[#This Row],[PIEZAS ACTUALIZADO]],)</f>
        <v>#DIV/0!</v>
      </c>
      <c r="AC299" s="10" t="b">
        <f>PLANPRODUCCION[[#This Row],[INGRESO PLANEADO]]&lt;PLANPRODUCCION[[#This Row],[COSTO PLANEADO]]</f>
        <v>0</v>
      </c>
      <c r="AD299" s="46" t="s">
        <v>414</v>
      </c>
      <c r="AE299" s="10"/>
      <c r="AF299" s="10" t="b">
        <f>IF(COUNTIF(PLANPRODUCCION[[#This Row],[OBSERVACIONES]],"NO APLICA BONO*")&gt;0,TRUE,FALSE)</f>
        <v>0</v>
      </c>
    </row>
    <row r="300" spans="1:32" x14ac:dyDescent="0.25">
      <c r="A300" s="46" t="str">
        <f>UPPER(IF(PLANPRODUCCION[[#This Row],[FECHA]]&lt;=45701,_xlfn.CONCAT(TEXT(B300,"MMM"),"-",IF(ROW(A300)&lt;11,"000"&amp;ROW(A300)-1,IF(ROW(A300)&lt;101,"00"&amp;ROW(A300)-1,IF(ROW(A300)&lt;1001,"0"&amp;ROW(A300)-1,ROW(A300)-1))),"-OLD"),_xlfn.CONCAT(TEXT(B300,"MMM"),"-",IF(ROW(A300)&lt;473,"000"&amp;ROW(A300)-463,IF(ROW(A300)&lt;563,"00"&amp;ROW(A300)-463,IF(ROW(A300)&lt;1001,"0"&amp;ROW(A300)-463,ROW(A300)-463))))))</f>
        <v>ENE-0299-OLD</v>
      </c>
      <c r="B300" s="1">
        <v>45686</v>
      </c>
      <c r="C300" s="5"/>
      <c r="D300" s="5"/>
      <c r="E300" t="s">
        <v>54</v>
      </c>
      <c r="F300" s="32"/>
      <c r="G300" s="32"/>
      <c r="H300" s="5">
        <v>1514</v>
      </c>
      <c r="I300" t="s">
        <v>141</v>
      </c>
      <c r="J300" t="s">
        <v>142</v>
      </c>
      <c r="K300" s="5"/>
      <c r="L300" s="10" t="s">
        <v>57</v>
      </c>
      <c r="M300" s="49">
        <v>0.5</v>
      </c>
      <c r="N300" s="34">
        <f>PLANPRODUCCION[[#This Row],[PIEZAS PLANEADAS]]*PLANPRODUCCION[[#This Row],[PRECIO MAQUILAS]]</f>
        <v>0</v>
      </c>
      <c r="O300" s="5">
        <v>1</v>
      </c>
      <c r="P300" s="2">
        <v>0.25</v>
      </c>
      <c r="Q300" s="2">
        <v>0.66666666666666663</v>
      </c>
      <c r="R300" s="24">
        <v>3301</v>
      </c>
      <c r="S300" s="35">
        <f>PLANPRODUCCION[[#This Row],[PRECIO MAQUILAS]]*PLANPRODUCCION[[#This Row],[PIEZAS REAL]]</f>
        <v>1650.5</v>
      </c>
      <c r="T30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0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0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30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1030.5</v>
      </c>
      <c r="X300" s="8"/>
      <c r="Y30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0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0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00" s="13" t="e">
        <f>IF(PLANPRODUCCION[[#This Row],[PIEZAS REAL]]&gt;0,PLANPRODUCCION[[#This Row],[PIEZAS REAL]]/PLANPRODUCCION[[#This Row],[PIEZAS ACTUALIZADO]],)</f>
        <v>#DIV/0!</v>
      </c>
      <c r="AC300" s="10" t="b">
        <f>PLANPRODUCCION[[#This Row],[INGRESO PLANEADO]]&lt;PLANPRODUCCION[[#This Row],[COSTO PLANEADO]]</f>
        <v>0</v>
      </c>
      <c r="AD300" s="46" t="s">
        <v>415</v>
      </c>
      <c r="AE300" s="10"/>
      <c r="AF300" s="10" t="b">
        <f>IF(COUNTIF(PLANPRODUCCION[[#This Row],[OBSERVACIONES]],"NO APLICA BONO*")&gt;0,TRUE,FALSE)</f>
        <v>0</v>
      </c>
    </row>
    <row r="301" spans="1:32" x14ac:dyDescent="0.25">
      <c r="A301" s="46" t="str">
        <f>UPPER(IF(PLANPRODUCCION[[#This Row],[FECHA]]&lt;=45701,_xlfn.CONCAT(TEXT(B301,"MMM"),"-",IF(ROW(A301)&lt;11,"000"&amp;ROW(A301)-1,IF(ROW(A301)&lt;101,"00"&amp;ROW(A301)-1,IF(ROW(A301)&lt;1001,"0"&amp;ROW(A301)-1,ROW(A301)-1))),"-OLD"),_xlfn.CONCAT(TEXT(B301,"MMM"),"-",IF(ROW(A301)&lt;473,"000"&amp;ROW(A301)-463,IF(ROW(A301)&lt;563,"00"&amp;ROW(A301)-463,IF(ROW(A301)&lt;1001,"0"&amp;ROW(A301)-463,ROW(A301)-463))))))</f>
        <v>ENE-0300-OLD</v>
      </c>
      <c r="B301" s="1">
        <v>45686</v>
      </c>
      <c r="C301" s="5"/>
      <c r="D301" s="5"/>
      <c r="E301" t="s">
        <v>54</v>
      </c>
      <c r="F301" s="32"/>
      <c r="G301" s="32"/>
      <c r="H301" s="5">
        <v>1514</v>
      </c>
      <c r="I301" t="s">
        <v>141</v>
      </c>
      <c r="J301" t="s">
        <v>144</v>
      </c>
      <c r="K301" s="5"/>
      <c r="L301" s="10" t="s">
        <v>57</v>
      </c>
      <c r="M301" s="49">
        <v>1</v>
      </c>
      <c r="N301" s="34">
        <f>PLANPRODUCCION[[#This Row],[PIEZAS PLANEADAS]]*PLANPRODUCCION[[#This Row],[PRECIO MAQUILAS]]</f>
        <v>0</v>
      </c>
      <c r="O301" s="5">
        <v>2</v>
      </c>
      <c r="P301" s="2">
        <v>0.25</v>
      </c>
      <c r="Q301" s="2">
        <v>0.66666666666666663</v>
      </c>
      <c r="R301" s="24">
        <v>1008</v>
      </c>
      <c r="S301" s="35">
        <f>PLANPRODUCCION[[#This Row],[PRECIO MAQUILAS]]*PLANPRODUCCION[[#This Row],[PIEZAS REAL]]</f>
        <v>1008</v>
      </c>
      <c r="T30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0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0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30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-232</v>
      </c>
      <c r="X301" s="8"/>
      <c r="Y30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0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0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01" s="13" t="e">
        <f>IF(PLANPRODUCCION[[#This Row],[PIEZAS REAL]]&gt;0,PLANPRODUCCION[[#This Row],[PIEZAS REAL]]/PLANPRODUCCION[[#This Row],[PIEZAS ACTUALIZADO]],)</f>
        <v>#DIV/0!</v>
      </c>
      <c r="AC301" s="10" t="b">
        <f>PLANPRODUCCION[[#This Row],[INGRESO PLANEADO]]&lt;PLANPRODUCCION[[#This Row],[COSTO PLANEADO]]</f>
        <v>0</v>
      </c>
      <c r="AD301" s="46" t="s">
        <v>416</v>
      </c>
      <c r="AE301" s="10"/>
      <c r="AF301" s="10" t="b">
        <f>IF(COUNTIF(PLANPRODUCCION[[#This Row],[OBSERVACIONES]],"NO APLICA BONO*")&gt;0,TRUE,FALSE)</f>
        <v>0</v>
      </c>
    </row>
    <row r="302" spans="1:32" x14ac:dyDescent="0.25">
      <c r="A302" s="46" t="str">
        <f>UPPER(IF(PLANPRODUCCION[[#This Row],[FECHA]]&lt;=45701,_xlfn.CONCAT(TEXT(B302,"MMM"),"-",IF(ROW(A302)&lt;11,"000"&amp;ROW(A302)-1,IF(ROW(A302)&lt;101,"00"&amp;ROW(A302)-1,IF(ROW(A302)&lt;1001,"0"&amp;ROW(A302)-1,ROW(A302)-1))),"-OLD"),_xlfn.CONCAT(TEXT(B302,"MMM"),"-",IF(ROW(A302)&lt;473,"000"&amp;ROW(A302)-463,IF(ROW(A302)&lt;563,"00"&amp;ROW(A302)-463,IF(ROW(A302)&lt;1001,"0"&amp;ROW(A302)-463,ROW(A302)-463))))))</f>
        <v>ENE-0301-OLD</v>
      </c>
      <c r="B302" s="1">
        <v>45686</v>
      </c>
      <c r="C302" s="5"/>
      <c r="D302" s="5"/>
      <c r="E302" t="s">
        <v>54</v>
      </c>
      <c r="F302" s="32"/>
      <c r="G302" s="32"/>
      <c r="H302" s="5">
        <v>1514</v>
      </c>
      <c r="I302" t="s">
        <v>141</v>
      </c>
      <c r="J302" t="s">
        <v>144</v>
      </c>
      <c r="K302" s="5"/>
      <c r="L302" s="10" t="s">
        <v>57</v>
      </c>
      <c r="M302" s="49">
        <v>1</v>
      </c>
      <c r="N302" s="34">
        <f>PLANPRODUCCION[[#This Row],[PIEZAS PLANEADAS]]*PLANPRODUCCION[[#This Row],[PRECIO MAQUILAS]]</f>
        <v>0</v>
      </c>
      <c r="O302" s="5">
        <v>2</v>
      </c>
      <c r="P302" s="2">
        <v>0.25</v>
      </c>
      <c r="Q302" s="2">
        <v>0.66666666666666663</v>
      </c>
      <c r="R302" s="24">
        <v>1683</v>
      </c>
      <c r="S302" s="35">
        <f>PLANPRODUCCION[[#This Row],[PRECIO MAQUILAS]]*PLANPRODUCCION[[#This Row],[PIEZAS REAL]]</f>
        <v>1683</v>
      </c>
      <c r="T30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0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0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30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443</v>
      </c>
      <c r="X302" s="8"/>
      <c r="Y30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0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0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02" s="13" t="e">
        <f>IF(PLANPRODUCCION[[#This Row],[PIEZAS REAL]]&gt;0,PLANPRODUCCION[[#This Row],[PIEZAS REAL]]/PLANPRODUCCION[[#This Row],[PIEZAS ACTUALIZADO]],)</f>
        <v>#DIV/0!</v>
      </c>
      <c r="AC302" s="10" t="b">
        <f>PLANPRODUCCION[[#This Row],[INGRESO PLANEADO]]&lt;PLANPRODUCCION[[#This Row],[COSTO PLANEADO]]</f>
        <v>0</v>
      </c>
      <c r="AD302" s="46" t="s">
        <v>417</v>
      </c>
      <c r="AE302" s="10"/>
      <c r="AF302" s="10" t="b">
        <f>IF(COUNTIF(PLANPRODUCCION[[#This Row],[OBSERVACIONES]],"NO APLICA BONO*")&gt;0,TRUE,FALSE)</f>
        <v>0</v>
      </c>
    </row>
    <row r="303" spans="1:32" x14ac:dyDescent="0.25">
      <c r="A303" s="46" t="str">
        <f>UPPER(IF(PLANPRODUCCION[[#This Row],[FECHA]]&lt;=45701,_xlfn.CONCAT(TEXT(B303,"MMM"),"-",IF(ROW(A303)&lt;11,"000"&amp;ROW(A303)-1,IF(ROW(A303)&lt;101,"00"&amp;ROW(A303)-1,IF(ROW(A303)&lt;1001,"0"&amp;ROW(A303)-1,ROW(A303)-1))),"-OLD"),_xlfn.CONCAT(TEXT(B303,"MMM"),"-",IF(ROW(A303)&lt;473,"000"&amp;ROW(A303)-463,IF(ROW(A303)&lt;563,"00"&amp;ROW(A303)-463,IF(ROW(A303)&lt;1001,"0"&amp;ROW(A303)-463,ROW(A303)-463))))))</f>
        <v>ENE-0302-OLD</v>
      </c>
      <c r="B303" s="1">
        <v>45686</v>
      </c>
      <c r="C303" s="5"/>
      <c r="D303" s="5"/>
      <c r="E303" t="s">
        <v>54</v>
      </c>
      <c r="F303" s="32"/>
      <c r="G303" s="32"/>
      <c r="H303" s="5">
        <v>1552</v>
      </c>
      <c r="I303" t="s">
        <v>359</v>
      </c>
      <c r="J303" t="s">
        <v>360</v>
      </c>
      <c r="K303" s="5"/>
      <c r="L303" s="10" t="s">
        <v>57</v>
      </c>
      <c r="M303" s="49">
        <v>1.45</v>
      </c>
      <c r="N303" s="34">
        <f>PLANPRODUCCION[[#This Row],[PIEZAS PLANEADAS]]*PLANPRODUCCION[[#This Row],[PRECIO MAQUILAS]]</f>
        <v>0</v>
      </c>
      <c r="O303" s="5">
        <v>3</v>
      </c>
      <c r="P303" s="2">
        <v>0.25</v>
      </c>
      <c r="Q303" s="2">
        <v>0.375</v>
      </c>
      <c r="R303" s="24">
        <v>1710</v>
      </c>
      <c r="S303" s="35">
        <f>PLANPRODUCCION[[#This Row],[PRECIO MAQUILAS]]*PLANPRODUCCION[[#This Row],[PIEZAS REAL]]</f>
        <v>2479.5</v>
      </c>
      <c r="T30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0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0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558</v>
      </c>
      <c r="W30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1921.5</v>
      </c>
      <c r="X303" s="8"/>
      <c r="Y30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0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0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03" s="13" t="e">
        <f>IF(PLANPRODUCCION[[#This Row],[PIEZAS REAL]]&gt;0,PLANPRODUCCION[[#This Row],[PIEZAS REAL]]/PLANPRODUCCION[[#This Row],[PIEZAS ACTUALIZADO]],)</f>
        <v>#DIV/0!</v>
      </c>
      <c r="AC303" s="10" t="b">
        <f>PLANPRODUCCION[[#This Row],[INGRESO PLANEADO]]&lt;PLANPRODUCCION[[#This Row],[COSTO PLANEADO]]</f>
        <v>0</v>
      </c>
      <c r="AD303" s="46" t="s">
        <v>418</v>
      </c>
      <c r="AE303" s="10"/>
      <c r="AF303" s="10" t="b">
        <f>IF(COUNTIF(PLANPRODUCCION[[#This Row],[OBSERVACIONES]],"NO APLICA BONO*")&gt;0,TRUE,FALSE)</f>
        <v>0</v>
      </c>
    </row>
    <row r="304" spans="1:32" x14ac:dyDescent="0.25">
      <c r="A304" s="46" t="str">
        <f>UPPER(IF(PLANPRODUCCION[[#This Row],[FECHA]]&lt;=45701,_xlfn.CONCAT(TEXT(B304,"MMM"),"-",IF(ROW(A304)&lt;11,"000"&amp;ROW(A304)-1,IF(ROW(A304)&lt;101,"00"&amp;ROW(A304)-1,IF(ROW(A304)&lt;1001,"0"&amp;ROW(A304)-1,ROW(A304)-1))),"-OLD"),_xlfn.CONCAT(TEXT(B304,"MMM"),"-",IF(ROW(A304)&lt;473,"000"&amp;ROW(A304)-463,IF(ROW(A304)&lt;563,"00"&amp;ROW(A304)-463,IF(ROW(A304)&lt;1001,"0"&amp;ROW(A304)-463,ROW(A304)-463))))))</f>
        <v>ENE-0303-OLD</v>
      </c>
      <c r="B304" s="1">
        <v>45686</v>
      </c>
      <c r="C304" s="5"/>
      <c r="D304" s="5"/>
      <c r="E304" t="s">
        <v>54</v>
      </c>
      <c r="F304" s="32"/>
      <c r="G304" s="32"/>
      <c r="H304" s="5">
        <v>1514</v>
      </c>
      <c r="I304" t="s">
        <v>141</v>
      </c>
      <c r="J304" t="s">
        <v>144</v>
      </c>
      <c r="K304" s="5"/>
      <c r="L304" s="10" t="s">
        <v>57</v>
      </c>
      <c r="M304" s="49">
        <v>1</v>
      </c>
      <c r="N304" s="34">
        <f>PLANPRODUCCION[[#This Row],[PIEZAS PLANEADAS]]*PLANPRODUCCION[[#This Row],[PRECIO MAQUILAS]]</f>
        <v>0</v>
      </c>
      <c r="O304" s="5">
        <v>3</v>
      </c>
      <c r="P304" s="2">
        <v>0.54166666666666663</v>
      </c>
      <c r="Q304" s="2">
        <v>0.66666666666666663</v>
      </c>
      <c r="R304" s="24">
        <v>720</v>
      </c>
      <c r="S304" s="35">
        <f>PLANPRODUCCION[[#This Row],[PRECIO MAQUILAS]]*PLANPRODUCCION[[#This Row],[PIEZAS REAL]]</f>
        <v>720</v>
      </c>
      <c r="T30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0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0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558</v>
      </c>
      <c r="W30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162</v>
      </c>
      <c r="X304" s="8"/>
      <c r="Y30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0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0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04" s="13" t="e">
        <f>IF(PLANPRODUCCION[[#This Row],[PIEZAS REAL]]&gt;0,PLANPRODUCCION[[#This Row],[PIEZAS REAL]]/PLANPRODUCCION[[#This Row],[PIEZAS ACTUALIZADO]],)</f>
        <v>#DIV/0!</v>
      </c>
      <c r="AC304" s="10" t="b">
        <f>PLANPRODUCCION[[#This Row],[INGRESO PLANEADO]]&lt;PLANPRODUCCION[[#This Row],[COSTO PLANEADO]]</f>
        <v>0</v>
      </c>
      <c r="AD304" s="46" t="s">
        <v>419</v>
      </c>
      <c r="AE304" s="10"/>
      <c r="AF304" s="10" t="b">
        <f>IF(COUNTIF(PLANPRODUCCION[[#This Row],[OBSERVACIONES]],"NO APLICA BONO*")&gt;0,TRUE,FALSE)</f>
        <v>0</v>
      </c>
    </row>
    <row r="305" spans="1:32" x14ac:dyDescent="0.25">
      <c r="A305" s="46" t="str">
        <f>UPPER(IF(PLANPRODUCCION[[#This Row],[FECHA]]&lt;=45701,_xlfn.CONCAT(TEXT(B305,"MMM"),"-",IF(ROW(A305)&lt;11,"000"&amp;ROW(A305)-1,IF(ROW(A305)&lt;101,"00"&amp;ROW(A305)-1,IF(ROW(A305)&lt;1001,"0"&amp;ROW(A305)-1,ROW(A305)-1))),"-OLD"),_xlfn.CONCAT(TEXT(B305,"MMM"),"-",IF(ROW(A305)&lt;473,"000"&amp;ROW(A305)-463,IF(ROW(A305)&lt;563,"00"&amp;ROW(A305)-463,IF(ROW(A305)&lt;1001,"0"&amp;ROW(A305)-463,ROW(A305)-463))))))</f>
        <v>ENE-0304-OLD</v>
      </c>
      <c r="B305" s="1">
        <v>45686</v>
      </c>
      <c r="C305" s="5"/>
      <c r="D305" s="5"/>
      <c r="E305" t="s">
        <v>67</v>
      </c>
      <c r="F305" s="32"/>
      <c r="G305" s="32"/>
      <c r="H305" s="5">
        <v>1559</v>
      </c>
      <c r="I305" t="s">
        <v>420</v>
      </c>
      <c r="J305" t="s">
        <v>421</v>
      </c>
      <c r="K305" s="5"/>
      <c r="L305" s="10" t="s">
        <v>83</v>
      </c>
      <c r="M305" s="49">
        <v>35.4</v>
      </c>
      <c r="N305" s="34">
        <f>PLANPRODUCCION[[#This Row],[PIEZAS PLANEADAS]]*PLANPRODUCCION[[#This Row],[PRECIO MAQUILAS]]</f>
        <v>0</v>
      </c>
      <c r="O305" s="5">
        <v>3</v>
      </c>
      <c r="P305" s="2">
        <v>0.33333333333333331</v>
      </c>
      <c r="Q305" s="2">
        <v>0.75</v>
      </c>
      <c r="R305" s="24">
        <v>79</v>
      </c>
      <c r="S305" s="35">
        <f>PLANPRODUCCION[[#This Row],[PRECIO MAQUILAS]]*PLANPRODUCCION[[#This Row],[PIEZAS REAL]]</f>
        <v>2796.6</v>
      </c>
      <c r="T30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0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0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30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936.59999999999991</v>
      </c>
      <c r="X305" s="8"/>
      <c r="Y30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0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0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05" s="13" t="e">
        <f>IF(PLANPRODUCCION[[#This Row],[PIEZAS REAL]]&gt;0,PLANPRODUCCION[[#This Row],[PIEZAS REAL]]/PLANPRODUCCION[[#This Row],[PIEZAS ACTUALIZADO]],)</f>
        <v>#DIV/0!</v>
      </c>
      <c r="AC305" s="10" t="b">
        <f>PLANPRODUCCION[[#This Row],[INGRESO PLANEADO]]&lt;PLANPRODUCCION[[#This Row],[COSTO PLANEADO]]</f>
        <v>0</v>
      </c>
      <c r="AD305" s="46" t="s">
        <v>422</v>
      </c>
      <c r="AE305" s="10"/>
      <c r="AF305" s="10" t="b">
        <f>IF(COUNTIF(PLANPRODUCCION[[#This Row],[OBSERVACIONES]],"NO APLICA BONO*")&gt;0,TRUE,FALSE)</f>
        <v>0</v>
      </c>
    </row>
    <row r="306" spans="1:32" x14ac:dyDescent="0.25">
      <c r="A306" s="46" t="str">
        <f>UPPER(IF(PLANPRODUCCION[[#This Row],[FECHA]]&lt;=45701,_xlfn.CONCAT(TEXT(B306,"MMM"),"-",IF(ROW(A306)&lt;11,"000"&amp;ROW(A306)-1,IF(ROW(A306)&lt;101,"00"&amp;ROW(A306)-1,IF(ROW(A306)&lt;1001,"0"&amp;ROW(A306)-1,ROW(A306)-1))),"-OLD"),_xlfn.CONCAT(TEXT(B306,"MMM"),"-",IF(ROW(A306)&lt;473,"000"&amp;ROW(A306)-463,IF(ROW(A306)&lt;563,"00"&amp;ROW(A306)-463,IF(ROW(A306)&lt;1001,"0"&amp;ROW(A306)-463,ROW(A306)-463))))))</f>
        <v>ENE-0305-OLD</v>
      </c>
      <c r="B306" s="1">
        <v>45686</v>
      </c>
      <c r="C306" s="5"/>
      <c r="D306" s="5"/>
      <c r="E306" t="s">
        <v>67</v>
      </c>
      <c r="F306" s="32"/>
      <c r="G306" s="32"/>
      <c r="H306" s="5">
        <v>1559</v>
      </c>
      <c r="I306" t="s">
        <v>420</v>
      </c>
      <c r="J306" t="s">
        <v>421</v>
      </c>
      <c r="K306" s="5"/>
      <c r="L306" s="10" t="s">
        <v>83</v>
      </c>
      <c r="M306" s="49">
        <v>35.4</v>
      </c>
      <c r="N306" s="34">
        <f>PLANPRODUCCION[[#This Row],[PIEZAS PLANEADAS]]*PLANPRODUCCION[[#This Row],[PRECIO MAQUILAS]]</f>
        <v>0</v>
      </c>
      <c r="O306" s="5">
        <v>3</v>
      </c>
      <c r="P306" s="2">
        <v>0.33333333333333331</v>
      </c>
      <c r="Q306" s="2">
        <v>0.75</v>
      </c>
      <c r="R306" s="24">
        <v>49</v>
      </c>
      <c r="S306" s="35">
        <f>PLANPRODUCCION[[#This Row],[PRECIO MAQUILAS]]*PLANPRODUCCION[[#This Row],[PIEZAS REAL]]</f>
        <v>1734.6</v>
      </c>
      <c r="T30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0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0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30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-125.40000000000009</v>
      </c>
      <c r="X306" s="8"/>
      <c r="Y30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0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0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06" s="13" t="e">
        <f>IF(PLANPRODUCCION[[#This Row],[PIEZAS REAL]]&gt;0,PLANPRODUCCION[[#This Row],[PIEZAS REAL]]/PLANPRODUCCION[[#This Row],[PIEZAS ACTUALIZADO]],)</f>
        <v>#DIV/0!</v>
      </c>
      <c r="AC306" s="10" t="b">
        <f>PLANPRODUCCION[[#This Row],[INGRESO PLANEADO]]&lt;PLANPRODUCCION[[#This Row],[COSTO PLANEADO]]</f>
        <v>0</v>
      </c>
      <c r="AD306" s="46" t="s">
        <v>423</v>
      </c>
      <c r="AE306" s="10"/>
      <c r="AF306" s="10" t="b">
        <f>IF(COUNTIF(PLANPRODUCCION[[#This Row],[OBSERVACIONES]],"NO APLICA BONO*")&gt;0,TRUE,FALSE)</f>
        <v>0</v>
      </c>
    </row>
    <row r="307" spans="1:32" x14ac:dyDescent="0.25">
      <c r="A307" s="46" t="str">
        <f>UPPER(IF(PLANPRODUCCION[[#This Row],[FECHA]]&lt;=45701,_xlfn.CONCAT(TEXT(B307,"MMM"),"-",IF(ROW(A307)&lt;11,"000"&amp;ROW(A307)-1,IF(ROW(A307)&lt;101,"00"&amp;ROW(A307)-1,IF(ROW(A307)&lt;1001,"0"&amp;ROW(A307)-1,ROW(A307)-1))),"-OLD"),_xlfn.CONCAT(TEXT(B307,"MMM"),"-",IF(ROW(A307)&lt;473,"000"&amp;ROW(A307)-463,IF(ROW(A307)&lt;563,"00"&amp;ROW(A307)-463,IF(ROW(A307)&lt;1001,"0"&amp;ROW(A307)-463,ROW(A307)-463))))))</f>
        <v>ENE-0306-OLD</v>
      </c>
      <c r="B307" s="1">
        <v>45686</v>
      </c>
      <c r="C307" s="5"/>
      <c r="D307" s="5"/>
      <c r="E307" t="s">
        <v>110</v>
      </c>
      <c r="F307" s="32"/>
      <c r="G307" s="32"/>
      <c r="H307" s="5">
        <v>1559</v>
      </c>
      <c r="I307" t="s">
        <v>420</v>
      </c>
      <c r="J307" t="s">
        <v>421</v>
      </c>
      <c r="K307" s="5"/>
      <c r="L307" s="10" t="s">
        <v>83</v>
      </c>
      <c r="M307" s="49">
        <v>35.4</v>
      </c>
      <c r="N307" s="34">
        <f>PLANPRODUCCION[[#This Row],[PIEZAS PLANEADAS]]*PLANPRODUCCION[[#This Row],[PRECIO MAQUILAS]]</f>
        <v>0</v>
      </c>
      <c r="O307" s="5">
        <v>2</v>
      </c>
      <c r="P307" s="2">
        <v>0.66666666666666663</v>
      </c>
      <c r="Q307" s="2">
        <v>0.875</v>
      </c>
      <c r="R307" s="24">
        <v>60</v>
      </c>
      <c r="S307" s="35">
        <f>PLANPRODUCCION[[#This Row],[PRECIO MAQUILAS]]*PLANPRODUCCION[[#This Row],[PIEZAS REAL]]</f>
        <v>2124</v>
      </c>
      <c r="T30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0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0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775</v>
      </c>
      <c r="W30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1349</v>
      </c>
      <c r="X307" s="8"/>
      <c r="Y30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0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0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07" s="13" t="e">
        <f>IF(PLANPRODUCCION[[#This Row],[PIEZAS REAL]]&gt;0,PLANPRODUCCION[[#This Row],[PIEZAS REAL]]/PLANPRODUCCION[[#This Row],[PIEZAS ACTUALIZADO]],)</f>
        <v>#DIV/0!</v>
      </c>
      <c r="AC307" s="10" t="b">
        <f>PLANPRODUCCION[[#This Row],[INGRESO PLANEADO]]&lt;PLANPRODUCCION[[#This Row],[COSTO PLANEADO]]</f>
        <v>0</v>
      </c>
      <c r="AD307" s="46" t="s">
        <v>424</v>
      </c>
      <c r="AE307" s="10"/>
      <c r="AF307" s="10" t="b">
        <f>IF(COUNTIF(PLANPRODUCCION[[#This Row],[OBSERVACIONES]],"NO APLICA BONO*")&gt;0,TRUE,FALSE)</f>
        <v>0</v>
      </c>
    </row>
    <row r="308" spans="1:32" x14ac:dyDescent="0.25">
      <c r="A308" s="46" t="str">
        <f>UPPER(IF(PLANPRODUCCION[[#This Row],[FECHA]]&lt;=45701,_xlfn.CONCAT(TEXT(B308,"MMM"),"-",IF(ROW(A308)&lt;11,"000"&amp;ROW(A308)-1,IF(ROW(A308)&lt;101,"00"&amp;ROW(A308)-1,IF(ROW(A308)&lt;1001,"0"&amp;ROW(A308)-1,ROW(A308)-1))),"-OLD"),_xlfn.CONCAT(TEXT(B308,"MMM"),"-",IF(ROW(A308)&lt;473,"000"&amp;ROW(A308)-463,IF(ROW(A308)&lt;563,"00"&amp;ROW(A308)-463,IF(ROW(A308)&lt;1001,"0"&amp;ROW(A308)-463,ROW(A308)-463))))))</f>
        <v>ENE-0307-OLD</v>
      </c>
      <c r="B308" s="1">
        <v>45686</v>
      </c>
      <c r="C308" s="5"/>
      <c r="D308" s="5"/>
      <c r="E308" t="s">
        <v>72</v>
      </c>
      <c r="F308" s="32"/>
      <c r="G308" s="32"/>
      <c r="H308" s="5">
        <v>1514</v>
      </c>
      <c r="I308" t="s">
        <v>141</v>
      </c>
      <c r="J308" t="s">
        <v>144</v>
      </c>
      <c r="K308" s="5"/>
      <c r="L308" s="10" t="s">
        <v>57</v>
      </c>
      <c r="M308" s="49">
        <v>1</v>
      </c>
      <c r="N308" s="34">
        <f>PLANPRODUCCION[[#This Row],[PIEZAS PLANEADAS]]*PLANPRODUCCION[[#This Row],[PRECIO MAQUILAS]]</f>
        <v>0</v>
      </c>
      <c r="O308" s="5">
        <v>2</v>
      </c>
      <c r="P308" s="2">
        <v>0.66666666666666663</v>
      </c>
      <c r="Q308" s="2">
        <v>0.875</v>
      </c>
      <c r="R308" s="24">
        <v>766</v>
      </c>
      <c r="S308" s="35">
        <f>PLANPRODUCCION[[#This Row],[PRECIO MAQUILAS]]*PLANPRODUCCION[[#This Row],[PIEZAS REAL]]</f>
        <v>766</v>
      </c>
      <c r="T30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0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0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30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146</v>
      </c>
      <c r="X308" s="8"/>
      <c r="Y30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0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0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08" s="13" t="e">
        <f>IF(PLANPRODUCCION[[#This Row],[PIEZAS REAL]]&gt;0,PLANPRODUCCION[[#This Row],[PIEZAS REAL]]/PLANPRODUCCION[[#This Row],[PIEZAS ACTUALIZADO]],)</f>
        <v>#DIV/0!</v>
      </c>
      <c r="AC308" s="10" t="b">
        <f>PLANPRODUCCION[[#This Row],[INGRESO PLANEADO]]&lt;PLANPRODUCCION[[#This Row],[COSTO PLANEADO]]</f>
        <v>0</v>
      </c>
      <c r="AD308" s="46" t="s">
        <v>425</v>
      </c>
      <c r="AE308" s="10"/>
      <c r="AF308" s="10" t="b">
        <f>IF(COUNTIF(PLANPRODUCCION[[#This Row],[OBSERVACIONES]],"NO APLICA BONO*")&gt;0,TRUE,FALSE)</f>
        <v>0</v>
      </c>
    </row>
    <row r="309" spans="1:32" x14ac:dyDescent="0.25">
      <c r="A309" s="46" t="str">
        <f>UPPER(IF(PLANPRODUCCION[[#This Row],[FECHA]]&lt;=45701,_xlfn.CONCAT(TEXT(B309,"MMM"),"-",IF(ROW(A309)&lt;11,"000"&amp;ROW(A309)-1,IF(ROW(A309)&lt;101,"00"&amp;ROW(A309)-1,IF(ROW(A309)&lt;1001,"0"&amp;ROW(A309)-1,ROW(A309)-1))),"-OLD"),_xlfn.CONCAT(TEXT(B309,"MMM"),"-",IF(ROW(A309)&lt;473,"000"&amp;ROW(A309)-463,IF(ROW(A309)&lt;563,"00"&amp;ROW(A309)-463,IF(ROW(A309)&lt;1001,"0"&amp;ROW(A309)-463,ROW(A309)-463))))))</f>
        <v>ENE-0308-OLD</v>
      </c>
      <c r="B309" s="1">
        <v>45686</v>
      </c>
      <c r="C309" s="5"/>
      <c r="D309" s="5"/>
      <c r="E309" t="s">
        <v>72</v>
      </c>
      <c r="F309" s="32"/>
      <c r="G309" s="32"/>
      <c r="H309" s="5">
        <v>1514</v>
      </c>
      <c r="I309" t="s">
        <v>141</v>
      </c>
      <c r="J309" t="s">
        <v>144</v>
      </c>
      <c r="K309" s="5"/>
      <c r="L309" s="10" t="s">
        <v>57</v>
      </c>
      <c r="M309" s="49">
        <v>1</v>
      </c>
      <c r="N309" s="34">
        <f>PLANPRODUCCION[[#This Row],[PIEZAS PLANEADAS]]*PLANPRODUCCION[[#This Row],[PRECIO MAQUILAS]]</f>
        <v>0</v>
      </c>
      <c r="O309" s="5">
        <v>3</v>
      </c>
      <c r="P309" s="2">
        <v>0.66666666666666663</v>
      </c>
      <c r="Q309" s="2">
        <v>0.875</v>
      </c>
      <c r="R309" s="24">
        <v>855</v>
      </c>
      <c r="S309" s="35">
        <f>PLANPRODUCCION[[#This Row],[PRECIO MAQUILAS]]*PLANPRODUCCION[[#This Row],[PIEZAS REAL]]</f>
        <v>855</v>
      </c>
      <c r="T30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0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0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30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-75</v>
      </c>
      <c r="X309" s="8"/>
      <c r="Y30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0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0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09" s="13" t="e">
        <f>IF(PLANPRODUCCION[[#This Row],[PIEZAS REAL]]&gt;0,PLANPRODUCCION[[#This Row],[PIEZAS REAL]]/PLANPRODUCCION[[#This Row],[PIEZAS ACTUALIZADO]],)</f>
        <v>#DIV/0!</v>
      </c>
      <c r="AC309" s="10" t="b">
        <f>PLANPRODUCCION[[#This Row],[INGRESO PLANEADO]]&lt;PLANPRODUCCION[[#This Row],[COSTO PLANEADO]]</f>
        <v>0</v>
      </c>
      <c r="AD309" s="46" t="s">
        <v>426</v>
      </c>
      <c r="AE309" s="10"/>
      <c r="AF309" s="10" t="b">
        <f>IF(COUNTIF(PLANPRODUCCION[[#This Row],[OBSERVACIONES]],"NO APLICA BONO*")&gt;0,TRUE,FALSE)</f>
        <v>0</v>
      </c>
    </row>
    <row r="310" spans="1:32" x14ac:dyDescent="0.25">
      <c r="A310" s="46" t="str">
        <f>UPPER(IF(PLANPRODUCCION[[#This Row],[FECHA]]&lt;=45701,_xlfn.CONCAT(TEXT(B310,"MMM"),"-",IF(ROW(A310)&lt;11,"000"&amp;ROW(A310)-1,IF(ROW(A310)&lt;101,"00"&amp;ROW(A310)-1,IF(ROW(A310)&lt;1001,"0"&amp;ROW(A310)-1,ROW(A310)-1))),"-OLD"),_xlfn.CONCAT(TEXT(B310,"MMM"),"-",IF(ROW(A310)&lt;473,"000"&amp;ROW(A310)-463,IF(ROW(A310)&lt;563,"00"&amp;ROW(A310)-463,IF(ROW(A310)&lt;1001,"0"&amp;ROW(A310)-463,ROW(A310)-463))))))</f>
        <v>ENE-0309-OLD</v>
      </c>
      <c r="B310" s="1">
        <v>45686</v>
      </c>
      <c r="C310" s="5"/>
      <c r="D310" s="5"/>
      <c r="E310" t="s">
        <v>72</v>
      </c>
      <c r="F310" s="32"/>
      <c r="G310" s="32"/>
      <c r="H310" s="5">
        <v>1514</v>
      </c>
      <c r="I310" t="s">
        <v>141</v>
      </c>
      <c r="J310" t="s">
        <v>142</v>
      </c>
      <c r="K310" s="5"/>
      <c r="L310" s="10" t="s">
        <v>57</v>
      </c>
      <c r="M310" s="49">
        <v>0.5</v>
      </c>
      <c r="N310" s="34">
        <f>PLANPRODUCCION[[#This Row],[PIEZAS PLANEADAS]]*PLANPRODUCCION[[#This Row],[PRECIO MAQUILAS]]</f>
        <v>0</v>
      </c>
      <c r="O310" s="5">
        <v>2</v>
      </c>
      <c r="P310" s="2">
        <v>0.66666666666666663</v>
      </c>
      <c r="Q310" s="2">
        <v>0.875</v>
      </c>
      <c r="R310" s="24">
        <v>1732</v>
      </c>
      <c r="S310" s="35">
        <f>PLANPRODUCCION[[#This Row],[PRECIO MAQUILAS]]*PLANPRODUCCION[[#This Row],[PIEZAS REAL]]</f>
        <v>866</v>
      </c>
      <c r="T31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1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1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31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246</v>
      </c>
      <c r="X310" s="8"/>
      <c r="Y31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1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1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10" s="13" t="e">
        <f>IF(PLANPRODUCCION[[#This Row],[PIEZAS REAL]]&gt;0,PLANPRODUCCION[[#This Row],[PIEZAS REAL]]/PLANPRODUCCION[[#This Row],[PIEZAS ACTUALIZADO]],)</f>
        <v>#DIV/0!</v>
      </c>
      <c r="AC310" s="10" t="b">
        <f>PLANPRODUCCION[[#This Row],[INGRESO PLANEADO]]&lt;PLANPRODUCCION[[#This Row],[COSTO PLANEADO]]</f>
        <v>0</v>
      </c>
      <c r="AD310" s="46" t="s">
        <v>427</v>
      </c>
      <c r="AE310" s="10"/>
      <c r="AF310" s="10" t="b">
        <f>IF(COUNTIF(PLANPRODUCCION[[#This Row],[OBSERVACIONES]],"NO APLICA BONO*")&gt;0,TRUE,FALSE)</f>
        <v>0</v>
      </c>
    </row>
    <row r="311" spans="1:32" x14ac:dyDescent="0.25">
      <c r="A311" s="46" t="str">
        <f>UPPER(IF(PLANPRODUCCION[[#This Row],[FECHA]]&lt;=45701,_xlfn.CONCAT(TEXT(B311,"MMM"),"-",IF(ROW(A311)&lt;11,"000"&amp;ROW(A311)-1,IF(ROW(A311)&lt;101,"00"&amp;ROW(A311)-1,IF(ROW(A311)&lt;1001,"0"&amp;ROW(A311)-1,ROW(A311)-1))),"-OLD"),_xlfn.CONCAT(TEXT(B311,"MMM"),"-",IF(ROW(A311)&lt;473,"000"&amp;ROW(A311)-463,IF(ROW(A311)&lt;563,"00"&amp;ROW(A311)-463,IF(ROW(A311)&lt;1001,"0"&amp;ROW(A311)-463,ROW(A311)-463))))))</f>
        <v>ENE-0310-OLD</v>
      </c>
      <c r="B311" s="1">
        <v>45686</v>
      </c>
      <c r="C311" s="5"/>
      <c r="D311" s="5"/>
      <c r="E311" t="s">
        <v>72</v>
      </c>
      <c r="F311" s="32"/>
      <c r="G311" s="32"/>
      <c r="H311" s="5">
        <v>1559</v>
      </c>
      <c r="I311" t="s">
        <v>420</v>
      </c>
      <c r="J311" t="s">
        <v>421</v>
      </c>
      <c r="K311" s="5"/>
      <c r="L311" s="10" t="s">
        <v>83</v>
      </c>
      <c r="M311" s="49">
        <v>35.4</v>
      </c>
      <c r="N311" s="34">
        <f>PLANPRODUCCION[[#This Row],[PIEZAS PLANEADAS]]*PLANPRODUCCION[[#This Row],[PRECIO MAQUILAS]]</f>
        <v>0</v>
      </c>
      <c r="O311" s="5">
        <v>2</v>
      </c>
      <c r="P311" s="2">
        <v>0.83333333333333337</v>
      </c>
      <c r="Q311" s="2">
        <v>0.875</v>
      </c>
      <c r="R311" s="24">
        <v>1</v>
      </c>
      <c r="S311" s="35">
        <f>PLANPRODUCCION[[#This Row],[PRECIO MAQUILAS]]*PLANPRODUCCION[[#This Row],[PIEZAS REAL]]</f>
        <v>35.4</v>
      </c>
      <c r="T31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1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1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</v>
      </c>
      <c r="W31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-88.6</v>
      </c>
      <c r="X311" s="8"/>
      <c r="Y31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1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1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11" s="13" t="e">
        <f>IF(PLANPRODUCCION[[#This Row],[PIEZAS REAL]]&gt;0,PLANPRODUCCION[[#This Row],[PIEZAS REAL]]/PLANPRODUCCION[[#This Row],[PIEZAS ACTUALIZADO]],)</f>
        <v>#DIV/0!</v>
      </c>
      <c r="AC311" s="10" t="b">
        <f>PLANPRODUCCION[[#This Row],[INGRESO PLANEADO]]&lt;PLANPRODUCCION[[#This Row],[COSTO PLANEADO]]</f>
        <v>0</v>
      </c>
      <c r="AD311" s="46" t="s">
        <v>428</v>
      </c>
      <c r="AE311" s="10"/>
      <c r="AF311" s="10" t="b">
        <f>IF(COUNTIF(PLANPRODUCCION[[#This Row],[OBSERVACIONES]],"NO APLICA BONO*")&gt;0,TRUE,FALSE)</f>
        <v>0</v>
      </c>
    </row>
    <row r="312" spans="1:32" x14ac:dyDescent="0.25">
      <c r="A312" s="46" t="str">
        <f>UPPER(IF(PLANPRODUCCION[[#This Row],[FECHA]]&lt;=45701,_xlfn.CONCAT(TEXT(B312,"MMM"),"-",IF(ROW(A312)&lt;11,"000"&amp;ROW(A312)-1,IF(ROW(A312)&lt;101,"00"&amp;ROW(A312)-1,IF(ROW(A312)&lt;1001,"0"&amp;ROW(A312)-1,ROW(A312)-1))),"-OLD"),_xlfn.CONCAT(TEXT(B312,"MMM"),"-",IF(ROW(A312)&lt;473,"000"&amp;ROW(A312)-463,IF(ROW(A312)&lt;563,"00"&amp;ROW(A312)-463,IF(ROW(A312)&lt;1001,"0"&amp;ROW(A312)-463,ROW(A312)-463))))))</f>
        <v>ENE-0311-OLD</v>
      </c>
      <c r="B312" s="1">
        <v>45686</v>
      </c>
      <c r="C312" s="5"/>
      <c r="D312" s="5"/>
      <c r="E312" t="s">
        <v>72</v>
      </c>
      <c r="F312" s="32"/>
      <c r="G312" s="32"/>
      <c r="H312" s="5">
        <v>1559</v>
      </c>
      <c r="I312" t="s">
        <v>420</v>
      </c>
      <c r="J312" t="s">
        <v>421</v>
      </c>
      <c r="K312" s="5"/>
      <c r="L312" s="10" t="s">
        <v>83</v>
      </c>
      <c r="M312" s="49">
        <v>35.4</v>
      </c>
      <c r="N312" s="34">
        <f>PLANPRODUCCION[[#This Row],[PIEZAS PLANEADAS]]*PLANPRODUCCION[[#This Row],[PRECIO MAQUILAS]]</f>
        <v>0</v>
      </c>
      <c r="O312" s="5">
        <v>3</v>
      </c>
      <c r="P312" s="2">
        <v>0.83333333333333337</v>
      </c>
      <c r="Q312" s="2">
        <v>0.875</v>
      </c>
      <c r="R312" s="24">
        <v>3</v>
      </c>
      <c r="S312" s="35">
        <f>PLANPRODUCCION[[#This Row],[PRECIO MAQUILAS]]*PLANPRODUCCION[[#This Row],[PIEZAS REAL]]</f>
        <v>106.19999999999999</v>
      </c>
      <c r="T31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1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1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</v>
      </c>
      <c r="W31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-79.800000000000011</v>
      </c>
      <c r="X312" s="8"/>
      <c r="Y31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1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1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12" s="13" t="e">
        <f>IF(PLANPRODUCCION[[#This Row],[PIEZAS REAL]]&gt;0,PLANPRODUCCION[[#This Row],[PIEZAS REAL]]/PLANPRODUCCION[[#This Row],[PIEZAS ACTUALIZADO]],)</f>
        <v>#DIV/0!</v>
      </c>
      <c r="AC312" s="10" t="b">
        <f>PLANPRODUCCION[[#This Row],[INGRESO PLANEADO]]&lt;PLANPRODUCCION[[#This Row],[COSTO PLANEADO]]</f>
        <v>0</v>
      </c>
      <c r="AD312" s="46" t="s">
        <v>429</v>
      </c>
      <c r="AE312" s="10"/>
      <c r="AF312" s="10" t="b">
        <f>IF(COUNTIF(PLANPRODUCCION[[#This Row],[OBSERVACIONES]],"NO APLICA BONO*")&gt;0,TRUE,FALSE)</f>
        <v>0</v>
      </c>
    </row>
    <row r="313" spans="1:32" x14ac:dyDescent="0.25">
      <c r="A313" s="46" t="str">
        <f>UPPER(IF(PLANPRODUCCION[[#This Row],[FECHA]]&lt;=45701,_xlfn.CONCAT(TEXT(B313,"MMM"),"-",IF(ROW(A313)&lt;11,"000"&amp;ROW(A313)-1,IF(ROW(A313)&lt;101,"00"&amp;ROW(A313)-1,IF(ROW(A313)&lt;1001,"0"&amp;ROW(A313)-1,ROW(A313)-1))),"-OLD"),_xlfn.CONCAT(TEXT(B313,"MMM"),"-",IF(ROW(A313)&lt;473,"000"&amp;ROW(A313)-463,IF(ROW(A313)&lt;563,"00"&amp;ROW(A313)-463,IF(ROW(A313)&lt;1001,"0"&amp;ROW(A313)-463,ROW(A313)-463))))))</f>
        <v>ENE-0312-OLD</v>
      </c>
      <c r="B313" s="1">
        <v>45686</v>
      </c>
      <c r="C313" s="5"/>
      <c r="D313" s="5"/>
      <c r="E313" t="s">
        <v>72</v>
      </c>
      <c r="F313" s="32"/>
      <c r="G313" s="32"/>
      <c r="H313" s="5">
        <v>1559</v>
      </c>
      <c r="I313" t="s">
        <v>420</v>
      </c>
      <c r="J313" t="s">
        <v>421</v>
      </c>
      <c r="K313" s="5"/>
      <c r="L313" s="10" t="s">
        <v>83</v>
      </c>
      <c r="M313" s="49">
        <v>35.4</v>
      </c>
      <c r="N313" s="34">
        <f>PLANPRODUCCION[[#This Row],[PIEZAS PLANEADAS]]*PLANPRODUCCION[[#This Row],[PRECIO MAQUILAS]]</f>
        <v>0</v>
      </c>
      <c r="O313" s="5">
        <v>2</v>
      </c>
      <c r="P313" s="2">
        <v>0.83333333333333337</v>
      </c>
      <c r="Q313" s="2">
        <v>0.875</v>
      </c>
      <c r="R313" s="24">
        <v>2</v>
      </c>
      <c r="S313" s="35">
        <f>PLANPRODUCCION[[#This Row],[PRECIO MAQUILAS]]*PLANPRODUCCION[[#This Row],[PIEZAS REAL]]</f>
        <v>70.8</v>
      </c>
      <c r="T31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1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1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</v>
      </c>
      <c r="W31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-53.2</v>
      </c>
      <c r="X313" s="8"/>
      <c r="Y31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1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1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13" s="13" t="e">
        <f>IF(PLANPRODUCCION[[#This Row],[PIEZAS REAL]]&gt;0,PLANPRODUCCION[[#This Row],[PIEZAS REAL]]/PLANPRODUCCION[[#This Row],[PIEZAS ACTUALIZADO]],)</f>
        <v>#DIV/0!</v>
      </c>
      <c r="AC313" s="10" t="b">
        <f>PLANPRODUCCION[[#This Row],[INGRESO PLANEADO]]&lt;PLANPRODUCCION[[#This Row],[COSTO PLANEADO]]</f>
        <v>0</v>
      </c>
      <c r="AD313" s="46" t="s">
        <v>430</v>
      </c>
      <c r="AE313" s="10"/>
      <c r="AF313" s="10" t="b">
        <f>IF(COUNTIF(PLANPRODUCCION[[#This Row],[OBSERVACIONES]],"NO APLICA BONO*")&gt;0,TRUE,FALSE)</f>
        <v>0</v>
      </c>
    </row>
    <row r="314" spans="1:32" x14ac:dyDescent="0.25">
      <c r="A314" s="46" t="str">
        <f>UPPER(IF(PLANPRODUCCION[[#This Row],[FECHA]]&lt;=45701,_xlfn.CONCAT(TEXT(B314,"MMM"),"-",IF(ROW(A314)&lt;11,"000"&amp;ROW(A314)-1,IF(ROW(A314)&lt;101,"00"&amp;ROW(A314)-1,IF(ROW(A314)&lt;1001,"0"&amp;ROW(A314)-1,ROW(A314)-1))),"-OLD"),_xlfn.CONCAT(TEXT(B314,"MMM"),"-",IF(ROW(A314)&lt;473,"000"&amp;ROW(A314)-463,IF(ROW(A314)&lt;563,"00"&amp;ROW(A314)-463,IF(ROW(A314)&lt;1001,"0"&amp;ROW(A314)-463,ROW(A314)-463))))))</f>
        <v>ENE-0313-OLD</v>
      </c>
      <c r="B314" s="1">
        <v>45686</v>
      </c>
      <c r="C314" s="5"/>
      <c r="D314" s="5"/>
      <c r="E314" t="s">
        <v>75</v>
      </c>
      <c r="F314" s="32"/>
      <c r="G314" s="32"/>
      <c r="H314" s="5">
        <v>1514</v>
      </c>
      <c r="I314" t="s">
        <v>141</v>
      </c>
      <c r="J314" t="s">
        <v>148</v>
      </c>
      <c r="K314" s="5"/>
      <c r="L314" s="10" t="s">
        <v>83</v>
      </c>
      <c r="M314" s="49">
        <v>30</v>
      </c>
      <c r="N314" s="34">
        <f>PLANPRODUCCION[[#This Row],[PIEZAS PLANEADAS]]*PLANPRODUCCION[[#This Row],[PRECIO MAQUILAS]]</f>
        <v>0</v>
      </c>
      <c r="O314" s="5">
        <v>6</v>
      </c>
      <c r="P314" s="2">
        <v>0.875</v>
      </c>
      <c r="Q314" s="2">
        <v>0.25</v>
      </c>
      <c r="R314" s="24">
        <v>187</v>
      </c>
      <c r="S314" s="35">
        <f>PLANPRODUCCION[[#This Row],[PRECIO MAQUILAS]]*PLANPRODUCCION[[#This Row],[PIEZAS REAL]]</f>
        <v>5610</v>
      </c>
      <c r="T31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1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1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4500</v>
      </c>
      <c r="W31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1110</v>
      </c>
      <c r="X314" s="8"/>
      <c r="Y31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1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1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14" s="13" t="e">
        <f>IF(PLANPRODUCCION[[#This Row],[PIEZAS REAL]]&gt;0,PLANPRODUCCION[[#This Row],[PIEZAS REAL]]/PLANPRODUCCION[[#This Row],[PIEZAS ACTUALIZADO]],)</f>
        <v>#DIV/0!</v>
      </c>
      <c r="AC314" s="10" t="b">
        <f>PLANPRODUCCION[[#This Row],[INGRESO PLANEADO]]&lt;PLANPRODUCCION[[#This Row],[COSTO PLANEADO]]</f>
        <v>0</v>
      </c>
      <c r="AD314" s="46" t="s">
        <v>431</v>
      </c>
      <c r="AE314" s="10"/>
      <c r="AF314" s="10" t="b">
        <f>IF(COUNTIF(PLANPRODUCCION[[#This Row],[OBSERVACIONES]],"NO APLICA BONO*")&gt;0,TRUE,FALSE)</f>
        <v>0</v>
      </c>
    </row>
    <row r="315" spans="1:32" x14ac:dyDescent="0.25">
      <c r="A315" s="46" t="str">
        <f>UPPER(IF(PLANPRODUCCION[[#This Row],[FECHA]]&lt;=45701,_xlfn.CONCAT(TEXT(B315,"MMM"),"-",IF(ROW(A315)&lt;11,"000"&amp;ROW(A315)-1,IF(ROW(A315)&lt;101,"00"&amp;ROW(A315)-1,IF(ROW(A315)&lt;1001,"0"&amp;ROW(A315)-1,ROW(A315)-1))),"-OLD"),_xlfn.CONCAT(TEXT(B315,"MMM"),"-",IF(ROW(A315)&lt;473,"000"&amp;ROW(A315)-463,IF(ROW(A315)&lt;563,"00"&amp;ROW(A315)-463,IF(ROW(A315)&lt;1001,"0"&amp;ROW(A315)-463,ROW(A315)-463))))))</f>
        <v>ENE-0314-OLD</v>
      </c>
      <c r="B315" s="1">
        <v>45686</v>
      </c>
      <c r="C315" s="5"/>
      <c r="D315" s="5"/>
      <c r="E315" t="s">
        <v>75</v>
      </c>
      <c r="F315" s="32"/>
      <c r="G315" s="32"/>
      <c r="H315" s="5">
        <v>1514</v>
      </c>
      <c r="I315" t="s">
        <v>141</v>
      </c>
      <c r="J315" t="s">
        <v>142</v>
      </c>
      <c r="K315" s="5"/>
      <c r="L315" s="10" t="s">
        <v>57</v>
      </c>
      <c r="M315" s="49">
        <v>0.5</v>
      </c>
      <c r="N315" s="34">
        <f>PLANPRODUCCION[[#This Row],[PIEZAS PLANEADAS]]*PLANPRODUCCION[[#This Row],[PRECIO MAQUILAS]]</f>
        <v>0</v>
      </c>
      <c r="O315" s="5">
        <v>3</v>
      </c>
      <c r="P315" s="2">
        <v>0.875</v>
      </c>
      <c r="Q315" s="2">
        <v>0.15625</v>
      </c>
      <c r="R315" s="24">
        <v>200</v>
      </c>
      <c r="S315" s="35">
        <f>PLANPRODUCCION[[#This Row],[PRECIO MAQUILAS]]*PLANPRODUCCION[[#This Row],[PIEZAS REAL]]</f>
        <v>100</v>
      </c>
      <c r="T31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1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1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1687.5</v>
      </c>
      <c r="W31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-1587.5</v>
      </c>
      <c r="X315" s="8"/>
      <c r="Y31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1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1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15" s="13" t="e">
        <f>IF(PLANPRODUCCION[[#This Row],[PIEZAS REAL]]&gt;0,PLANPRODUCCION[[#This Row],[PIEZAS REAL]]/PLANPRODUCCION[[#This Row],[PIEZAS ACTUALIZADO]],)</f>
        <v>#DIV/0!</v>
      </c>
      <c r="AC315" s="10" t="b">
        <f>PLANPRODUCCION[[#This Row],[INGRESO PLANEADO]]&lt;PLANPRODUCCION[[#This Row],[COSTO PLANEADO]]</f>
        <v>0</v>
      </c>
      <c r="AD315" s="46" t="s">
        <v>432</v>
      </c>
      <c r="AE315" s="10"/>
      <c r="AF315" s="10" t="b">
        <f>IF(COUNTIF(PLANPRODUCCION[[#This Row],[OBSERVACIONES]],"NO APLICA BONO*")&gt;0,TRUE,FALSE)</f>
        <v>0</v>
      </c>
    </row>
    <row r="316" spans="1:32" x14ac:dyDescent="0.25">
      <c r="A316" s="46" t="str">
        <f>UPPER(IF(PLANPRODUCCION[[#This Row],[FECHA]]&lt;=45701,_xlfn.CONCAT(TEXT(B316,"MMM"),"-",IF(ROW(A316)&lt;11,"000"&amp;ROW(A316)-1,IF(ROW(A316)&lt;101,"00"&amp;ROW(A316)-1,IF(ROW(A316)&lt;1001,"0"&amp;ROW(A316)-1,ROW(A316)-1))),"-OLD"),_xlfn.CONCAT(TEXT(B316,"MMM"),"-",IF(ROW(A316)&lt;473,"000"&amp;ROW(A316)-463,IF(ROW(A316)&lt;563,"00"&amp;ROW(A316)-463,IF(ROW(A316)&lt;1001,"0"&amp;ROW(A316)-463,ROW(A316)-463))))))</f>
        <v>ENE-0315-OLD</v>
      </c>
      <c r="B316" s="1">
        <v>45687</v>
      </c>
      <c r="C316" s="5"/>
      <c r="D316" s="5"/>
      <c r="E316" t="s">
        <v>54</v>
      </c>
      <c r="F316" s="32"/>
      <c r="G316" s="32"/>
      <c r="H316" s="5">
        <v>1514</v>
      </c>
      <c r="I316" t="s">
        <v>141</v>
      </c>
      <c r="J316" t="s">
        <v>148</v>
      </c>
      <c r="K316" s="5"/>
      <c r="L316" s="10" t="s">
        <v>83</v>
      </c>
      <c r="M316" s="49">
        <v>30</v>
      </c>
      <c r="N316" s="34">
        <f>PLANPRODUCCION[[#This Row],[PIEZAS PLANEADAS]]*PLANPRODUCCION[[#This Row],[PRECIO MAQUILAS]]</f>
        <v>0</v>
      </c>
      <c r="O316" s="5">
        <v>6</v>
      </c>
      <c r="P316" s="2">
        <v>0.25</v>
      </c>
      <c r="Q316" s="2">
        <v>0.375</v>
      </c>
      <c r="R316" s="24">
        <v>80</v>
      </c>
      <c r="S316" s="35">
        <f>PLANPRODUCCION[[#This Row],[PRECIO MAQUILAS]]*PLANPRODUCCION[[#This Row],[PIEZAS REAL]]</f>
        <v>2400</v>
      </c>
      <c r="T31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1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1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1116</v>
      </c>
      <c r="W31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1284</v>
      </c>
      <c r="X316" s="8"/>
      <c r="Y31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1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1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16" s="13" t="e">
        <f>IF(PLANPRODUCCION[[#This Row],[PIEZAS REAL]]&gt;0,PLANPRODUCCION[[#This Row],[PIEZAS REAL]]/PLANPRODUCCION[[#This Row],[PIEZAS ACTUALIZADO]],)</f>
        <v>#DIV/0!</v>
      </c>
      <c r="AC316" s="10" t="b">
        <f>PLANPRODUCCION[[#This Row],[INGRESO PLANEADO]]&lt;PLANPRODUCCION[[#This Row],[COSTO PLANEADO]]</f>
        <v>0</v>
      </c>
      <c r="AD316" s="46" t="s">
        <v>433</v>
      </c>
      <c r="AE316" s="10"/>
      <c r="AF316" s="10" t="b">
        <f>IF(COUNTIF(PLANPRODUCCION[[#This Row],[OBSERVACIONES]],"NO APLICA BONO*")&gt;0,TRUE,FALSE)</f>
        <v>0</v>
      </c>
    </row>
    <row r="317" spans="1:32" x14ac:dyDescent="0.25">
      <c r="A317" s="46" t="str">
        <f>UPPER(IF(PLANPRODUCCION[[#This Row],[FECHA]]&lt;=45701,_xlfn.CONCAT(TEXT(B317,"MMM"),"-",IF(ROW(A317)&lt;11,"000"&amp;ROW(A317)-1,IF(ROW(A317)&lt;101,"00"&amp;ROW(A317)-1,IF(ROW(A317)&lt;1001,"0"&amp;ROW(A317)-1,ROW(A317)-1))),"-OLD"),_xlfn.CONCAT(TEXT(B317,"MMM"),"-",IF(ROW(A317)&lt;473,"000"&amp;ROW(A317)-463,IF(ROW(A317)&lt;563,"00"&amp;ROW(A317)-463,IF(ROW(A317)&lt;1001,"0"&amp;ROW(A317)-463,ROW(A317)-463))))))</f>
        <v>ENE-0316-OLD</v>
      </c>
      <c r="B317" s="1">
        <v>45687</v>
      </c>
      <c r="C317" s="5"/>
      <c r="D317" s="5"/>
      <c r="E317" t="s">
        <v>54</v>
      </c>
      <c r="F317" s="32"/>
      <c r="G317" s="32"/>
      <c r="H317" s="5">
        <v>1522</v>
      </c>
      <c r="I317" t="s">
        <v>434</v>
      </c>
      <c r="J317" t="s">
        <v>435</v>
      </c>
      <c r="K317" s="5"/>
      <c r="L317" s="10" t="s">
        <v>57</v>
      </c>
      <c r="M317" s="49">
        <v>0.3</v>
      </c>
      <c r="N317" s="34">
        <f>PLANPRODUCCION[[#This Row],[PIEZAS PLANEADAS]]*PLANPRODUCCION[[#This Row],[PRECIO MAQUILAS]]</f>
        <v>0</v>
      </c>
      <c r="O317" s="5">
        <v>1</v>
      </c>
      <c r="P317" s="2">
        <v>0.25</v>
      </c>
      <c r="Q317" s="2">
        <v>0.66666666666666663</v>
      </c>
      <c r="R317" s="24">
        <v>0</v>
      </c>
      <c r="S317" s="35">
        <f>PLANPRODUCCION[[#This Row],[PRECIO MAQUILAS]]*PLANPRODUCCION[[#This Row],[PIEZAS REAL]]</f>
        <v>0</v>
      </c>
      <c r="T31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1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1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31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-620</v>
      </c>
      <c r="X317" s="8"/>
      <c r="Y31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1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17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317" s="13">
        <f>IF(PLANPRODUCCION[[#This Row],[PIEZAS REAL]]&gt;0,PLANPRODUCCION[[#This Row],[PIEZAS REAL]]/PLANPRODUCCION[[#This Row],[PIEZAS ACTUALIZADO]],)</f>
        <v>0</v>
      </c>
      <c r="AC317" s="10" t="b">
        <f>PLANPRODUCCION[[#This Row],[INGRESO PLANEADO]]&lt;PLANPRODUCCION[[#This Row],[COSTO PLANEADO]]</f>
        <v>0</v>
      </c>
      <c r="AD317" s="46" t="s">
        <v>436</v>
      </c>
      <c r="AE317" s="10"/>
      <c r="AF317" s="10" t="b">
        <f>IF(COUNTIF(PLANPRODUCCION[[#This Row],[OBSERVACIONES]],"NO APLICA BONO*")&gt;0,TRUE,FALSE)</f>
        <v>0</v>
      </c>
    </row>
    <row r="318" spans="1:32" x14ac:dyDescent="0.25">
      <c r="A318" s="46" t="str">
        <f>UPPER(IF(PLANPRODUCCION[[#This Row],[FECHA]]&lt;=45701,_xlfn.CONCAT(TEXT(B318,"MMM"),"-",IF(ROW(A318)&lt;11,"000"&amp;ROW(A318)-1,IF(ROW(A318)&lt;101,"00"&amp;ROW(A318)-1,IF(ROW(A318)&lt;1001,"0"&amp;ROW(A318)-1,ROW(A318)-1))),"-OLD"),_xlfn.CONCAT(TEXT(B318,"MMM"),"-",IF(ROW(A318)&lt;473,"000"&amp;ROW(A318)-463,IF(ROW(A318)&lt;563,"00"&amp;ROW(A318)-463,IF(ROW(A318)&lt;1001,"0"&amp;ROW(A318)-463,ROW(A318)-463))))))</f>
        <v>ENE-0317-OLD</v>
      </c>
      <c r="B318" s="1">
        <v>45687</v>
      </c>
      <c r="C318" s="5"/>
      <c r="D318" s="5"/>
      <c r="E318" t="s">
        <v>54</v>
      </c>
      <c r="F318" s="32"/>
      <c r="G318" s="32"/>
      <c r="H318" s="5">
        <v>1559</v>
      </c>
      <c r="I318" t="s">
        <v>420</v>
      </c>
      <c r="J318" t="s">
        <v>421</v>
      </c>
      <c r="K318" s="5"/>
      <c r="L318" s="10" t="s">
        <v>83</v>
      </c>
      <c r="M318" s="49">
        <v>35.4</v>
      </c>
      <c r="N318" s="34">
        <f>PLANPRODUCCION[[#This Row],[PIEZAS PLANEADAS]]*PLANPRODUCCION[[#This Row],[PRECIO MAQUILAS]]</f>
        <v>0</v>
      </c>
      <c r="O318" s="5">
        <v>2</v>
      </c>
      <c r="P318" s="2">
        <v>0.25</v>
      </c>
      <c r="Q318" s="2">
        <v>0.66666666666666663</v>
      </c>
      <c r="R318" s="24">
        <v>42</v>
      </c>
      <c r="S318" s="35">
        <f>PLANPRODUCCION[[#This Row],[PRECIO MAQUILAS]]*PLANPRODUCCION[[#This Row],[PIEZAS REAL]]</f>
        <v>1486.8</v>
      </c>
      <c r="T31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1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1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31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246.79999999999995</v>
      </c>
      <c r="X318" s="8"/>
      <c r="Y31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1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1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18" s="13" t="e">
        <f>IF(PLANPRODUCCION[[#This Row],[PIEZAS REAL]]&gt;0,PLANPRODUCCION[[#This Row],[PIEZAS REAL]]/PLANPRODUCCION[[#This Row],[PIEZAS ACTUALIZADO]],)</f>
        <v>#DIV/0!</v>
      </c>
      <c r="AC318" s="10" t="b">
        <f>PLANPRODUCCION[[#This Row],[INGRESO PLANEADO]]&lt;PLANPRODUCCION[[#This Row],[COSTO PLANEADO]]</f>
        <v>0</v>
      </c>
      <c r="AD318" s="46" t="s">
        <v>437</v>
      </c>
      <c r="AE318" s="10"/>
      <c r="AF318" s="10" t="b">
        <f>IF(COUNTIF(PLANPRODUCCION[[#This Row],[OBSERVACIONES]],"NO APLICA BONO*")&gt;0,TRUE,FALSE)</f>
        <v>0</v>
      </c>
    </row>
    <row r="319" spans="1:32" x14ac:dyDescent="0.25">
      <c r="A319" s="46" t="str">
        <f>UPPER(IF(PLANPRODUCCION[[#This Row],[FECHA]]&lt;=45701,_xlfn.CONCAT(TEXT(B319,"MMM"),"-",IF(ROW(A319)&lt;11,"000"&amp;ROW(A319)-1,IF(ROW(A319)&lt;101,"00"&amp;ROW(A319)-1,IF(ROW(A319)&lt;1001,"0"&amp;ROW(A319)-1,ROW(A319)-1))),"-OLD"),_xlfn.CONCAT(TEXT(B319,"MMM"),"-",IF(ROW(A319)&lt;473,"000"&amp;ROW(A319)-463,IF(ROW(A319)&lt;563,"00"&amp;ROW(A319)-463,IF(ROW(A319)&lt;1001,"0"&amp;ROW(A319)-463,ROW(A319)-463))))))</f>
        <v>ENE-0318-OLD</v>
      </c>
      <c r="B319" s="1">
        <v>45687</v>
      </c>
      <c r="C319" s="5"/>
      <c r="D319" s="5"/>
      <c r="E319" t="s">
        <v>54</v>
      </c>
      <c r="F319" s="32"/>
      <c r="G319" s="32"/>
      <c r="H319" s="5">
        <v>1559</v>
      </c>
      <c r="I319" t="s">
        <v>420</v>
      </c>
      <c r="J319" t="s">
        <v>421</v>
      </c>
      <c r="K319" s="5"/>
      <c r="L319" s="10" t="s">
        <v>83</v>
      </c>
      <c r="M319" s="49">
        <v>35.4</v>
      </c>
      <c r="N319" s="34">
        <f>PLANPRODUCCION[[#This Row],[PIEZAS PLANEADAS]]*PLANPRODUCCION[[#This Row],[PRECIO MAQUILAS]]</f>
        <v>0</v>
      </c>
      <c r="O319" s="5">
        <v>3</v>
      </c>
      <c r="P319" s="2">
        <v>0.25</v>
      </c>
      <c r="Q319" s="2">
        <v>0.41666666666666669</v>
      </c>
      <c r="R319" s="24">
        <v>22</v>
      </c>
      <c r="S319" s="35">
        <f>PLANPRODUCCION[[#This Row],[PRECIO MAQUILAS]]*PLANPRODUCCION[[#This Row],[PIEZAS REAL]]</f>
        <v>778.8</v>
      </c>
      <c r="T31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1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1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31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34.799999999999955</v>
      </c>
      <c r="X319" s="8"/>
      <c r="Y31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1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1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19" s="13" t="e">
        <f>IF(PLANPRODUCCION[[#This Row],[PIEZAS REAL]]&gt;0,PLANPRODUCCION[[#This Row],[PIEZAS REAL]]/PLANPRODUCCION[[#This Row],[PIEZAS ACTUALIZADO]],)</f>
        <v>#DIV/0!</v>
      </c>
      <c r="AC319" s="10" t="b">
        <f>PLANPRODUCCION[[#This Row],[INGRESO PLANEADO]]&lt;PLANPRODUCCION[[#This Row],[COSTO PLANEADO]]</f>
        <v>0</v>
      </c>
      <c r="AD319" s="46" t="s">
        <v>438</v>
      </c>
      <c r="AE319" s="10"/>
      <c r="AF319" s="10" t="b">
        <f>IF(COUNTIF(PLANPRODUCCION[[#This Row],[OBSERVACIONES]],"NO APLICA BONO*")&gt;0,TRUE,FALSE)</f>
        <v>0</v>
      </c>
    </row>
    <row r="320" spans="1:32" x14ac:dyDescent="0.25">
      <c r="A320" s="46" t="str">
        <f>UPPER(IF(PLANPRODUCCION[[#This Row],[FECHA]]&lt;=45701,_xlfn.CONCAT(TEXT(B320,"MMM"),"-",IF(ROW(A320)&lt;11,"000"&amp;ROW(A320)-1,IF(ROW(A320)&lt;101,"00"&amp;ROW(A320)-1,IF(ROW(A320)&lt;1001,"0"&amp;ROW(A320)-1,ROW(A320)-1))),"-OLD"),_xlfn.CONCAT(TEXT(B320,"MMM"),"-",IF(ROW(A320)&lt;473,"000"&amp;ROW(A320)-463,IF(ROW(A320)&lt;563,"00"&amp;ROW(A320)-463,IF(ROW(A320)&lt;1001,"0"&amp;ROW(A320)-463,ROW(A320)-463))))))</f>
        <v>ENE-0319-OLD</v>
      </c>
      <c r="B320" s="1">
        <v>45687</v>
      </c>
      <c r="C320" s="5"/>
      <c r="D320" s="5"/>
      <c r="E320" t="s">
        <v>54</v>
      </c>
      <c r="F320" s="32"/>
      <c r="G320" s="32"/>
      <c r="H320" s="5">
        <v>1559</v>
      </c>
      <c r="I320" t="s">
        <v>420</v>
      </c>
      <c r="J320" t="s">
        <v>421</v>
      </c>
      <c r="K320" s="5"/>
      <c r="L320" s="10" t="s">
        <v>83</v>
      </c>
      <c r="M320" s="49">
        <v>35.4</v>
      </c>
      <c r="N320" s="34">
        <f>PLANPRODUCCION[[#This Row],[PIEZAS PLANEADAS]]*PLANPRODUCCION[[#This Row],[PRECIO MAQUILAS]]</f>
        <v>0</v>
      </c>
      <c r="O320" s="5">
        <v>3</v>
      </c>
      <c r="P320" s="2">
        <v>0.25</v>
      </c>
      <c r="Q320" s="2">
        <v>0.41666666666666669</v>
      </c>
      <c r="R320" s="24">
        <v>24</v>
      </c>
      <c r="S320" s="35">
        <f>PLANPRODUCCION[[#This Row],[PRECIO MAQUILAS]]*PLANPRODUCCION[[#This Row],[PIEZAS REAL]]</f>
        <v>849.59999999999991</v>
      </c>
      <c r="T32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2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2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32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105.59999999999991</v>
      </c>
      <c r="X320" s="8"/>
      <c r="Y32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2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2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20" s="13" t="e">
        <f>IF(PLANPRODUCCION[[#This Row],[PIEZAS REAL]]&gt;0,PLANPRODUCCION[[#This Row],[PIEZAS REAL]]/PLANPRODUCCION[[#This Row],[PIEZAS ACTUALIZADO]],)</f>
        <v>#DIV/0!</v>
      </c>
      <c r="AC320" s="10" t="b">
        <f>PLANPRODUCCION[[#This Row],[INGRESO PLANEADO]]&lt;PLANPRODUCCION[[#This Row],[COSTO PLANEADO]]</f>
        <v>0</v>
      </c>
      <c r="AD320" s="46" t="s">
        <v>439</v>
      </c>
      <c r="AE320" s="10"/>
      <c r="AF320" s="10" t="b">
        <f>IF(COUNTIF(PLANPRODUCCION[[#This Row],[OBSERVACIONES]],"NO APLICA BONO*")&gt;0,TRUE,FALSE)</f>
        <v>0</v>
      </c>
    </row>
    <row r="321" spans="1:32" x14ac:dyDescent="0.25">
      <c r="A321" s="46" t="str">
        <f>UPPER(IF(PLANPRODUCCION[[#This Row],[FECHA]]&lt;=45701,_xlfn.CONCAT(TEXT(B321,"MMM"),"-",IF(ROW(A321)&lt;11,"000"&amp;ROW(A321)-1,IF(ROW(A321)&lt;101,"00"&amp;ROW(A321)-1,IF(ROW(A321)&lt;1001,"0"&amp;ROW(A321)-1,ROW(A321)-1))),"-OLD"),_xlfn.CONCAT(TEXT(B321,"MMM"),"-",IF(ROW(A321)&lt;473,"000"&amp;ROW(A321)-463,IF(ROW(A321)&lt;563,"00"&amp;ROW(A321)-463,IF(ROW(A321)&lt;1001,"0"&amp;ROW(A321)-463,ROW(A321)-463))))))</f>
        <v>ENE-0320-OLD</v>
      </c>
      <c r="B321" s="1">
        <v>45687</v>
      </c>
      <c r="C321" s="5"/>
      <c r="D321" s="5"/>
      <c r="E321" t="s">
        <v>54</v>
      </c>
      <c r="F321" s="32"/>
      <c r="G321" s="32"/>
      <c r="H321" s="5">
        <v>1559</v>
      </c>
      <c r="I321" t="s">
        <v>420</v>
      </c>
      <c r="J321" t="s">
        <v>421</v>
      </c>
      <c r="K321" s="5"/>
      <c r="L321" s="10" t="s">
        <v>83</v>
      </c>
      <c r="M321" s="49">
        <v>35.4</v>
      </c>
      <c r="N321" s="34">
        <f>PLANPRODUCCION[[#This Row],[PIEZAS PLANEADAS]]*PLANPRODUCCION[[#This Row],[PRECIO MAQUILAS]]</f>
        <v>0</v>
      </c>
      <c r="O321" s="5">
        <v>3</v>
      </c>
      <c r="P321" s="2">
        <v>0.33333333333333331</v>
      </c>
      <c r="Q321" s="2">
        <v>0.66666666666666663</v>
      </c>
      <c r="R321" s="24">
        <v>55</v>
      </c>
      <c r="S321" s="35">
        <f>PLANPRODUCCION[[#This Row],[PRECIO MAQUILAS]]*PLANPRODUCCION[[#This Row],[PIEZAS REAL]]</f>
        <v>1947</v>
      </c>
      <c r="T32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2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2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32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459</v>
      </c>
      <c r="X321" s="8"/>
      <c r="Y32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2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2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21" s="13" t="e">
        <f>IF(PLANPRODUCCION[[#This Row],[PIEZAS REAL]]&gt;0,PLANPRODUCCION[[#This Row],[PIEZAS REAL]]/PLANPRODUCCION[[#This Row],[PIEZAS ACTUALIZADO]],)</f>
        <v>#DIV/0!</v>
      </c>
      <c r="AC321" s="10" t="b">
        <f>PLANPRODUCCION[[#This Row],[INGRESO PLANEADO]]&lt;PLANPRODUCCION[[#This Row],[COSTO PLANEADO]]</f>
        <v>0</v>
      </c>
      <c r="AD321" s="46" t="s">
        <v>440</v>
      </c>
      <c r="AE321" s="10"/>
      <c r="AF321" s="10" t="b">
        <f>IF(COUNTIF(PLANPRODUCCION[[#This Row],[OBSERVACIONES]],"NO APLICA BONO*")&gt;0,TRUE,FALSE)</f>
        <v>0</v>
      </c>
    </row>
    <row r="322" spans="1:32" x14ac:dyDescent="0.25">
      <c r="A322" s="46" t="str">
        <f>UPPER(IF(PLANPRODUCCION[[#This Row],[FECHA]]&lt;=45701,_xlfn.CONCAT(TEXT(B322,"MMM"),"-",IF(ROW(A322)&lt;11,"000"&amp;ROW(A322)-1,IF(ROW(A322)&lt;101,"00"&amp;ROW(A322)-1,IF(ROW(A322)&lt;1001,"0"&amp;ROW(A322)-1,ROW(A322)-1))),"-OLD"),_xlfn.CONCAT(TEXT(B322,"MMM"),"-",IF(ROW(A322)&lt;473,"000"&amp;ROW(A322)-463,IF(ROW(A322)&lt;563,"00"&amp;ROW(A322)-463,IF(ROW(A322)&lt;1001,"0"&amp;ROW(A322)-463,ROW(A322)-463))))))</f>
        <v>ENE-0321-OLD</v>
      </c>
      <c r="B322" s="1">
        <v>45687</v>
      </c>
      <c r="C322" s="5"/>
      <c r="D322" s="5"/>
      <c r="E322" t="s">
        <v>54</v>
      </c>
      <c r="F322" s="32"/>
      <c r="G322" s="32"/>
      <c r="H322" s="5">
        <v>1522</v>
      </c>
      <c r="I322" t="s">
        <v>434</v>
      </c>
      <c r="J322" t="s">
        <v>441</v>
      </c>
      <c r="K322" s="5"/>
      <c r="L322" s="10" t="s">
        <v>283</v>
      </c>
      <c r="M322" s="49">
        <v>15</v>
      </c>
      <c r="N322" s="34">
        <f>PLANPRODUCCION[[#This Row],[PIEZAS PLANEADAS]]*PLANPRODUCCION[[#This Row],[PRECIO MAQUILAS]]</f>
        <v>0</v>
      </c>
      <c r="O322" s="5">
        <v>6</v>
      </c>
      <c r="P322" s="2">
        <v>0.375</v>
      </c>
      <c r="Q322" s="2">
        <v>0.66666666666666663</v>
      </c>
      <c r="R322" s="24">
        <v>64</v>
      </c>
      <c r="S322" s="35">
        <f>PLANPRODUCCION[[#This Row],[PRECIO MAQUILAS]]*PLANPRODUCCION[[#This Row],[PIEZAS REAL]]</f>
        <v>960</v>
      </c>
      <c r="T32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2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2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2604</v>
      </c>
      <c r="W32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-1644</v>
      </c>
      <c r="X322" s="8"/>
      <c r="Y32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2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2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22" s="13" t="e">
        <f>IF(PLANPRODUCCION[[#This Row],[PIEZAS REAL]]&gt;0,PLANPRODUCCION[[#This Row],[PIEZAS REAL]]/PLANPRODUCCION[[#This Row],[PIEZAS ACTUALIZADO]],)</f>
        <v>#DIV/0!</v>
      </c>
      <c r="AC322" s="10" t="b">
        <f>PLANPRODUCCION[[#This Row],[INGRESO PLANEADO]]&lt;PLANPRODUCCION[[#This Row],[COSTO PLANEADO]]</f>
        <v>0</v>
      </c>
      <c r="AD322" s="46" t="s">
        <v>442</v>
      </c>
      <c r="AE322" s="10"/>
      <c r="AF322" s="10" t="b">
        <f>IF(COUNTIF(PLANPRODUCCION[[#This Row],[OBSERVACIONES]],"NO APLICA BONO*")&gt;0,TRUE,FALSE)</f>
        <v>0</v>
      </c>
    </row>
    <row r="323" spans="1:32" x14ac:dyDescent="0.25">
      <c r="A323" s="46" t="str">
        <f>UPPER(IF(PLANPRODUCCION[[#This Row],[FECHA]]&lt;=45701,_xlfn.CONCAT(TEXT(B323,"MMM"),"-",IF(ROW(A323)&lt;11,"000"&amp;ROW(A323)-1,IF(ROW(A323)&lt;101,"00"&amp;ROW(A323)-1,IF(ROW(A323)&lt;1001,"0"&amp;ROW(A323)-1,ROW(A323)-1))),"-OLD"),_xlfn.CONCAT(TEXT(B323,"MMM"),"-",IF(ROW(A323)&lt;473,"000"&amp;ROW(A323)-463,IF(ROW(A323)&lt;563,"00"&amp;ROW(A323)-463,IF(ROW(A323)&lt;1001,"0"&amp;ROW(A323)-463,ROW(A323)-463))))))</f>
        <v>ENE-0322-OLD</v>
      </c>
      <c r="B323" s="1">
        <v>45687</v>
      </c>
      <c r="C323" s="5"/>
      <c r="D323" s="5"/>
      <c r="E323" t="s">
        <v>54</v>
      </c>
      <c r="F323" s="32"/>
      <c r="G323" s="32"/>
      <c r="H323" s="5">
        <v>1522</v>
      </c>
      <c r="I323" t="s">
        <v>434</v>
      </c>
      <c r="J323" t="s">
        <v>441</v>
      </c>
      <c r="K323" s="5"/>
      <c r="L323" s="10" t="s">
        <v>283</v>
      </c>
      <c r="M323" s="49">
        <v>15</v>
      </c>
      <c r="N323" s="34">
        <f>PLANPRODUCCION[[#This Row],[PIEZAS PLANEADAS]]*PLANPRODUCCION[[#This Row],[PRECIO MAQUILAS]]</f>
        <v>0</v>
      </c>
      <c r="O323" s="5">
        <v>5</v>
      </c>
      <c r="P323" s="2">
        <v>0.45833333333333331</v>
      </c>
      <c r="Q323" s="2">
        <v>0.66666666666666663</v>
      </c>
      <c r="R323" s="24">
        <v>96</v>
      </c>
      <c r="S323" s="35">
        <f>PLANPRODUCCION[[#This Row],[PRECIO MAQUILAS]]*PLANPRODUCCION[[#This Row],[PIEZAS REAL]]</f>
        <v>1440</v>
      </c>
      <c r="T32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2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2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1550</v>
      </c>
      <c r="W32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-110</v>
      </c>
      <c r="X323" s="8"/>
      <c r="Y32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2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2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23" s="13" t="e">
        <f>IF(PLANPRODUCCION[[#This Row],[PIEZAS REAL]]&gt;0,PLANPRODUCCION[[#This Row],[PIEZAS REAL]]/PLANPRODUCCION[[#This Row],[PIEZAS ACTUALIZADO]],)</f>
        <v>#DIV/0!</v>
      </c>
      <c r="AC323" s="10" t="b">
        <f>PLANPRODUCCION[[#This Row],[INGRESO PLANEADO]]&lt;PLANPRODUCCION[[#This Row],[COSTO PLANEADO]]</f>
        <v>0</v>
      </c>
      <c r="AD323" s="46" t="s">
        <v>443</v>
      </c>
      <c r="AE323" s="10"/>
      <c r="AF323" s="10" t="b">
        <f>IF(COUNTIF(PLANPRODUCCION[[#This Row],[OBSERVACIONES]],"NO APLICA BONO*")&gt;0,TRUE,FALSE)</f>
        <v>0</v>
      </c>
    </row>
    <row r="324" spans="1:32" x14ac:dyDescent="0.25">
      <c r="A324" s="46" t="str">
        <f>UPPER(IF(PLANPRODUCCION[[#This Row],[FECHA]]&lt;=45701,_xlfn.CONCAT(TEXT(B324,"MMM"),"-",IF(ROW(A324)&lt;11,"000"&amp;ROW(A324)-1,IF(ROW(A324)&lt;101,"00"&amp;ROW(A324)-1,IF(ROW(A324)&lt;1001,"0"&amp;ROW(A324)-1,ROW(A324)-1))),"-OLD"),_xlfn.CONCAT(TEXT(B324,"MMM"),"-",IF(ROW(A324)&lt;473,"000"&amp;ROW(A324)-463,IF(ROW(A324)&lt;563,"00"&amp;ROW(A324)-463,IF(ROW(A324)&lt;1001,"0"&amp;ROW(A324)-463,ROW(A324)-463))))))</f>
        <v>ENE-0323-OLD</v>
      </c>
      <c r="B324" s="1">
        <v>45687</v>
      </c>
      <c r="C324" s="5"/>
      <c r="D324" s="5"/>
      <c r="E324" t="s">
        <v>54</v>
      </c>
      <c r="F324" s="32"/>
      <c r="G324" s="32"/>
      <c r="H324" s="5">
        <v>1562</v>
      </c>
      <c r="I324" t="s">
        <v>444</v>
      </c>
      <c r="J324" t="s">
        <v>445</v>
      </c>
      <c r="K324" s="5"/>
      <c r="L324" s="10" t="s">
        <v>57</v>
      </c>
      <c r="M324" s="49">
        <v>1.2</v>
      </c>
      <c r="N324" s="34">
        <f>PLANPRODUCCION[[#This Row],[PIEZAS PLANEADAS]]*PLANPRODUCCION[[#This Row],[PRECIO MAQUILAS]]</f>
        <v>0</v>
      </c>
      <c r="O324" s="5">
        <v>3</v>
      </c>
      <c r="P324" s="2">
        <v>0.60069444444444442</v>
      </c>
      <c r="Q324" s="2">
        <v>0.66666666666666663</v>
      </c>
      <c r="R324" s="24">
        <v>240</v>
      </c>
      <c r="S324" s="35">
        <f>PLANPRODUCCION[[#This Row],[PRECIO MAQUILAS]]*PLANPRODUCCION[[#This Row],[PIEZAS REAL]]</f>
        <v>288</v>
      </c>
      <c r="T32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2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2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294.5</v>
      </c>
      <c r="W32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-6.5</v>
      </c>
      <c r="X324" s="8"/>
      <c r="Y32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2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2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24" s="13" t="e">
        <f>IF(PLANPRODUCCION[[#This Row],[PIEZAS REAL]]&gt;0,PLANPRODUCCION[[#This Row],[PIEZAS REAL]]/PLANPRODUCCION[[#This Row],[PIEZAS ACTUALIZADO]],)</f>
        <v>#DIV/0!</v>
      </c>
      <c r="AC324" s="10" t="b">
        <f>PLANPRODUCCION[[#This Row],[INGRESO PLANEADO]]&lt;PLANPRODUCCION[[#This Row],[COSTO PLANEADO]]</f>
        <v>0</v>
      </c>
      <c r="AD324" s="46" t="s">
        <v>446</v>
      </c>
      <c r="AE324" s="10"/>
      <c r="AF324" s="10" t="b">
        <f>IF(COUNTIF(PLANPRODUCCION[[#This Row],[OBSERVACIONES]],"NO APLICA BONO*")&gt;0,TRUE,FALSE)</f>
        <v>0</v>
      </c>
    </row>
    <row r="325" spans="1:32" x14ac:dyDescent="0.25">
      <c r="A325" s="46" t="str">
        <f>UPPER(IF(PLANPRODUCCION[[#This Row],[FECHA]]&lt;=45701,_xlfn.CONCAT(TEXT(B325,"MMM"),"-",IF(ROW(A325)&lt;11,"000"&amp;ROW(A325)-1,IF(ROW(A325)&lt;101,"00"&amp;ROW(A325)-1,IF(ROW(A325)&lt;1001,"0"&amp;ROW(A325)-1,ROW(A325)-1))),"-OLD"),_xlfn.CONCAT(TEXT(B325,"MMM"),"-",IF(ROW(A325)&lt;473,"000"&amp;ROW(A325)-463,IF(ROW(A325)&lt;563,"00"&amp;ROW(A325)-463,IF(ROW(A325)&lt;1001,"0"&amp;ROW(A325)-463,ROW(A325)-463))))))</f>
        <v>ENE-0324-OLD</v>
      </c>
      <c r="B325" s="1">
        <v>45687</v>
      </c>
      <c r="C325" s="5"/>
      <c r="D325" s="5"/>
      <c r="E325" t="s">
        <v>67</v>
      </c>
      <c r="F325" s="32"/>
      <c r="G325" s="32"/>
      <c r="H325" s="5">
        <v>1559</v>
      </c>
      <c r="I325" t="s">
        <v>420</v>
      </c>
      <c r="J325" t="s">
        <v>421</v>
      </c>
      <c r="K325" s="5"/>
      <c r="L325" s="10" t="s">
        <v>83</v>
      </c>
      <c r="M325" s="49">
        <v>35.4</v>
      </c>
      <c r="N325" s="34">
        <f>PLANPRODUCCION[[#This Row],[PIEZAS PLANEADAS]]*PLANPRODUCCION[[#This Row],[PRECIO MAQUILAS]]</f>
        <v>0</v>
      </c>
      <c r="O325" s="5">
        <v>3</v>
      </c>
      <c r="P325" s="2">
        <v>0.33333333333333331</v>
      </c>
      <c r="Q325" s="2">
        <v>0.75</v>
      </c>
      <c r="R325" s="24">
        <v>77</v>
      </c>
      <c r="S325" s="35">
        <f>PLANPRODUCCION[[#This Row],[PRECIO MAQUILAS]]*PLANPRODUCCION[[#This Row],[PIEZAS REAL]]</f>
        <v>2725.7999999999997</v>
      </c>
      <c r="T32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2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2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32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865.79999999999973</v>
      </c>
      <c r="X325" s="8"/>
      <c r="Y32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2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2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25" s="13" t="e">
        <f>IF(PLANPRODUCCION[[#This Row],[PIEZAS REAL]]&gt;0,PLANPRODUCCION[[#This Row],[PIEZAS REAL]]/PLANPRODUCCION[[#This Row],[PIEZAS ACTUALIZADO]],)</f>
        <v>#DIV/0!</v>
      </c>
      <c r="AC325" s="10" t="b">
        <f>PLANPRODUCCION[[#This Row],[INGRESO PLANEADO]]&lt;PLANPRODUCCION[[#This Row],[COSTO PLANEADO]]</f>
        <v>0</v>
      </c>
      <c r="AD325" s="46" t="s">
        <v>447</v>
      </c>
      <c r="AE325" s="10"/>
      <c r="AF325" s="10" t="b">
        <f>IF(COUNTIF(PLANPRODUCCION[[#This Row],[OBSERVACIONES]],"NO APLICA BONO*")&gt;0,TRUE,FALSE)</f>
        <v>0</v>
      </c>
    </row>
    <row r="326" spans="1:32" x14ac:dyDescent="0.25">
      <c r="A326" s="46" t="str">
        <f>UPPER(IF(PLANPRODUCCION[[#This Row],[FECHA]]&lt;=45701,_xlfn.CONCAT(TEXT(B326,"MMM"),"-",IF(ROW(A326)&lt;11,"000"&amp;ROW(A326)-1,IF(ROW(A326)&lt;101,"00"&amp;ROW(A326)-1,IF(ROW(A326)&lt;1001,"0"&amp;ROW(A326)-1,ROW(A326)-1))),"-OLD"),_xlfn.CONCAT(TEXT(B326,"MMM"),"-",IF(ROW(A326)&lt;473,"000"&amp;ROW(A326)-463,IF(ROW(A326)&lt;563,"00"&amp;ROW(A326)-463,IF(ROW(A326)&lt;1001,"0"&amp;ROW(A326)-463,ROW(A326)-463))))))</f>
        <v>ENE-0325-OLD</v>
      </c>
      <c r="B326" s="1">
        <v>45687</v>
      </c>
      <c r="C326" s="5"/>
      <c r="D326" s="5"/>
      <c r="E326" t="s">
        <v>67</v>
      </c>
      <c r="F326" s="32"/>
      <c r="G326" s="32"/>
      <c r="H326" s="5">
        <v>1559</v>
      </c>
      <c r="I326" t="s">
        <v>420</v>
      </c>
      <c r="J326" t="s">
        <v>421</v>
      </c>
      <c r="K326" s="5"/>
      <c r="L326" s="10" t="s">
        <v>83</v>
      </c>
      <c r="M326" s="49">
        <v>35.4</v>
      </c>
      <c r="N326" s="34">
        <f>PLANPRODUCCION[[#This Row],[PIEZAS PLANEADAS]]*PLANPRODUCCION[[#This Row],[PRECIO MAQUILAS]]</f>
        <v>0</v>
      </c>
      <c r="O326" s="5">
        <v>3</v>
      </c>
      <c r="P326" s="2">
        <v>0.33333333333333331</v>
      </c>
      <c r="Q326" s="2">
        <v>0.75</v>
      </c>
      <c r="R326" s="24">
        <v>103</v>
      </c>
      <c r="S326" s="35">
        <f>PLANPRODUCCION[[#This Row],[PRECIO MAQUILAS]]*PLANPRODUCCION[[#This Row],[PIEZAS REAL]]</f>
        <v>3646.2</v>
      </c>
      <c r="T32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2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2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32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1786.1999999999998</v>
      </c>
      <c r="X326" s="8"/>
      <c r="Y32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2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2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26" s="13" t="e">
        <f>IF(PLANPRODUCCION[[#This Row],[PIEZAS REAL]]&gt;0,PLANPRODUCCION[[#This Row],[PIEZAS REAL]]/PLANPRODUCCION[[#This Row],[PIEZAS ACTUALIZADO]],)</f>
        <v>#DIV/0!</v>
      </c>
      <c r="AC326" s="10" t="b">
        <f>PLANPRODUCCION[[#This Row],[INGRESO PLANEADO]]&lt;PLANPRODUCCION[[#This Row],[COSTO PLANEADO]]</f>
        <v>0</v>
      </c>
      <c r="AD326" s="46" t="s">
        <v>448</v>
      </c>
      <c r="AE326" s="10"/>
      <c r="AF326" s="10" t="b">
        <f>IF(COUNTIF(PLANPRODUCCION[[#This Row],[OBSERVACIONES]],"NO APLICA BONO*")&gt;0,TRUE,FALSE)</f>
        <v>0</v>
      </c>
    </row>
    <row r="327" spans="1:32" x14ac:dyDescent="0.25">
      <c r="A327" s="46" t="str">
        <f>UPPER(IF(PLANPRODUCCION[[#This Row],[FECHA]]&lt;=45701,_xlfn.CONCAT(TEXT(B327,"MMM"),"-",IF(ROW(A327)&lt;11,"000"&amp;ROW(A327)-1,IF(ROW(A327)&lt;101,"00"&amp;ROW(A327)-1,IF(ROW(A327)&lt;1001,"0"&amp;ROW(A327)-1,ROW(A327)-1))),"-OLD"),_xlfn.CONCAT(TEXT(B327,"MMM"),"-",IF(ROW(A327)&lt;473,"000"&amp;ROW(A327)-463,IF(ROW(A327)&lt;563,"00"&amp;ROW(A327)-463,IF(ROW(A327)&lt;1001,"0"&amp;ROW(A327)-463,ROW(A327)-463))))))</f>
        <v>ENE-0326-OLD</v>
      </c>
      <c r="B327" s="1">
        <v>45687</v>
      </c>
      <c r="C327" s="5"/>
      <c r="D327" s="5"/>
      <c r="E327" t="s">
        <v>110</v>
      </c>
      <c r="F327" s="32"/>
      <c r="G327" s="32"/>
      <c r="H327" s="5">
        <v>1514</v>
      </c>
      <c r="I327" t="s">
        <v>141</v>
      </c>
      <c r="J327" t="s">
        <v>144</v>
      </c>
      <c r="K327" s="5"/>
      <c r="L327" s="10" t="s">
        <v>57</v>
      </c>
      <c r="M327" s="49">
        <v>1</v>
      </c>
      <c r="N327" s="34">
        <f>PLANPRODUCCION[[#This Row],[PIEZAS PLANEADAS]]*PLANPRODUCCION[[#This Row],[PRECIO MAQUILAS]]</f>
        <v>0</v>
      </c>
      <c r="O327" s="5">
        <v>2</v>
      </c>
      <c r="P327" s="2">
        <v>0.54166666666666663</v>
      </c>
      <c r="Q327" s="2">
        <v>0.875</v>
      </c>
      <c r="R327" s="24">
        <v>856</v>
      </c>
      <c r="S327" s="35">
        <f>PLANPRODUCCION[[#This Row],[PRECIO MAQUILAS]]*PLANPRODUCCION[[#This Row],[PIEZAS REAL]]</f>
        <v>856</v>
      </c>
      <c r="T32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2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2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32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-384</v>
      </c>
      <c r="X327" s="8"/>
      <c r="Y32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2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2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27" s="13" t="e">
        <f>IF(PLANPRODUCCION[[#This Row],[PIEZAS REAL]]&gt;0,PLANPRODUCCION[[#This Row],[PIEZAS REAL]]/PLANPRODUCCION[[#This Row],[PIEZAS ACTUALIZADO]],)</f>
        <v>#DIV/0!</v>
      </c>
      <c r="AC327" s="10" t="b">
        <f>PLANPRODUCCION[[#This Row],[INGRESO PLANEADO]]&lt;PLANPRODUCCION[[#This Row],[COSTO PLANEADO]]</f>
        <v>0</v>
      </c>
      <c r="AD327" s="46" t="s">
        <v>449</v>
      </c>
      <c r="AE327" s="10"/>
      <c r="AF327" s="10" t="b">
        <f>IF(COUNTIF(PLANPRODUCCION[[#This Row],[OBSERVACIONES]],"NO APLICA BONO*")&gt;0,TRUE,FALSE)</f>
        <v>0</v>
      </c>
    </row>
    <row r="328" spans="1:32" x14ac:dyDescent="0.25">
      <c r="A328" s="46" t="str">
        <f>UPPER(IF(PLANPRODUCCION[[#This Row],[FECHA]]&lt;=45701,_xlfn.CONCAT(TEXT(B328,"MMM"),"-",IF(ROW(A328)&lt;11,"000"&amp;ROW(A328)-1,IF(ROW(A328)&lt;101,"00"&amp;ROW(A328)-1,IF(ROW(A328)&lt;1001,"0"&amp;ROW(A328)-1,ROW(A328)-1))),"-OLD"),_xlfn.CONCAT(TEXT(B328,"MMM"),"-",IF(ROW(A328)&lt;473,"000"&amp;ROW(A328)-463,IF(ROW(A328)&lt;563,"00"&amp;ROW(A328)-463,IF(ROW(A328)&lt;1001,"0"&amp;ROW(A328)-463,ROW(A328)-463))))))</f>
        <v>ENE-0327-OLD</v>
      </c>
      <c r="B328" s="1">
        <v>45687</v>
      </c>
      <c r="C328" s="5"/>
      <c r="D328" s="5"/>
      <c r="E328" t="s">
        <v>110</v>
      </c>
      <c r="F328" s="32"/>
      <c r="G328" s="32"/>
      <c r="H328" s="5">
        <v>1514</v>
      </c>
      <c r="I328" t="s">
        <v>141</v>
      </c>
      <c r="J328" t="s">
        <v>142</v>
      </c>
      <c r="K328" s="5"/>
      <c r="L328" s="10" t="s">
        <v>57</v>
      </c>
      <c r="M328" s="49">
        <v>0.5</v>
      </c>
      <c r="N328" s="34">
        <f>PLANPRODUCCION[[#This Row],[PIEZAS PLANEADAS]]*PLANPRODUCCION[[#This Row],[PRECIO MAQUILAS]]</f>
        <v>0</v>
      </c>
      <c r="O328" s="5">
        <v>1</v>
      </c>
      <c r="P328" s="2">
        <v>0.54166666666666663</v>
      </c>
      <c r="Q328" s="2">
        <v>0.875</v>
      </c>
      <c r="R328" s="24">
        <v>2634</v>
      </c>
      <c r="S328" s="35">
        <f>PLANPRODUCCION[[#This Row],[PRECIO MAQUILAS]]*PLANPRODUCCION[[#This Row],[PIEZAS REAL]]</f>
        <v>1317</v>
      </c>
      <c r="T32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2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2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32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697</v>
      </c>
      <c r="X328" s="8"/>
      <c r="Y32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2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2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28" s="13" t="e">
        <f>IF(PLANPRODUCCION[[#This Row],[PIEZAS REAL]]&gt;0,PLANPRODUCCION[[#This Row],[PIEZAS REAL]]/PLANPRODUCCION[[#This Row],[PIEZAS ACTUALIZADO]],)</f>
        <v>#DIV/0!</v>
      </c>
      <c r="AC328" s="10" t="b">
        <f>PLANPRODUCCION[[#This Row],[INGRESO PLANEADO]]&lt;PLANPRODUCCION[[#This Row],[COSTO PLANEADO]]</f>
        <v>0</v>
      </c>
      <c r="AD328" s="46" t="s">
        <v>450</v>
      </c>
      <c r="AE328" s="10"/>
      <c r="AF328" s="10" t="b">
        <f>IF(COUNTIF(PLANPRODUCCION[[#This Row],[OBSERVACIONES]],"NO APLICA BONO*")&gt;0,TRUE,FALSE)</f>
        <v>0</v>
      </c>
    </row>
    <row r="329" spans="1:32" x14ac:dyDescent="0.25">
      <c r="A329" s="46" t="str">
        <f>UPPER(IF(PLANPRODUCCION[[#This Row],[FECHA]]&lt;=45701,_xlfn.CONCAT(TEXT(B329,"MMM"),"-",IF(ROW(A329)&lt;11,"000"&amp;ROW(A329)-1,IF(ROW(A329)&lt;101,"00"&amp;ROW(A329)-1,IF(ROW(A329)&lt;1001,"0"&amp;ROW(A329)-1,ROW(A329)-1))),"-OLD"),_xlfn.CONCAT(TEXT(B329,"MMM"),"-",IF(ROW(A329)&lt;473,"000"&amp;ROW(A329)-463,IF(ROW(A329)&lt;563,"00"&amp;ROW(A329)-463,IF(ROW(A329)&lt;1001,"0"&amp;ROW(A329)-463,ROW(A329)-463))))))</f>
        <v>ENE-0328-OLD</v>
      </c>
      <c r="B329" s="1">
        <v>45687</v>
      </c>
      <c r="C329" s="5"/>
      <c r="D329" s="5"/>
      <c r="E329" t="s">
        <v>72</v>
      </c>
      <c r="F329" s="32"/>
      <c r="G329" s="32"/>
      <c r="H329" s="5">
        <v>1514</v>
      </c>
      <c r="I329" t="s">
        <v>141</v>
      </c>
      <c r="J329" t="s">
        <v>144</v>
      </c>
      <c r="K329" s="5"/>
      <c r="L329" s="10" t="s">
        <v>57</v>
      </c>
      <c r="M329" s="49">
        <v>1</v>
      </c>
      <c r="N329" s="34">
        <f>PLANPRODUCCION[[#This Row],[PIEZAS PLANEADAS]]*PLANPRODUCCION[[#This Row],[PRECIO MAQUILAS]]</f>
        <v>0</v>
      </c>
      <c r="O329" s="5">
        <v>4</v>
      </c>
      <c r="P329" s="2">
        <v>0.66666666666666663</v>
      </c>
      <c r="Q329" s="2">
        <v>0.875</v>
      </c>
      <c r="R329" s="24">
        <v>1066</v>
      </c>
      <c r="S329" s="35">
        <f>PLANPRODUCCION[[#This Row],[PRECIO MAQUILAS]]*PLANPRODUCCION[[#This Row],[PIEZAS REAL]]</f>
        <v>1066</v>
      </c>
      <c r="T32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2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2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32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-174</v>
      </c>
      <c r="X329" s="8"/>
      <c r="Y32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2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2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29" s="13" t="e">
        <f>IF(PLANPRODUCCION[[#This Row],[PIEZAS REAL]]&gt;0,PLANPRODUCCION[[#This Row],[PIEZAS REAL]]/PLANPRODUCCION[[#This Row],[PIEZAS ACTUALIZADO]],)</f>
        <v>#DIV/0!</v>
      </c>
      <c r="AC329" s="10" t="b">
        <f>PLANPRODUCCION[[#This Row],[INGRESO PLANEADO]]&lt;PLANPRODUCCION[[#This Row],[COSTO PLANEADO]]</f>
        <v>0</v>
      </c>
      <c r="AD329" s="46" t="s">
        <v>451</v>
      </c>
      <c r="AE329" s="10"/>
      <c r="AF329" s="10" t="b">
        <f>IF(COUNTIF(PLANPRODUCCION[[#This Row],[OBSERVACIONES]],"NO APLICA BONO*")&gt;0,TRUE,FALSE)</f>
        <v>0</v>
      </c>
    </row>
    <row r="330" spans="1:32" x14ac:dyDescent="0.25">
      <c r="A330" s="46" t="str">
        <f>UPPER(IF(PLANPRODUCCION[[#This Row],[FECHA]]&lt;=45701,_xlfn.CONCAT(TEXT(B330,"MMM"),"-",IF(ROW(A330)&lt;11,"000"&amp;ROW(A330)-1,IF(ROW(A330)&lt;101,"00"&amp;ROW(A330)-1,IF(ROW(A330)&lt;1001,"0"&amp;ROW(A330)-1,ROW(A330)-1))),"-OLD"),_xlfn.CONCAT(TEXT(B330,"MMM"),"-",IF(ROW(A330)&lt;473,"000"&amp;ROW(A330)-463,IF(ROW(A330)&lt;563,"00"&amp;ROW(A330)-463,IF(ROW(A330)&lt;1001,"0"&amp;ROW(A330)-463,ROW(A330)-463))))))</f>
        <v>ENE-0329-OLD</v>
      </c>
      <c r="B330" s="1">
        <v>45687</v>
      </c>
      <c r="C330" s="5"/>
      <c r="D330" s="5"/>
      <c r="E330" t="s">
        <v>72</v>
      </c>
      <c r="F330" s="32"/>
      <c r="G330" s="32"/>
      <c r="H330" s="5">
        <v>1514</v>
      </c>
      <c r="I330" t="s">
        <v>141</v>
      </c>
      <c r="J330" t="s">
        <v>144</v>
      </c>
      <c r="K330" s="5"/>
      <c r="L330" s="10" t="s">
        <v>57</v>
      </c>
      <c r="M330" s="49">
        <v>1</v>
      </c>
      <c r="N330" s="34">
        <f>PLANPRODUCCION[[#This Row],[PIEZAS PLANEADAS]]*PLANPRODUCCION[[#This Row],[PRECIO MAQUILAS]]</f>
        <v>0</v>
      </c>
      <c r="O330" s="5">
        <v>3</v>
      </c>
      <c r="P330" s="2">
        <v>0.66666666666666663</v>
      </c>
      <c r="Q330" s="2">
        <v>0.875</v>
      </c>
      <c r="R330" s="24">
        <v>832</v>
      </c>
      <c r="S330" s="35">
        <f>PLANPRODUCCION[[#This Row],[PRECIO MAQUILAS]]*PLANPRODUCCION[[#This Row],[PIEZAS REAL]]</f>
        <v>832</v>
      </c>
      <c r="T33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3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3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33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-98</v>
      </c>
      <c r="X330" s="8"/>
      <c r="Y33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3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3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30" s="13" t="e">
        <f>IF(PLANPRODUCCION[[#This Row],[PIEZAS REAL]]&gt;0,PLANPRODUCCION[[#This Row],[PIEZAS REAL]]/PLANPRODUCCION[[#This Row],[PIEZAS ACTUALIZADO]],)</f>
        <v>#DIV/0!</v>
      </c>
      <c r="AC330" s="10" t="b">
        <f>PLANPRODUCCION[[#This Row],[INGRESO PLANEADO]]&lt;PLANPRODUCCION[[#This Row],[COSTO PLANEADO]]</f>
        <v>0</v>
      </c>
      <c r="AD330" s="46" t="s">
        <v>452</v>
      </c>
      <c r="AE330" s="10"/>
      <c r="AF330" s="10" t="b">
        <f>IF(COUNTIF(PLANPRODUCCION[[#This Row],[OBSERVACIONES]],"NO APLICA BONO*")&gt;0,TRUE,FALSE)</f>
        <v>0</v>
      </c>
    </row>
    <row r="331" spans="1:32" x14ac:dyDescent="0.25">
      <c r="A331" s="46" t="str">
        <f>UPPER(IF(PLANPRODUCCION[[#This Row],[FECHA]]&lt;=45701,_xlfn.CONCAT(TEXT(B331,"MMM"),"-",IF(ROW(A331)&lt;11,"000"&amp;ROW(A331)-1,IF(ROW(A331)&lt;101,"00"&amp;ROW(A331)-1,IF(ROW(A331)&lt;1001,"0"&amp;ROW(A331)-1,ROW(A331)-1))),"-OLD"),_xlfn.CONCAT(TEXT(B331,"MMM"),"-",IF(ROW(A331)&lt;473,"000"&amp;ROW(A331)-463,IF(ROW(A331)&lt;563,"00"&amp;ROW(A331)-463,IF(ROW(A331)&lt;1001,"0"&amp;ROW(A331)-463,ROW(A331)-463))))))</f>
        <v>ENE-0330-OLD</v>
      </c>
      <c r="B331" s="1">
        <v>45687</v>
      </c>
      <c r="C331" s="5"/>
      <c r="D331" s="5"/>
      <c r="E331" t="s">
        <v>72</v>
      </c>
      <c r="F331" s="32"/>
      <c r="G331" s="32"/>
      <c r="H331" s="5">
        <v>1514</v>
      </c>
      <c r="I331" t="s">
        <v>141</v>
      </c>
      <c r="J331" t="s">
        <v>142</v>
      </c>
      <c r="K331" s="5"/>
      <c r="L331" s="10" t="s">
        <v>57</v>
      </c>
      <c r="M331" s="49">
        <v>0.3</v>
      </c>
      <c r="N331" s="34">
        <f>PLANPRODUCCION[[#This Row],[PIEZAS PLANEADAS]]*PLANPRODUCCION[[#This Row],[PRECIO MAQUILAS]]</f>
        <v>0</v>
      </c>
      <c r="O331" s="5">
        <v>1</v>
      </c>
      <c r="P331" s="2">
        <v>0.66666666666666663</v>
      </c>
      <c r="Q331" s="2">
        <v>0.875</v>
      </c>
      <c r="R331" s="24">
        <v>2634</v>
      </c>
      <c r="S331" s="35">
        <f>PLANPRODUCCION[[#This Row],[PRECIO MAQUILAS]]*PLANPRODUCCION[[#This Row],[PIEZAS REAL]]</f>
        <v>790.19999999999993</v>
      </c>
      <c r="T33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3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3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33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480.19999999999993</v>
      </c>
      <c r="X331" s="8"/>
      <c r="Y33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3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3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31" s="13" t="e">
        <f>IF(PLANPRODUCCION[[#This Row],[PIEZAS REAL]]&gt;0,PLANPRODUCCION[[#This Row],[PIEZAS REAL]]/PLANPRODUCCION[[#This Row],[PIEZAS ACTUALIZADO]],)</f>
        <v>#DIV/0!</v>
      </c>
      <c r="AC331" s="10" t="b">
        <f>PLANPRODUCCION[[#This Row],[INGRESO PLANEADO]]&lt;PLANPRODUCCION[[#This Row],[COSTO PLANEADO]]</f>
        <v>0</v>
      </c>
      <c r="AD331" s="46" t="s">
        <v>453</v>
      </c>
      <c r="AE331" s="10"/>
      <c r="AF331" s="10" t="b">
        <f>IF(COUNTIF(PLANPRODUCCION[[#This Row],[OBSERVACIONES]],"NO APLICA BONO*")&gt;0,TRUE,FALSE)</f>
        <v>0</v>
      </c>
    </row>
    <row r="332" spans="1:32" x14ac:dyDescent="0.25">
      <c r="A332" s="46" t="str">
        <f>UPPER(IF(PLANPRODUCCION[[#This Row],[FECHA]]&lt;=45701,_xlfn.CONCAT(TEXT(B332,"MMM"),"-",IF(ROW(A332)&lt;11,"000"&amp;ROW(A332)-1,IF(ROW(A332)&lt;101,"00"&amp;ROW(A332)-1,IF(ROW(A332)&lt;1001,"0"&amp;ROW(A332)-1,ROW(A332)-1))),"-OLD"),_xlfn.CONCAT(TEXT(B332,"MMM"),"-",IF(ROW(A332)&lt;473,"000"&amp;ROW(A332)-463,IF(ROW(A332)&lt;563,"00"&amp;ROW(A332)-463,IF(ROW(A332)&lt;1001,"0"&amp;ROW(A332)-463,ROW(A332)-463))))))</f>
        <v>ENE-0331-OLD</v>
      </c>
      <c r="B332" s="1">
        <v>45687</v>
      </c>
      <c r="C332" s="5"/>
      <c r="D332" s="5"/>
      <c r="E332" t="s">
        <v>72</v>
      </c>
      <c r="F332" s="32"/>
      <c r="G332" s="32"/>
      <c r="H332" s="5">
        <v>1559</v>
      </c>
      <c r="I332" t="s">
        <v>420</v>
      </c>
      <c r="J332" t="s">
        <v>421</v>
      </c>
      <c r="K332" s="5"/>
      <c r="L332" s="10" t="s">
        <v>83</v>
      </c>
      <c r="M332" s="49">
        <v>35.4</v>
      </c>
      <c r="N332" s="34">
        <f>PLANPRODUCCION[[#This Row],[PIEZAS PLANEADAS]]*PLANPRODUCCION[[#This Row],[PRECIO MAQUILAS]]</f>
        <v>0</v>
      </c>
      <c r="O332" s="5">
        <v>3</v>
      </c>
      <c r="P332" s="2">
        <v>0.72916666666666663</v>
      </c>
      <c r="Q332" s="2">
        <v>0.75</v>
      </c>
      <c r="R332" s="24">
        <v>3</v>
      </c>
      <c r="S332" s="35">
        <f>PLANPRODUCCION[[#This Row],[PRECIO MAQUILAS]]*PLANPRODUCCION[[#This Row],[PIEZAS REAL]]</f>
        <v>106.19999999999999</v>
      </c>
      <c r="T33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3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3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</v>
      </c>
      <c r="W33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13.199999999999989</v>
      </c>
      <c r="X332" s="8"/>
      <c r="Y33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3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3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32" s="13" t="e">
        <f>IF(PLANPRODUCCION[[#This Row],[PIEZAS REAL]]&gt;0,PLANPRODUCCION[[#This Row],[PIEZAS REAL]]/PLANPRODUCCION[[#This Row],[PIEZAS ACTUALIZADO]],)</f>
        <v>#DIV/0!</v>
      </c>
      <c r="AC332" s="10" t="b">
        <f>PLANPRODUCCION[[#This Row],[INGRESO PLANEADO]]&lt;PLANPRODUCCION[[#This Row],[COSTO PLANEADO]]</f>
        <v>0</v>
      </c>
      <c r="AD332" s="46" t="s">
        <v>454</v>
      </c>
      <c r="AE332" s="10"/>
      <c r="AF332" s="10" t="b">
        <f>IF(COUNTIF(PLANPRODUCCION[[#This Row],[OBSERVACIONES]],"NO APLICA BONO*")&gt;0,TRUE,FALSE)</f>
        <v>0</v>
      </c>
    </row>
    <row r="333" spans="1:32" x14ac:dyDescent="0.25">
      <c r="A333" s="46" t="str">
        <f>UPPER(IF(PLANPRODUCCION[[#This Row],[FECHA]]&lt;=45701,_xlfn.CONCAT(TEXT(B333,"MMM"),"-",IF(ROW(A333)&lt;11,"000"&amp;ROW(A333)-1,IF(ROW(A333)&lt;101,"00"&amp;ROW(A333)-1,IF(ROW(A333)&lt;1001,"0"&amp;ROW(A333)-1,ROW(A333)-1))),"-OLD"),_xlfn.CONCAT(TEXT(B333,"MMM"),"-",IF(ROW(A333)&lt;473,"000"&amp;ROW(A333)-463,IF(ROW(A333)&lt;563,"00"&amp;ROW(A333)-463,IF(ROW(A333)&lt;1001,"0"&amp;ROW(A333)-463,ROW(A333)-463))))))</f>
        <v>ENE-0332-OLD</v>
      </c>
      <c r="B333" s="1">
        <v>45687</v>
      </c>
      <c r="C333" s="5"/>
      <c r="D333" s="5"/>
      <c r="E333" t="s">
        <v>75</v>
      </c>
      <c r="F333" s="32"/>
      <c r="G333" s="32"/>
      <c r="H333" s="5">
        <v>1514</v>
      </c>
      <c r="I333" t="s">
        <v>141</v>
      </c>
      <c r="J333" t="s">
        <v>148</v>
      </c>
      <c r="K333" s="5"/>
      <c r="L333" s="10" t="s">
        <v>83</v>
      </c>
      <c r="M333" s="49">
        <v>30</v>
      </c>
      <c r="N333" s="34">
        <f>PLANPRODUCCION[[#This Row],[PIEZAS PLANEADAS]]*PLANPRODUCCION[[#This Row],[PRECIO MAQUILAS]]</f>
        <v>0</v>
      </c>
      <c r="O333" s="5">
        <v>9</v>
      </c>
      <c r="P333" s="2">
        <v>0.875</v>
      </c>
      <c r="Q333" s="2">
        <v>0.25</v>
      </c>
      <c r="R333" s="24">
        <v>272</v>
      </c>
      <c r="S333" s="35">
        <f>PLANPRODUCCION[[#This Row],[PRECIO MAQUILAS]]*PLANPRODUCCION[[#This Row],[PIEZAS REAL]]</f>
        <v>8160</v>
      </c>
      <c r="T33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3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3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6750</v>
      </c>
      <c r="W33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1410</v>
      </c>
      <c r="X333" s="8"/>
      <c r="Y33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3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3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33" s="13" t="e">
        <f>IF(PLANPRODUCCION[[#This Row],[PIEZAS REAL]]&gt;0,PLANPRODUCCION[[#This Row],[PIEZAS REAL]]/PLANPRODUCCION[[#This Row],[PIEZAS ACTUALIZADO]],)</f>
        <v>#DIV/0!</v>
      </c>
      <c r="AC333" s="10" t="b">
        <f>PLANPRODUCCION[[#This Row],[INGRESO PLANEADO]]&lt;PLANPRODUCCION[[#This Row],[COSTO PLANEADO]]</f>
        <v>0</v>
      </c>
      <c r="AD333" s="46" t="s">
        <v>455</v>
      </c>
      <c r="AE333" s="10"/>
      <c r="AF333" s="10" t="b">
        <f>IF(COUNTIF(PLANPRODUCCION[[#This Row],[OBSERVACIONES]],"NO APLICA BONO*")&gt;0,TRUE,FALSE)</f>
        <v>0</v>
      </c>
    </row>
    <row r="334" spans="1:32" x14ac:dyDescent="0.25">
      <c r="A334" s="46" t="str">
        <f>UPPER(IF(PLANPRODUCCION[[#This Row],[FECHA]]&lt;=45701,_xlfn.CONCAT(TEXT(B334,"MMM"),"-",IF(ROW(A334)&lt;11,"000"&amp;ROW(A334)-1,IF(ROW(A334)&lt;101,"00"&amp;ROW(A334)-1,IF(ROW(A334)&lt;1001,"0"&amp;ROW(A334)-1,ROW(A334)-1))),"-OLD"),_xlfn.CONCAT(TEXT(B334,"MMM"),"-",IF(ROW(A334)&lt;473,"000"&amp;ROW(A334)-463,IF(ROW(A334)&lt;563,"00"&amp;ROW(A334)-463,IF(ROW(A334)&lt;1001,"0"&amp;ROW(A334)-463,ROW(A334)-463))))))</f>
        <v>ENE-0333-OLD</v>
      </c>
      <c r="B334" s="1">
        <v>45688</v>
      </c>
      <c r="C334" s="5"/>
      <c r="D334" s="5"/>
      <c r="E334" t="s">
        <v>54</v>
      </c>
      <c r="F334" s="32"/>
      <c r="G334" s="32"/>
      <c r="H334" s="5">
        <v>1559</v>
      </c>
      <c r="I334" t="s">
        <v>420</v>
      </c>
      <c r="J334" t="s">
        <v>421</v>
      </c>
      <c r="K334" s="5"/>
      <c r="L334" s="10" t="s">
        <v>83</v>
      </c>
      <c r="M334" s="49">
        <v>35.4</v>
      </c>
      <c r="N334" s="34">
        <f>PLANPRODUCCION[[#This Row],[PIEZAS PLANEADAS]]*PLANPRODUCCION[[#This Row],[PRECIO MAQUILAS]]</f>
        <v>0</v>
      </c>
      <c r="O334" s="5">
        <v>3</v>
      </c>
      <c r="P334" s="2">
        <v>0.61805555555555558</v>
      </c>
      <c r="Q334" s="2">
        <v>0.66666666666666663</v>
      </c>
      <c r="R334" s="24">
        <v>10</v>
      </c>
      <c r="S334" s="35">
        <f>PLANPRODUCCION[[#This Row],[PRECIO MAQUILAS]]*PLANPRODUCCION[[#This Row],[PIEZAS REAL]]</f>
        <v>354</v>
      </c>
      <c r="T33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3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3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217.00000000000003</v>
      </c>
      <c r="W33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136.99999999999997</v>
      </c>
      <c r="X334" s="8"/>
      <c r="Y33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3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3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34" s="13" t="e">
        <f>IF(PLANPRODUCCION[[#This Row],[PIEZAS REAL]]&gt;0,PLANPRODUCCION[[#This Row],[PIEZAS REAL]]/PLANPRODUCCION[[#This Row],[PIEZAS ACTUALIZADO]],)</f>
        <v>#DIV/0!</v>
      </c>
      <c r="AC334" s="10" t="b">
        <f>PLANPRODUCCION[[#This Row],[INGRESO PLANEADO]]&lt;PLANPRODUCCION[[#This Row],[COSTO PLANEADO]]</f>
        <v>0</v>
      </c>
      <c r="AD334" s="46" t="s">
        <v>456</v>
      </c>
      <c r="AE334" s="10"/>
      <c r="AF334" s="10" t="b">
        <f>IF(COUNTIF(PLANPRODUCCION[[#This Row],[OBSERVACIONES]],"NO APLICA BONO*")&gt;0,TRUE,FALSE)</f>
        <v>0</v>
      </c>
    </row>
    <row r="335" spans="1:32" x14ac:dyDescent="0.25">
      <c r="A335" s="46" t="str">
        <f>UPPER(IF(PLANPRODUCCION[[#This Row],[FECHA]]&lt;=45701,_xlfn.CONCAT(TEXT(B335,"MMM"),"-",IF(ROW(A335)&lt;11,"000"&amp;ROW(A335)-1,IF(ROW(A335)&lt;101,"00"&amp;ROW(A335)-1,IF(ROW(A335)&lt;1001,"0"&amp;ROW(A335)-1,ROW(A335)-1))),"-OLD"),_xlfn.CONCAT(TEXT(B335,"MMM"),"-",IF(ROW(A335)&lt;473,"000"&amp;ROW(A335)-463,IF(ROW(A335)&lt;563,"00"&amp;ROW(A335)-463,IF(ROW(A335)&lt;1001,"0"&amp;ROW(A335)-463,ROW(A335)-463))))))</f>
        <v>ENE-0334-OLD</v>
      </c>
      <c r="B335" s="1">
        <v>45688</v>
      </c>
      <c r="C335" s="5"/>
      <c r="D335" s="5"/>
      <c r="E335" t="s">
        <v>54</v>
      </c>
      <c r="F335" s="32"/>
      <c r="G335" s="32"/>
      <c r="H335" s="5">
        <v>1522</v>
      </c>
      <c r="I335" t="s">
        <v>434</v>
      </c>
      <c r="J335" t="s">
        <v>435</v>
      </c>
      <c r="K335" s="5"/>
      <c r="L335" s="10" t="s">
        <v>57</v>
      </c>
      <c r="M335" s="49">
        <v>0.3</v>
      </c>
      <c r="N335" s="34">
        <f>PLANPRODUCCION[[#This Row],[PIEZAS PLANEADAS]]*PLANPRODUCCION[[#This Row],[PRECIO MAQUILAS]]</f>
        <v>0</v>
      </c>
      <c r="O335" s="5">
        <v>1</v>
      </c>
      <c r="P335" s="2">
        <v>0.25</v>
      </c>
      <c r="Q335" s="2">
        <v>0.66666666666666663</v>
      </c>
      <c r="R335" s="24">
        <v>1021</v>
      </c>
      <c r="S335" s="35">
        <f>PLANPRODUCCION[[#This Row],[PRECIO MAQUILAS]]*PLANPRODUCCION[[#This Row],[PIEZAS REAL]]</f>
        <v>306.3</v>
      </c>
      <c r="T33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3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3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33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-313.7</v>
      </c>
      <c r="X335" s="8"/>
      <c r="Y33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3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3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35" s="13" t="e">
        <f>IF(PLANPRODUCCION[[#This Row],[PIEZAS REAL]]&gt;0,PLANPRODUCCION[[#This Row],[PIEZAS REAL]]/PLANPRODUCCION[[#This Row],[PIEZAS ACTUALIZADO]],)</f>
        <v>#DIV/0!</v>
      </c>
      <c r="AC335" s="10" t="b">
        <f>PLANPRODUCCION[[#This Row],[INGRESO PLANEADO]]&lt;PLANPRODUCCION[[#This Row],[COSTO PLANEADO]]</f>
        <v>0</v>
      </c>
      <c r="AD335" s="46" t="s">
        <v>457</v>
      </c>
      <c r="AE335" s="10"/>
      <c r="AF335" s="10" t="b">
        <f>IF(COUNTIF(PLANPRODUCCION[[#This Row],[OBSERVACIONES]],"NO APLICA BONO*")&gt;0,TRUE,FALSE)</f>
        <v>0</v>
      </c>
    </row>
    <row r="336" spans="1:32" x14ac:dyDescent="0.25">
      <c r="A336" s="46" t="str">
        <f>UPPER(IF(PLANPRODUCCION[[#This Row],[FECHA]]&lt;=45701,_xlfn.CONCAT(TEXT(B336,"MMM"),"-",IF(ROW(A336)&lt;11,"000"&amp;ROW(A336)-1,IF(ROW(A336)&lt;101,"00"&amp;ROW(A336)-1,IF(ROW(A336)&lt;1001,"0"&amp;ROW(A336)-1,ROW(A336)-1))),"-OLD"),_xlfn.CONCAT(TEXT(B336,"MMM"),"-",IF(ROW(A336)&lt;473,"000"&amp;ROW(A336)-463,IF(ROW(A336)&lt;563,"00"&amp;ROW(A336)-463,IF(ROW(A336)&lt;1001,"0"&amp;ROW(A336)-463,ROW(A336)-463))))))</f>
        <v>ENE-0335-OLD</v>
      </c>
      <c r="B336" s="1">
        <v>45688</v>
      </c>
      <c r="C336" s="5"/>
      <c r="D336" s="5"/>
      <c r="E336" t="s">
        <v>54</v>
      </c>
      <c r="F336" s="32"/>
      <c r="G336" s="32"/>
      <c r="H336" s="5">
        <v>1522</v>
      </c>
      <c r="I336" t="s">
        <v>434</v>
      </c>
      <c r="J336" t="s">
        <v>441</v>
      </c>
      <c r="K336" s="5"/>
      <c r="L336" s="10" t="s">
        <v>283</v>
      </c>
      <c r="M336" s="49">
        <v>15</v>
      </c>
      <c r="N336" s="34">
        <f>PLANPRODUCCION[[#This Row],[PIEZAS PLANEADAS]]*PLANPRODUCCION[[#This Row],[PRECIO MAQUILAS]]</f>
        <v>0</v>
      </c>
      <c r="O336" s="5">
        <v>4</v>
      </c>
      <c r="P336" s="2">
        <v>0.25</v>
      </c>
      <c r="Q336" s="2">
        <v>0.66666666666666663</v>
      </c>
      <c r="R336" s="24">
        <v>223</v>
      </c>
      <c r="S336" s="35">
        <f>PLANPRODUCCION[[#This Row],[PRECIO MAQUILAS]]*PLANPRODUCCION[[#This Row],[PIEZAS REAL]]</f>
        <v>3345</v>
      </c>
      <c r="T33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3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3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33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865</v>
      </c>
      <c r="X336" s="8"/>
      <c r="Y33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3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3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36" s="13" t="e">
        <f>IF(PLANPRODUCCION[[#This Row],[PIEZAS REAL]]&gt;0,PLANPRODUCCION[[#This Row],[PIEZAS REAL]]/PLANPRODUCCION[[#This Row],[PIEZAS ACTUALIZADO]],)</f>
        <v>#DIV/0!</v>
      </c>
      <c r="AC336" s="10" t="b">
        <f>PLANPRODUCCION[[#This Row],[INGRESO PLANEADO]]&lt;PLANPRODUCCION[[#This Row],[COSTO PLANEADO]]</f>
        <v>0</v>
      </c>
      <c r="AD336" s="46" t="s">
        <v>458</v>
      </c>
      <c r="AE336" s="10"/>
      <c r="AF336" s="10" t="b">
        <f>IF(COUNTIF(PLANPRODUCCION[[#This Row],[OBSERVACIONES]],"NO APLICA BONO*")&gt;0,TRUE,FALSE)</f>
        <v>0</v>
      </c>
    </row>
    <row r="337" spans="1:32" x14ac:dyDescent="0.25">
      <c r="A337" s="46" t="str">
        <f>UPPER(IF(PLANPRODUCCION[[#This Row],[FECHA]]&lt;=45701,_xlfn.CONCAT(TEXT(B337,"MMM"),"-",IF(ROW(A337)&lt;11,"000"&amp;ROW(A337)-1,IF(ROW(A337)&lt;101,"00"&amp;ROW(A337)-1,IF(ROW(A337)&lt;1001,"0"&amp;ROW(A337)-1,ROW(A337)-1))),"-OLD"),_xlfn.CONCAT(TEXT(B337,"MMM"),"-",IF(ROW(A337)&lt;473,"000"&amp;ROW(A337)-463,IF(ROW(A337)&lt;563,"00"&amp;ROW(A337)-463,IF(ROW(A337)&lt;1001,"0"&amp;ROW(A337)-463,ROW(A337)-463))))))</f>
        <v>ENE-0336-OLD</v>
      </c>
      <c r="B337" s="1">
        <v>45688</v>
      </c>
      <c r="C337" s="5"/>
      <c r="D337" s="5"/>
      <c r="E337" t="s">
        <v>54</v>
      </c>
      <c r="F337" s="32"/>
      <c r="G337" s="32"/>
      <c r="H337" s="5">
        <v>1522</v>
      </c>
      <c r="I337" t="s">
        <v>434</v>
      </c>
      <c r="J337" t="s">
        <v>441</v>
      </c>
      <c r="K337" s="5"/>
      <c r="L337" s="10" t="s">
        <v>283</v>
      </c>
      <c r="M337" s="49">
        <v>15</v>
      </c>
      <c r="N337" s="34">
        <f>PLANPRODUCCION[[#This Row],[PIEZAS PLANEADAS]]*PLANPRODUCCION[[#This Row],[PRECIO MAQUILAS]]</f>
        <v>0</v>
      </c>
      <c r="O337" s="5">
        <v>5</v>
      </c>
      <c r="P337" s="2">
        <v>0.25</v>
      </c>
      <c r="Q337" s="2">
        <v>0.66666666666666663</v>
      </c>
      <c r="R337" s="24">
        <v>193</v>
      </c>
      <c r="S337" s="35">
        <f>PLANPRODUCCION[[#This Row],[PRECIO MAQUILAS]]*PLANPRODUCCION[[#This Row],[PIEZAS REAL]]</f>
        <v>2895</v>
      </c>
      <c r="T33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3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3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33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-205</v>
      </c>
      <c r="X337" s="8"/>
      <c r="Y33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3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3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37" s="13" t="e">
        <f>IF(PLANPRODUCCION[[#This Row],[PIEZAS REAL]]&gt;0,PLANPRODUCCION[[#This Row],[PIEZAS REAL]]/PLANPRODUCCION[[#This Row],[PIEZAS ACTUALIZADO]],)</f>
        <v>#DIV/0!</v>
      </c>
      <c r="AC337" s="10" t="b">
        <f>PLANPRODUCCION[[#This Row],[INGRESO PLANEADO]]&lt;PLANPRODUCCION[[#This Row],[COSTO PLANEADO]]</f>
        <v>0</v>
      </c>
      <c r="AD337" s="46" t="s">
        <v>459</v>
      </c>
      <c r="AE337" s="10"/>
      <c r="AF337" s="10" t="b">
        <f>IF(COUNTIF(PLANPRODUCCION[[#This Row],[OBSERVACIONES]],"NO APLICA BONO*")&gt;0,TRUE,FALSE)</f>
        <v>0</v>
      </c>
    </row>
    <row r="338" spans="1:32" x14ac:dyDescent="0.25">
      <c r="A338" s="46" t="str">
        <f>UPPER(IF(PLANPRODUCCION[[#This Row],[FECHA]]&lt;=45701,_xlfn.CONCAT(TEXT(B338,"MMM"),"-",IF(ROW(A338)&lt;11,"000"&amp;ROW(A338)-1,IF(ROW(A338)&lt;101,"00"&amp;ROW(A338)-1,IF(ROW(A338)&lt;1001,"0"&amp;ROW(A338)-1,ROW(A338)-1))),"-OLD"),_xlfn.CONCAT(TEXT(B338,"MMM"),"-",IF(ROW(A338)&lt;473,"000"&amp;ROW(A338)-463,IF(ROW(A338)&lt;563,"00"&amp;ROW(A338)-463,IF(ROW(A338)&lt;1001,"0"&amp;ROW(A338)-463,ROW(A338)-463))))))</f>
        <v>ENE-0337-OLD</v>
      </c>
      <c r="B338" s="1">
        <v>45688</v>
      </c>
      <c r="C338" s="5"/>
      <c r="D338" s="5"/>
      <c r="E338" t="s">
        <v>54</v>
      </c>
      <c r="F338" s="32"/>
      <c r="G338" s="32"/>
      <c r="H338" s="5">
        <v>1550</v>
      </c>
      <c r="I338" t="s">
        <v>460</v>
      </c>
      <c r="J338" t="s">
        <v>461</v>
      </c>
      <c r="K338" s="5"/>
      <c r="L338" s="10" t="s">
        <v>57</v>
      </c>
      <c r="M338" s="49">
        <v>1.2</v>
      </c>
      <c r="N338" s="34">
        <f>PLANPRODUCCION[[#This Row],[PIEZAS PLANEADAS]]*PLANPRODUCCION[[#This Row],[PRECIO MAQUILAS]]</f>
        <v>0</v>
      </c>
      <c r="O338" s="5">
        <v>2</v>
      </c>
      <c r="P338" s="2">
        <v>0.25</v>
      </c>
      <c r="Q338" s="2">
        <v>0.66666666666666663</v>
      </c>
      <c r="R338" s="24">
        <v>2150</v>
      </c>
      <c r="S338" s="35">
        <f>PLANPRODUCCION[[#This Row],[PRECIO MAQUILAS]]*PLANPRODUCCION[[#This Row],[PIEZAS REAL]]</f>
        <v>2580</v>
      </c>
      <c r="T33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3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3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33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1340</v>
      </c>
      <c r="X338" s="8"/>
      <c r="Y33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3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3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38" s="13" t="e">
        <f>IF(PLANPRODUCCION[[#This Row],[PIEZAS REAL]]&gt;0,PLANPRODUCCION[[#This Row],[PIEZAS REAL]]/PLANPRODUCCION[[#This Row],[PIEZAS ACTUALIZADO]],)</f>
        <v>#DIV/0!</v>
      </c>
      <c r="AC338" s="10" t="b">
        <f>PLANPRODUCCION[[#This Row],[INGRESO PLANEADO]]&lt;PLANPRODUCCION[[#This Row],[COSTO PLANEADO]]</f>
        <v>0</v>
      </c>
      <c r="AD338" s="46" t="s">
        <v>462</v>
      </c>
      <c r="AE338" s="10"/>
      <c r="AF338" s="10" t="b">
        <f>IF(COUNTIF(PLANPRODUCCION[[#This Row],[OBSERVACIONES]],"NO APLICA BONO*")&gt;0,TRUE,FALSE)</f>
        <v>0</v>
      </c>
    </row>
    <row r="339" spans="1:32" x14ac:dyDescent="0.25">
      <c r="A339" s="46" t="str">
        <f>UPPER(IF(PLANPRODUCCION[[#This Row],[FECHA]]&lt;=45701,_xlfn.CONCAT(TEXT(B339,"MMM"),"-",IF(ROW(A339)&lt;11,"000"&amp;ROW(A339)-1,IF(ROW(A339)&lt;101,"00"&amp;ROW(A339)-1,IF(ROW(A339)&lt;1001,"0"&amp;ROW(A339)-1,ROW(A339)-1))),"-OLD"),_xlfn.CONCAT(TEXT(B339,"MMM"),"-",IF(ROW(A339)&lt;473,"000"&amp;ROW(A339)-463,IF(ROW(A339)&lt;563,"00"&amp;ROW(A339)-463,IF(ROW(A339)&lt;1001,"0"&amp;ROW(A339)-463,ROW(A339)-463))))))</f>
        <v>ENE-0338-OLD</v>
      </c>
      <c r="B339" s="1">
        <v>45688</v>
      </c>
      <c r="C339" s="5"/>
      <c r="D339" s="5"/>
      <c r="E339" t="s">
        <v>54</v>
      </c>
      <c r="F339" s="32"/>
      <c r="G339" s="32"/>
      <c r="H339" s="5">
        <v>1558</v>
      </c>
      <c r="I339" t="s">
        <v>81</v>
      </c>
      <c r="J339" t="s">
        <v>82</v>
      </c>
      <c r="K339" s="5"/>
      <c r="L339" s="10" t="s">
        <v>83</v>
      </c>
      <c r="M339" s="49">
        <v>4.2</v>
      </c>
      <c r="N339" s="34">
        <f>PLANPRODUCCION[[#This Row],[PIEZAS PLANEADAS]]*PLANPRODUCCION[[#This Row],[PRECIO MAQUILAS]]</f>
        <v>0</v>
      </c>
      <c r="O339" s="5">
        <v>4</v>
      </c>
      <c r="P339" s="2">
        <v>0.25</v>
      </c>
      <c r="Q339" s="2">
        <v>0.66666666666666663</v>
      </c>
      <c r="R339" s="24">
        <v>1920</v>
      </c>
      <c r="S339" s="35">
        <f>PLANPRODUCCION[[#This Row],[PRECIO MAQUILAS]]*PLANPRODUCCION[[#This Row],[PIEZAS REAL]]</f>
        <v>8064</v>
      </c>
      <c r="T33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3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3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33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5584</v>
      </c>
      <c r="X339" s="8"/>
      <c r="Y33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3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3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39" s="13" t="e">
        <f>IF(PLANPRODUCCION[[#This Row],[PIEZAS REAL]]&gt;0,PLANPRODUCCION[[#This Row],[PIEZAS REAL]]/PLANPRODUCCION[[#This Row],[PIEZAS ACTUALIZADO]],)</f>
        <v>#DIV/0!</v>
      </c>
      <c r="AC339" s="10" t="b">
        <f>PLANPRODUCCION[[#This Row],[INGRESO PLANEADO]]&lt;PLANPRODUCCION[[#This Row],[COSTO PLANEADO]]</f>
        <v>0</v>
      </c>
      <c r="AD339" s="46" t="s">
        <v>463</v>
      </c>
      <c r="AE339" s="10"/>
      <c r="AF339" s="10" t="b">
        <f>IF(COUNTIF(PLANPRODUCCION[[#This Row],[OBSERVACIONES]],"NO APLICA BONO*")&gt;0,TRUE,FALSE)</f>
        <v>0</v>
      </c>
    </row>
    <row r="340" spans="1:32" x14ac:dyDescent="0.25">
      <c r="A340" s="46" t="str">
        <f>UPPER(IF(PLANPRODUCCION[[#This Row],[FECHA]]&lt;=45701,_xlfn.CONCAT(TEXT(B340,"MMM"),"-",IF(ROW(A340)&lt;11,"000"&amp;ROW(A340)-1,IF(ROW(A340)&lt;101,"00"&amp;ROW(A340)-1,IF(ROW(A340)&lt;1001,"0"&amp;ROW(A340)-1,ROW(A340)-1))),"-OLD"),_xlfn.CONCAT(TEXT(B340,"MMM"),"-",IF(ROW(A340)&lt;473,"000"&amp;ROW(A340)-463,IF(ROW(A340)&lt;563,"00"&amp;ROW(A340)-463,IF(ROW(A340)&lt;1001,"0"&amp;ROW(A340)-463,ROW(A340)-463))))))</f>
        <v>ENE-0339-OLD</v>
      </c>
      <c r="B340" s="1">
        <v>45688</v>
      </c>
      <c r="C340" s="5"/>
      <c r="D340" s="5"/>
      <c r="E340" t="s">
        <v>54</v>
      </c>
      <c r="F340" s="32"/>
      <c r="G340" s="32"/>
      <c r="H340" s="5">
        <v>1542</v>
      </c>
      <c r="I340" t="s">
        <v>327</v>
      </c>
      <c r="J340" t="s">
        <v>328</v>
      </c>
      <c r="K340" s="5"/>
      <c r="L340" s="10" t="s">
        <v>83</v>
      </c>
      <c r="M340" s="49">
        <v>15.9</v>
      </c>
      <c r="N340" s="34">
        <f>PLANPRODUCCION[[#This Row],[PIEZAS PLANEADAS]]*PLANPRODUCCION[[#This Row],[PRECIO MAQUILAS]]</f>
        <v>0</v>
      </c>
      <c r="O340" s="5">
        <v>2</v>
      </c>
      <c r="P340" s="2">
        <v>0.50694444444444442</v>
      </c>
      <c r="Q340" s="2">
        <v>0.66666666666666663</v>
      </c>
      <c r="R340" s="24">
        <v>36</v>
      </c>
      <c r="S340" s="35">
        <f>PLANPRODUCCION[[#This Row],[PRECIO MAQUILAS]]*PLANPRODUCCION[[#This Row],[PIEZAS REAL]]</f>
        <v>572.4</v>
      </c>
      <c r="T34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4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4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475.33333333333331</v>
      </c>
      <c r="W34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97.066666666666663</v>
      </c>
      <c r="X340" s="8"/>
      <c r="Y34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4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4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40" s="13" t="e">
        <f>IF(PLANPRODUCCION[[#This Row],[PIEZAS REAL]]&gt;0,PLANPRODUCCION[[#This Row],[PIEZAS REAL]]/PLANPRODUCCION[[#This Row],[PIEZAS ACTUALIZADO]],)</f>
        <v>#DIV/0!</v>
      </c>
      <c r="AC340" s="10" t="b">
        <f>PLANPRODUCCION[[#This Row],[INGRESO PLANEADO]]&lt;PLANPRODUCCION[[#This Row],[COSTO PLANEADO]]</f>
        <v>0</v>
      </c>
      <c r="AD340" s="46" t="s">
        <v>464</v>
      </c>
      <c r="AE340" s="10"/>
      <c r="AF340" s="10" t="b">
        <f>IF(COUNTIF(PLANPRODUCCION[[#This Row],[OBSERVACIONES]],"NO APLICA BONO*")&gt;0,TRUE,FALSE)</f>
        <v>0</v>
      </c>
    </row>
    <row r="341" spans="1:32" x14ac:dyDescent="0.25">
      <c r="A341" s="46" t="str">
        <f>UPPER(IF(PLANPRODUCCION[[#This Row],[FECHA]]&lt;=45701,_xlfn.CONCAT(TEXT(B341,"MMM"),"-",IF(ROW(A341)&lt;11,"000"&amp;ROW(A341)-1,IF(ROW(A341)&lt;101,"00"&amp;ROW(A341)-1,IF(ROW(A341)&lt;1001,"0"&amp;ROW(A341)-1,ROW(A341)-1))),"-OLD"),_xlfn.CONCAT(TEXT(B341,"MMM"),"-",IF(ROW(A341)&lt;473,"000"&amp;ROW(A341)-463,IF(ROW(A341)&lt;563,"00"&amp;ROW(A341)-463,IF(ROW(A341)&lt;1001,"0"&amp;ROW(A341)-463,ROW(A341)-463))))))</f>
        <v>ENE-0340-OLD</v>
      </c>
      <c r="B341" s="1">
        <v>45688</v>
      </c>
      <c r="C341" s="5"/>
      <c r="D341" s="5"/>
      <c r="E341" t="s">
        <v>67</v>
      </c>
      <c r="F341" s="32"/>
      <c r="G341" s="32"/>
      <c r="H341" s="5">
        <v>1559</v>
      </c>
      <c r="I341" t="s">
        <v>420</v>
      </c>
      <c r="J341" t="s">
        <v>421</v>
      </c>
      <c r="K341" s="5"/>
      <c r="L341" s="10" t="s">
        <v>83</v>
      </c>
      <c r="M341" s="49">
        <v>35.4</v>
      </c>
      <c r="N341" s="34">
        <f>PLANPRODUCCION[[#This Row],[PIEZAS PLANEADAS]]*PLANPRODUCCION[[#This Row],[PRECIO MAQUILAS]]</f>
        <v>0</v>
      </c>
      <c r="O341" s="5">
        <v>3</v>
      </c>
      <c r="P341" s="2">
        <v>0.33333333333333331</v>
      </c>
      <c r="Q341" s="2">
        <v>0.75</v>
      </c>
      <c r="R341" s="24">
        <v>50</v>
      </c>
      <c r="S341" s="35">
        <f>PLANPRODUCCION[[#This Row],[PRECIO MAQUILAS]]*PLANPRODUCCION[[#This Row],[PIEZAS REAL]]</f>
        <v>1770</v>
      </c>
      <c r="T34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4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4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34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-90</v>
      </c>
      <c r="X341" s="8"/>
      <c r="Y34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4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4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41" s="13" t="e">
        <f>IF(PLANPRODUCCION[[#This Row],[PIEZAS REAL]]&gt;0,PLANPRODUCCION[[#This Row],[PIEZAS REAL]]/PLANPRODUCCION[[#This Row],[PIEZAS ACTUALIZADO]],)</f>
        <v>#DIV/0!</v>
      </c>
      <c r="AC341" s="10" t="b">
        <f>PLANPRODUCCION[[#This Row],[INGRESO PLANEADO]]&lt;PLANPRODUCCION[[#This Row],[COSTO PLANEADO]]</f>
        <v>0</v>
      </c>
      <c r="AD341" s="46" t="s">
        <v>465</v>
      </c>
      <c r="AE341" s="10"/>
      <c r="AF341" s="10" t="b">
        <f>IF(COUNTIF(PLANPRODUCCION[[#This Row],[OBSERVACIONES]],"NO APLICA BONO*")&gt;0,TRUE,FALSE)</f>
        <v>0</v>
      </c>
    </row>
    <row r="342" spans="1:32" x14ac:dyDescent="0.25">
      <c r="A342" s="46" t="str">
        <f>UPPER(IF(PLANPRODUCCION[[#This Row],[FECHA]]&lt;=45701,_xlfn.CONCAT(TEXT(B342,"MMM"),"-",IF(ROW(A342)&lt;11,"000"&amp;ROW(A342)-1,IF(ROW(A342)&lt;101,"00"&amp;ROW(A342)-1,IF(ROW(A342)&lt;1001,"0"&amp;ROW(A342)-1,ROW(A342)-1))),"-OLD"),_xlfn.CONCAT(TEXT(B342,"MMM"),"-",IF(ROW(A342)&lt;473,"000"&amp;ROW(A342)-463,IF(ROW(A342)&lt;563,"00"&amp;ROW(A342)-463,IF(ROW(A342)&lt;1001,"0"&amp;ROW(A342)-463,ROW(A342)-463))))))</f>
        <v>ENE-0341-OLD</v>
      </c>
      <c r="B342" s="1">
        <v>45688</v>
      </c>
      <c r="C342" s="5"/>
      <c r="D342" s="5"/>
      <c r="E342" t="s">
        <v>67</v>
      </c>
      <c r="F342" s="32"/>
      <c r="G342" s="32"/>
      <c r="H342" s="5">
        <v>1559</v>
      </c>
      <c r="I342" t="s">
        <v>420</v>
      </c>
      <c r="J342" t="s">
        <v>421</v>
      </c>
      <c r="K342" s="5"/>
      <c r="L342" s="10" t="s">
        <v>83</v>
      </c>
      <c r="M342" s="49">
        <v>35.4</v>
      </c>
      <c r="N342" s="34">
        <f>PLANPRODUCCION[[#This Row],[PIEZAS PLANEADAS]]*PLANPRODUCCION[[#This Row],[PRECIO MAQUILAS]]</f>
        <v>0</v>
      </c>
      <c r="O342" s="5">
        <v>3</v>
      </c>
      <c r="P342" s="2">
        <v>0.33333333333333331</v>
      </c>
      <c r="Q342" s="2">
        <v>0.75</v>
      </c>
      <c r="R342" s="24">
        <v>107</v>
      </c>
      <c r="S342" s="35">
        <f>PLANPRODUCCION[[#This Row],[PRECIO MAQUILAS]]*PLANPRODUCCION[[#This Row],[PIEZAS REAL]]</f>
        <v>3787.7999999999997</v>
      </c>
      <c r="T34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4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4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34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1927.7999999999997</v>
      </c>
      <c r="X342" s="8"/>
      <c r="Y34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4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4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42" s="13" t="e">
        <f>IF(PLANPRODUCCION[[#This Row],[PIEZAS REAL]]&gt;0,PLANPRODUCCION[[#This Row],[PIEZAS REAL]]/PLANPRODUCCION[[#This Row],[PIEZAS ACTUALIZADO]],)</f>
        <v>#DIV/0!</v>
      </c>
      <c r="AC342" s="10" t="b">
        <f>PLANPRODUCCION[[#This Row],[INGRESO PLANEADO]]&lt;PLANPRODUCCION[[#This Row],[COSTO PLANEADO]]</f>
        <v>0</v>
      </c>
      <c r="AD342" s="46" t="s">
        <v>466</v>
      </c>
      <c r="AE342" s="10"/>
      <c r="AF342" s="10" t="b">
        <f>IF(COUNTIF(PLANPRODUCCION[[#This Row],[OBSERVACIONES]],"NO APLICA BONO*")&gt;0,TRUE,FALSE)</f>
        <v>0</v>
      </c>
    </row>
    <row r="343" spans="1:32" x14ac:dyDescent="0.25">
      <c r="A343" s="46" t="str">
        <f>UPPER(IF(PLANPRODUCCION[[#This Row],[FECHA]]&lt;=45701,_xlfn.CONCAT(TEXT(B343,"MMM"),"-",IF(ROW(A343)&lt;11,"000"&amp;ROW(A343)-1,IF(ROW(A343)&lt;101,"00"&amp;ROW(A343)-1,IF(ROW(A343)&lt;1001,"0"&amp;ROW(A343)-1,ROW(A343)-1))),"-OLD"),_xlfn.CONCAT(TEXT(B343,"MMM"),"-",IF(ROW(A343)&lt;473,"000"&amp;ROW(A343)-463,IF(ROW(A343)&lt;563,"00"&amp;ROW(A343)-463,IF(ROW(A343)&lt;1001,"0"&amp;ROW(A343)-463,ROW(A343)-463))))))</f>
        <v>ENE-0342-OLD</v>
      </c>
      <c r="B343" s="1">
        <v>45688</v>
      </c>
      <c r="C343" s="5"/>
      <c r="D343" s="5"/>
      <c r="E343" t="s">
        <v>110</v>
      </c>
      <c r="F343" s="32"/>
      <c r="G343" s="32"/>
      <c r="H343" s="5">
        <v>1559</v>
      </c>
      <c r="I343" t="s">
        <v>420</v>
      </c>
      <c r="J343" t="s">
        <v>421</v>
      </c>
      <c r="K343" s="5"/>
      <c r="L343" s="10" t="s">
        <v>83</v>
      </c>
      <c r="M343" s="49">
        <v>35.4</v>
      </c>
      <c r="N343" s="34">
        <f>PLANPRODUCCION[[#This Row],[PIEZAS PLANEADAS]]*PLANPRODUCCION[[#This Row],[PRECIO MAQUILAS]]</f>
        <v>0</v>
      </c>
      <c r="O343" s="5">
        <v>3</v>
      </c>
      <c r="P343" s="2">
        <v>0.54166666666666663</v>
      </c>
      <c r="Q343" s="2">
        <v>0.875</v>
      </c>
      <c r="R343" s="24">
        <v>100</v>
      </c>
      <c r="S343" s="35">
        <f>PLANPRODUCCION[[#This Row],[PRECIO MAQUILAS]]*PLANPRODUCCION[[#This Row],[PIEZAS REAL]]</f>
        <v>3540</v>
      </c>
      <c r="T34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4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4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34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1680</v>
      </c>
      <c r="X343" s="8"/>
      <c r="Y34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4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4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43" s="13" t="e">
        <f>IF(PLANPRODUCCION[[#This Row],[PIEZAS REAL]]&gt;0,PLANPRODUCCION[[#This Row],[PIEZAS REAL]]/PLANPRODUCCION[[#This Row],[PIEZAS ACTUALIZADO]],)</f>
        <v>#DIV/0!</v>
      </c>
      <c r="AC343" s="10" t="b">
        <f>PLANPRODUCCION[[#This Row],[INGRESO PLANEADO]]&lt;PLANPRODUCCION[[#This Row],[COSTO PLANEADO]]</f>
        <v>0</v>
      </c>
      <c r="AD343" s="46" t="s">
        <v>467</v>
      </c>
      <c r="AE343" s="10"/>
      <c r="AF343" s="10" t="b">
        <f>IF(COUNTIF(PLANPRODUCCION[[#This Row],[OBSERVACIONES]],"NO APLICA BONO*")&gt;0,TRUE,FALSE)</f>
        <v>0</v>
      </c>
    </row>
    <row r="344" spans="1:32" x14ac:dyDescent="0.25">
      <c r="A344" s="46" t="str">
        <f>UPPER(IF(PLANPRODUCCION[[#This Row],[FECHA]]&lt;=45701,_xlfn.CONCAT(TEXT(B344,"MMM"),"-",IF(ROW(A344)&lt;11,"000"&amp;ROW(A344)-1,IF(ROW(A344)&lt;101,"00"&amp;ROW(A344)-1,IF(ROW(A344)&lt;1001,"0"&amp;ROW(A344)-1,ROW(A344)-1))),"-OLD"),_xlfn.CONCAT(TEXT(B344,"MMM"),"-",IF(ROW(A344)&lt;473,"000"&amp;ROW(A344)-463,IF(ROW(A344)&lt;563,"00"&amp;ROW(A344)-463,IF(ROW(A344)&lt;1001,"0"&amp;ROW(A344)-463,ROW(A344)-463))))))</f>
        <v>ENE-0343-OLD</v>
      </c>
      <c r="B344" s="1">
        <v>45688</v>
      </c>
      <c r="C344" s="5"/>
      <c r="D344" s="5"/>
      <c r="E344" t="s">
        <v>72</v>
      </c>
      <c r="F344" s="32"/>
      <c r="G344" s="32"/>
      <c r="H344" s="5">
        <v>1522</v>
      </c>
      <c r="I344" t="s">
        <v>434</v>
      </c>
      <c r="J344" t="s">
        <v>441</v>
      </c>
      <c r="K344" s="5"/>
      <c r="L344" s="10" t="s">
        <v>283</v>
      </c>
      <c r="M344" s="49">
        <v>15</v>
      </c>
      <c r="N344" s="34">
        <f>PLANPRODUCCION[[#This Row],[PIEZAS PLANEADAS]]*PLANPRODUCCION[[#This Row],[PRECIO MAQUILAS]]</f>
        <v>0</v>
      </c>
      <c r="O344" s="5">
        <v>5</v>
      </c>
      <c r="P344" s="2">
        <v>0.66666666666666663</v>
      </c>
      <c r="Q344" s="2">
        <v>0.875</v>
      </c>
      <c r="R344" s="24">
        <v>48</v>
      </c>
      <c r="S344" s="35">
        <f>PLANPRODUCCION[[#This Row],[PRECIO MAQUILAS]]*PLANPRODUCCION[[#This Row],[PIEZAS REAL]]</f>
        <v>720</v>
      </c>
      <c r="T34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4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4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1550</v>
      </c>
      <c r="W34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-830</v>
      </c>
      <c r="X344" s="8"/>
      <c r="Y34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4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4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44" s="13" t="e">
        <f>IF(PLANPRODUCCION[[#This Row],[PIEZAS REAL]]&gt;0,PLANPRODUCCION[[#This Row],[PIEZAS REAL]]/PLANPRODUCCION[[#This Row],[PIEZAS ACTUALIZADO]],)</f>
        <v>#DIV/0!</v>
      </c>
      <c r="AC344" s="10" t="b">
        <f>PLANPRODUCCION[[#This Row],[INGRESO PLANEADO]]&lt;PLANPRODUCCION[[#This Row],[COSTO PLANEADO]]</f>
        <v>0</v>
      </c>
      <c r="AD344" s="46" t="s">
        <v>468</v>
      </c>
      <c r="AE344" s="10"/>
      <c r="AF344" s="10" t="b">
        <f>IF(COUNTIF(PLANPRODUCCION[[#This Row],[OBSERVACIONES]],"NO APLICA BONO*")&gt;0,TRUE,FALSE)</f>
        <v>0</v>
      </c>
    </row>
    <row r="345" spans="1:32" x14ac:dyDescent="0.25">
      <c r="A345" s="46" t="str">
        <f>UPPER(IF(PLANPRODUCCION[[#This Row],[FECHA]]&lt;=45701,_xlfn.CONCAT(TEXT(B345,"MMM"),"-",IF(ROW(A345)&lt;11,"000"&amp;ROW(A345)-1,IF(ROW(A345)&lt;101,"00"&amp;ROW(A345)-1,IF(ROW(A345)&lt;1001,"0"&amp;ROW(A345)-1,ROW(A345)-1))),"-OLD"),_xlfn.CONCAT(TEXT(B345,"MMM"),"-",IF(ROW(A345)&lt;473,"000"&amp;ROW(A345)-463,IF(ROW(A345)&lt;563,"00"&amp;ROW(A345)-463,IF(ROW(A345)&lt;1001,"0"&amp;ROW(A345)-463,ROW(A345)-463))))))</f>
        <v>ENE-0344-OLD</v>
      </c>
      <c r="B345" s="1">
        <v>45688</v>
      </c>
      <c r="C345" s="5"/>
      <c r="D345" s="5"/>
      <c r="E345" t="s">
        <v>72</v>
      </c>
      <c r="F345" s="32"/>
      <c r="G345" s="32"/>
      <c r="H345" s="5">
        <v>1522</v>
      </c>
      <c r="I345" t="s">
        <v>434</v>
      </c>
      <c r="J345" t="s">
        <v>435</v>
      </c>
      <c r="K345" s="5"/>
      <c r="L345" s="10" t="s">
        <v>57</v>
      </c>
      <c r="M345" s="49">
        <v>0.3</v>
      </c>
      <c r="N345" s="34">
        <f>PLANPRODUCCION[[#This Row],[PIEZAS PLANEADAS]]*PLANPRODUCCION[[#This Row],[PRECIO MAQUILAS]]</f>
        <v>0</v>
      </c>
      <c r="O345" s="5">
        <v>1</v>
      </c>
      <c r="P345" s="2">
        <v>0.66666666666666663</v>
      </c>
      <c r="Q345" s="2">
        <v>0.875</v>
      </c>
      <c r="R345" s="24">
        <v>1196</v>
      </c>
      <c r="S345" s="35">
        <f>PLANPRODUCCION[[#This Row],[PRECIO MAQUILAS]]*PLANPRODUCCION[[#This Row],[PIEZAS REAL]]</f>
        <v>358.8</v>
      </c>
      <c r="T34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4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4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34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48.800000000000011</v>
      </c>
      <c r="X345" s="8"/>
      <c r="Y34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4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4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45" s="13" t="e">
        <f>IF(PLANPRODUCCION[[#This Row],[PIEZAS REAL]]&gt;0,PLANPRODUCCION[[#This Row],[PIEZAS REAL]]/PLANPRODUCCION[[#This Row],[PIEZAS ACTUALIZADO]],)</f>
        <v>#DIV/0!</v>
      </c>
      <c r="AC345" s="10" t="b">
        <f>PLANPRODUCCION[[#This Row],[INGRESO PLANEADO]]&lt;PLANPRODUCCION[[#This Row],[COSTO PLANEADO]]</f>
        <v>0</v>
      </c>
      <c r="AD345" s="46" t="s">
        <v>469</v>
      </c>
      <c r="AE345" s="10"/>
      <c r="AF345" s="10" t="b">
        <f>IF(COUNTIF(PLANPRODUCCION[[#This Row],[OBSERVACIONES]],"NO APLICA BONO*")&gt;0,TRUE,FALSE)</f>
        <v>0</v>
      </c>
    </row>
    <row r="346" spans="1:32" x14ac:dyDescent="0.25">
      <c r="A346" s="46" t="str">
        <f>UPPER(IF(PLANPRODUCCION[[#This Row],[FECHA]]&lt;=45701,_xlfn.CONCAT(TEXT(B346,"MMM"),"-",IF(ROW(A346)&lt;11,"000"&amp;ROW(A346)-1,IF(ROW(A346)&lt;101,"00"&amp;ROW(A346)-1,IF(ROW(A346)&lt;1001,"0"&amp;ROW(A346)-1,ROW(A346)-1))),"-OLD"),_xlfn.CONCAT(TEXT(B346,"MMM"),"-",IF(ROW(A346)&lt;473,"000"&amp;ROW(A346)-463,IF(ROW(A346)&lt;563,"00"&amp;ROW(A346)-463,IF(ROW(A346)&lt;1001,"0"&amp;ROW(A346)-463,ROW(A346)-463))))))</f>
        <v>ENE-0345-OLD</v>
      </c>
      <c r="B346" s="1">
        <v>45688</v>
      </c>
      <c r="C346" s="5"/>
      <c r="D346" s="5"/>
      <c r="E346" t="s">
        <v>75</v>
      </c>
      <c r="F346" s="32"/>
      <c r="G346" s="32"/>
      <c r="H346" s="5">
        <v>1522</v>
      </c>
      <c r="I346" t="s">
        <v>434</v>
      </c>
      <c r="J346" t="s">
        <v>441</v>
      </c>
      <c r="K346" s="5"/>
      <c r="L346" s="10" t="s">
        <v>283</v>
      </c>
      <c r="M346" s="49">
        <v>15</v>
      </c>
      <c r="N346" s="34">
        <f>PLANPRODUCCION[[#This Row],[PIEZAS PLANEADAS]]*PLANPRODUCCION[[#This Row],[PRECIO MAQUILAS]]</f>
        <v>0</v>
      </c>
      <c r="O346" s="5">
        <v>2</v>
      </c>
      <c r="P346" s="2">
        <v>0.79166666666666663</v>
      </c>
      <c r="Q346" s="2">
        <v>0.875</v>
      </c>
      <c r="R346" s="24">
        <v>12</v>
      </c>
      <c r="S346" s="35">
        <f>PLANPRODUCCION[[#This Row],[PRECIO MAQUILAS]]*PLANPRODUCCION[[#This Row],[PIEZAS REAL]]</f>
        <v>180</v>
      </c>
      <c r="T34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4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4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333.33333333333331</v>
      </c>
      <c r="W34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-153.33333333333331</v>
      </c>
      <c r="X346" s="8"/>
      <c r="Y34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4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4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46" s="13" t="e">
        <f>IF(PLANPRODUCCION[[#This Row],[PIEZAS REAL]]&gt;0,PLANPRODUCCION[[#This Row],[PIEZAS REAL]]/PLANPRODUCCION[[#This Row],[PIEZAS ACTUALIZADO]],)</f>
        <v>#DIV/0!</v>
      </c>
      <c r="AC346" s="10" t="b">
        <f>PLANPRODUCCION[[#This Row],[INGRESO PLANEADO]]&lt;PLANPRODUCCION[[#This Row],[COSTO PLANEADO]]</f>
        <v>0</v>
      </c>
      <c r="AD346" s="46" t="s">
        <v>470</v>
      </c>
      <c r="AE346" s="10"/>
      <c r="AF346" s="10" t="b">
        <f>IF(COUNTIF(PLANPRODUCCION[[#This Row],[OBSERVACIONES]],"NO APLICA BONO*")&gt;0,TRUE,FALSE)</f>
        <v>0</v>
      </c>
    </row>
    <row r="347" spans="1:32" x14ac:dyDescent="0.25">
      <c r="A347" s="46" t="str">
        <f>UPPER(IF(PLANPRODUCCION[[#This Row],[FECHA]]&lt;=45701,_xlfn.CONCAT(TEXT(B347,"MMM"),"-",IF(ROW(A347)&lt;11,"000"&amp;ROW(A347)-1,IF(ROW(A347)&lt;101,"00"&amp;ROW(A347)-1,IF(ROW(A347)&lt;1001,"0"&amp;ROW(A347)-1,ROW(A347)-1))),"-OLD"),_xlfn.CONCAT(TEXT(B347,"MMM"),"-",IF(ROW(A347)&lt;473,"000"&amp;ROW(A347)-463,IF(ROW(A347)&lt;563,"00"&amp;ROW(A347)-463,IF(ROW(A347)&lt;1001,"0"&amp;ROW(A347)-463,ROW(A347)-463))))))</f>
        <v>ENE-0346-OLD</v>
      </c>
      <c r="B347" s="1">
        <v>45688</v>
      </c>
      <c r="C347" s="5"/>
      <c r="D347" s="5"/>
      <c r="E347" t="s">
        <v>75</v>
      </c>
      <c r="F347" s="32"/>
      <c r="G347" s="32"/>
      <c r="H347" s="5">
        <v>1522</v>
      </c>
      <c r="I347" t="s">
        <v>434</v>
      </c>
      <c r="J347" t="s">
        <v>435</v>
      </c>
      <c r="K347" s="5"/>
      <c r="L347" s="10" t="s">
        <v>57</v>
      </c>
      <c r="M347" s="49">
        <v>0.3</v>
      </c>
      <c r="N347" s="34">
        <f>PLANPRODUCCION[[#This Row],[PIEZAS PLANEADAS]]*PLANPRODUCCION[[#This Row],[PRECIO MAQUILAS]]</f>
        <v>0</v>
      </c>
      <c r="O347" s="5">
        <v>1</v>
      </c>
      <c r="P347" s="2">
        <v>0.875</v>
      </c>
      <c r="Q347" s="2">
        <v>0.25</v>
      </c>
      <c r="R347" s="24">
        <v>904</v>
      </c>
      <c r="S347" s="35">
        <f>PLANPRODUCCION[[#This Row],[PRECIO MAQUILAS]]*PLANPRODUCCION[[#This Row],[PIEZAS REAL]]</f>
        <v>271.2</v>
      </c>
      <c r="T34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4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4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750</v>
      </c>
      <c r="W34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-478.8</v>
      </c>
      <c r="X347" s="8"/>
      <c r="Y34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4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4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47" s="13" t="e">
        <f>IF(PLANPRODUCCION[[#This Row],[PIEZAS REAL]]&gt;0,PLANPRODUCCION[[#This Row],[PIEZAS REAL]]/PLANPRODUCCION[[#This Row],[PIEZAS ACTUALIZADO]],)</f>
        <v>#DIV/0!</v>
      </c>
      <c r="AC347" s="10" t="b">
        <f>PLANPRODUCCION[[#This Row],[INGRESO PLANEADO]]&lt;PLANPRODUCCION[[#This Row],[COSTO PLANEADO]]</f>
        <v>0</v>
      </c>
      <c r="AD347" s="46" t="s">
        <v>471</v>
      </c>
      <c r="AE347" s="10"/>
      <c r="AF347" s="10" t="b">
        <f>IF(COUNTIF(PLANPRODUCCION[[#This Row],[OBSERVACIONES]],"NO APLICA BONO*")&gt;0,TRUE,FALSE)</f>
        <v>0</v>
      </c>
    </row>
    <row r="348" spans="1:32" x14ac:dyDescent="0.25">
      <c r="A348" s="46" t="str">
        <f>UPPER(IF(PLANPRODUCCION[[#This Row],[FECHA]]&lt;=45701,_xlfn.CONCAT(TEXT(B348,"MMM"),"-",IF(ROW(A348)&lt;11,"000"&amp;ROW(A348)-1,IF(ROW(A348)&lt;101,"00"&amp;ROW(A348)-1,IF(ROW(A348)&lt;1001,"0"&amp;ROW(A348)-1,ROW(A348)-1))),"-OLD"),_xlfn.CONCAT(TEXT(B348,"MMM"),"-",IF(ROW(A348)&lt;473,"000"&amp;ROW(A348)-463,IF(ROW(A348)&lt;563,"00"&amp;ROW(A348)-463,IF(ROW(A348)&lt;1001,"0"&amp;ROW(A348)-463,ROW(A348)-463))))))</f>
        <v>ENE-0347-OLD</v>
      </c>
      <c r="B348" s="1">
        <v>45688</v>
      </c>
      <c r="C348" s="5"/>
      <c r="D348" s="5"/>
      <c r="E348" t="s">
        <v>75</v>
      </c>
      <c r="F348" s="32"/>
      <c r="G348" s="32"/>
      <c r="H348" s="5">
        <v>1522</v>
      </c>
      <c r="I348" t="s">
        <v>434</v>
      </c>
      <c r="J348" t="s">
        <v>441</v>
      </c>
      <c r="K348" s="5"/>
      <c r="L348" s="10" t="s">
        <v>283</v>
      </c>
      <c r="M348" s="49">
        <v>15</v>
      </c>
      <c r="N348" s="34">
        <f>PLANPRODUCCION[[#This Row],[PIEZAS PLANEADAS]]*PLANPRODUCCION[[#This Row],[PRECIO MAQUILAS]]</f>
        <v>0</v>
      </c>
      <c r="O348" s="5">
        <v>7</v>
      </c>
      <c r="P348" s="2">
        <v>0.875</v>
      </c>
      <c r="Q348" s="2">
        <v>0.25</v>
      </c>
      <c r="R348" s="24">
        <v>152</v>
      </c>
      <c r="S348" s="35">
        <f>PLANPRODUCCION[[#This Row],[PRECIO MAQUILAS]]*PLANPRODUCCION[[#This Row],[PIEZAS REAL]]</f>
        <v>2280</v>
      </c>
      <c r="T34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4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4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5250</v>
      </c>
      <c r="W34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-2970</v>
      </c>
      <c r="X348" s="8"/>
      <c r="Y34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4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4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48" s="13" t="e">
        <f>IF(PLANPRODUCCION[[#This Row],[PIEZAS REAL]]&gt;0,PLANPRODUCCION[[#This Row],[PIEZAS REAL]]/PLANPRODUCCION[[#This Row],[PIEZAS ACTUALIZADO]],)</f>
        <v>#DIV/0!</v>
      </c>
      <c r="AC348" s="10" t="b">
        <f>PLANPRODUCCION[[#This Row],[INGRESO PLANEADO]]&lt;PLANPRODUCCION[[#This Row],[COSTO PLANEADO]]</f>
        <v>0</v>
      </c>
      <c r="AD348" s="46" t="s">
        <v>472</v>
      </c>
      <c r="AE348" s="10"/>
      <c r="AF348" s="10" t="b">
        <f>IF(COUNTIF(PLANPRODUCCION[[#This Row],[OBSERVACIONES]],"NO APLICA BONO*")&gt;0,TRUE,FALSE)</f>
        <v>0</v>
      </c>
    </row>
    <row r="349" spans="1:32" x14ac:dyDescent="0.25">
      <c r="A349" s="46" t="str">
        <f>UPPER(IF(PLANPRODUCCION[[#This Row],[FECHA]]&lt;=45701,_xlfn.CONCAT(TEXT(B349,"MMM"),"-",IF(ROW(A349)&lt;11,"000"&amp;ROW(A349)-1,IF(ROW(A349)&lt;101,"00"&amp;ROW(A349)-1,IF(ROW(A349)&lt;1001,"0"&amp;ROW(A349)-1,ROW(A349)-1))),"-OLD"),_xlfn.CONCAT(TEXT(B349,"MMM"),"-",IF(ROW(A349)&lt;473,"000"&amp;ROW(A349)-463,IF(ROW(A349)&lt;563,"00"&amp;ROW(A349)-463,IF(ROW(A349)&lt;1001,"0"&amp;ROW(A349)-463,ROW(A349)-463))))))</f>
        <v>FEB-0348-OLD</v>
      </c>
      <c r="B349" s="1">
        <v>45691</v>
      </c>
      <c r="C349" s="5"/>
      <c r="D349" s="5"/>
      <c r="E349" t="s">
        <v>54</v>
      </c>
      <c r="F349" s="32"/>
      <c r="G349" s="32"/>
      <c r="H349" s="5">
        <v>1522</v>
      </c>
      <c r="I349" t="s">
        <v>434</v>
      </c>
      <c r="J349" t="s">
        <v>441</v>
      </c>
      <c r="K349" s="5"/>
      <c r="L349" s="10" t="s">
        <v>283</v>
      </c>
      <c r="M349" s="49">
        <v>15</v>
      </c>
      <c r="N349" s="34">
        <f>PLANPRODUCCION[[#This Row],[PIEZAS PLANEADAS]]*PLANPRODUCCION[[#This Row],[PRECIO MAQUILAS]]</f>
        <v>0</v>
      </c>
      <c r="O349" s="5">
        <v>5</v>
      </c>
      <c r="P349" s="2">
        <v>0.25</v>
      </c>
      <c r="Q349" s="2">
        <v>0.66666666666666663</v>
      </c>
      <c r="R349" s="24">
        <v>253</v>
      </c>
      <c r="S349" s="35">
        <f>PLANPRODUCCION[[#This Row],[PRECIO MAQUILAS]]*PLANPRODUCCION[[#This Row],[PIEZAS REAL]]</f>
        <v>3795</v>
      </c>
      <c r="T34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4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4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34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695</v>
      </c>
      <c r="X349" s="8"/>
      <c r="Y34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4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4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49" s="13" t="e">
        <f>IF(PLANPRODUCCION[[#This Row],[PIEZAS REAL]]&gt;0,PLANPRODUCCION[[#This Row],[PIEZAS REAL]]/PLANPRODUCCION[[#This Row],[PIEZAS ACTUALIZADO]],)</f>
        <v>#DIV/0!</v>
      </c>
      <c r="AC349" s="10" t="b">
        <f>PLANPRODUCCION[[#This Row],[INGRESO PLANEADO]]&lt;PLANPRODUCCION[[#This Row],[COSTO PLANEADO]]</f>
        <v>0</v>
      </c>
      <c r="AD349" s="46" t="s">
        <v>473</v>
      </c>
      <c r="AE349" s="10"/>
      <c r="AF349" s="10" t="b">
        <f>IF(COUNTIF(PLANPRODUCCION[[#This Row],[OBSERVACIONES]],"NO APLICA BONO*")&gt;0,TRUE,FALSE)</f>
        <v>0</v>
      </c>
    </row>
    <row r="350" spans="1:32" x14ac:dyDescent="0.25">
      <c r="A350" s="46" t="str">
        <f>UPPER(IF(PLANPRODUCCION[[#This Row],[FECHA]]&lt;=45701,_xlfn.CONCAT(TEXT(B350,"MMM"),"-",IF(ROW(A350)&lt;11,"000"&amp;ROW(A350)-1,IF(ROW(A350)&lt;101,"00"&amp;ROW(A350)-1,IF(ROW(A350)&lt;1001,"0"&amp;ROW(A350)-1,ROW(A350)-1))),"-OLD"),_xlfn.CONCAT(TEXT(B350,"MMM"),"-",IF(ROW(A350)&lt;473,"000"&amp;ROW(A350)-463,IF(ROW(A350)&lt;563,"00"&amp;ROW(A350)-463,IF(ROW(A350)&lt;1001,"0"&amp;ROW(A350)-463,ROW(A350)-463))))))</f>
        <v>FEB-0349-OLD</v>
      </c>
      <c r="B350" s="1">
        <v>45691</v>
      </c>
      <c r="C350" s="5"/>
      <c r="D350" s="5"/>
      <c r="E350" t="s">
        <v>75</v>
      </c>
      <c r="F350" s="32"/>
      <c r="G350" s="32"/>
      <c r="H350" s="5">
        <v>1522</v>
      </c>
      <c r="I350" t="s">
        <v>434</v>
      </c>
      <c r="J350" t="s">
        <v>441</v>
      </c>
      <c r="K350" s="5"/>
      <c r="L350" s="10" t="s">
        <v>283</v>
      </c>
      <c r="M350" s="49">
        <v>15</v>
      </c>
      <c r="N350" s="34">
        <f>PLANPRODUCCION[[#This Row],[PIEZAS PLANEADAS]]*PLANPRODUCCION[[#This Row],[PRECIO MAQUILAS]]</f>
        <v>0</v>
      </c>
      <c r="O350" s="5">
        <v>4</v>
      </c>
      <c r="P350" s="2">
        <v>0.875</v>
      </c>
      <c r="Q350" s="2">
        <v>0.25</v>
      </c>
      <c r="R350" s="24">
        <v>141</v>
      </c>
      <c r="S350" s="35">
        <f>PLANPRODUCCION[[#This Row],[PRECIO MAQUILAS]]*PLANPRODUCCION[[#This Row],[PIEZAS REAL]]</f>
        <v>2115</v>
      </c>
      <c r="T35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5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5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3000</v>
      </c>
      <c r="W35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-885</v>
      </c>
      <c r="X350" s="8"/>
      <c r="Y35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5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5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50" s="13" t="e">
        <f>IF(PLANPRODUCCION[[#This Row],[PIEZAS REAL]]&gt;0,PLANPRODUCCION[[#This Row],[PIEZAS REAL]]/PLANPRODUCCION[[#This Row],[PIEZAS ACTUALIZADO]],)</f>
        <v>#DIV/0!</v>
      </c>
      <c r="AC350" s="10" t="b">
        <f>PLANPRODUCCION[[#This Row],[INGRESO PLANEADO]]&lt;PLANPRODUCCION[[#This Row],[COSTO PLANEADO]]</f>
        <v>0</v>
      </c>
      <c r="AD350" s="46" t="s">
        <v>474</v>
      </c>
      <c r="AE350" s="10"/>
      <c r="AF350" s="10" t="b">
        <f>IF(COUNTIF(PLANPRODUCCION[[#This Row],[OBSERVACIONES]],"NO APLICA BONO*")&gt;0,TRUE,FALSE)</f>
        <v>0</v>
      </c>
    </row>
    <row r="351" spans="1:32" x14ac:dyDescent="0.25">
      <c r="A351" s="46" t="str">
        <f>UPPER(IF(PLANPRODUCCION[[#This Row],[FECHA]]&lt;=45701,_xlfn.CONCAT(TEXT(B351,"MMM"),"-",IF(ROW(A351)&lt;11,"000"&amp;ROW(A351)-1,IF(ROW(A351)&lt;101,"00"&amp;ROW(A351)-1,IF(ROW(A351)&lt;1001,"0"&amp;ROW(A351)-1,ROW(A351)-1))),"-OLD"),_xlfn.CONCAT(TEXT(B351,"MMM"),"-",IF(ROW(A351)&lt;473,"000"&amp;ROW(A351)-463,IF(ROW(A351)&lt;563,"00"&amp;ROW(A351)-463,IF(ROW(A351)&lt;1001,"0"&amp;ROW(A351)-463,ROW(A351)-463))))))</f>
        <v>FEB-0350-OLD</v>
      </c>
      <c r="B351" s="1">
        <v>45692</v>
      </c>
      <c r="C351" s="5"/>
      <c r="D351" s="5"/>
      <c r="E351" t="s">
        <v>54</v>
      </c>
      <c r="F351" s="32"/>
      <c r="G351" s="32"/>
      <c r="H351" s="5">
        <v>1522</v>
      </c>
      <c r="I351" t="s">
        <v>434</v>
      </c>
      <c r="J351" t="s">
        <v>435</v>
      </c>
      <c r="K351" s="5"/>
      <c r="L351" s="10" t="s">
        <v>57</v>
      </c>
      <c r="M351" s="49">
        <v>0.3</v>
      </c>
      <c r="N351" s="34">
        <f>PLANPRODUCCION[[#This Row],[PIEZAS PLANEADAS]]*PLANPRODUCCION[[#This Row],[PRECIO MAQUILAS]]</f>
        <v>0</v>
      </c>
      <c r="O351" s="5">
        <v>1</v>
      </c>
      <c r="P351" s="2">
        <v>0.25</v>
      </c>
      <c r="Q351" s="2">
        <v>0.66666666666666663</v>
      </c>
      <c r="R351" s="24">
        <v>2504</v>
      </c>
      <c r="S351" s="35">
        <f>PLANPRODUCCION[[#This Row],[PRECIO MAQUILAS]]*PLANPRODUCCION[[#This Row],[PIEZAS REAL]]</f>
        <v>751.19999999999993</v>
      </c>
      <c r="T35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5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5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35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131.19999999999993</v>
      </c>
      <c r="X351" s="8"/>
      <c r="Y35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5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5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51" s="13" t="e">
        <f>IF(PLANPRODUCCION[[#This Row],[PIEZAS REAL]]&gt;0,PLANPRODUCCION[[#This Row],[PIEZAS REAL]]/PLANPRODUCCION[[#This Row],[PIEZAS ACTUALIZADO]],)</f>
        <v>#DIV/0!</v>
      </c>
      <c r="AC351" s="10" t="b">
        <f>PLANPRODUCCION[[#This Row],[INGRESO PLANEADO]]&lt;PLANPRODUCCION[[#This Row],[COSTO PLANEADO]]</f>
        <v>0</v>
      </c>
      <c r="AD351" s="46" t="s">
        <v>475</v>
      </c>
      <c r="AE351" s="10"/>
      <c r="AF351" s="10" t="b">
        <f>IF(COUNTIF(PLANPRODUCCION[[#This Row],[OBSERVACIONES]],"NO APLICA BONO*")&gt;0,TRUE,FALSE)</f>
        <v>0</v>
      </c>
    </row>
    <row r="352" spans="1:32" x14ac:dyDescent="0.25">
      <c r="A352" s="46" t="str">
        <f>UPPER(IF(PLANPRODUCCION[[#This Row],[FECHA]]&lt;=45701,_xlfn.CONCAT(TEXT(B352,"MMM"),"-",IF(ROW(A352)&lt;11,"000"&amp;ROW(A352)-1,IF(ROW(A352)&lt;101,"00"&amp;ROW(A352)-1,IF(ROW(A352)&lt;1001,"0"&amp;ROW(A352)-1,ROW(A352)-1))),"-OLD"),_xlfn.CONCAT(TEXT(B352,"MMM"),"-",IF(ROW(A352)&lt;473,"000"&amp;ROW(A352)-463,IF(ROW(A352)&lt;563,"00"&amp;ROW(A352)-463,IF(ROW(A352)&lt;1001,"0"&amp;ROW(A352)-463,ROW(A352)-463))))))</f>
        <v>FEB-0351-OLD</v>
      </c>
      <c r="B352" s="1">
        <v>45692</v>
      </c>
      <c r="C352" s="5"/>
      <c r="D352" s="5"/>
      <c r="E352" t="s">
        <v>54</v>
      </c>
      <c r="F352" s="32"/>
      <c r="G352" s="32"/>
      <c r="H352" s="5">
        <v>1522</v>
      </c>
      <c r="I352" t="s">
        <v>434</v>
      </c>
      <c r="J352" t="s">
        <v>441</v>
      </c>
      <c r="K352" s="5"/>
      <c r="L352" s="10" t="s">
        <v>283</v>
      </c>
      <c r="M352" s="49">
        <v>15</v>
      </c>
      <c r="N352" s="34">
        <f>PLANPRODUCCION[[#This Row],[PIEZAS PLANEADAS]]*PLANPRODUCCION[[#This Row],[PRECIO MAQUILAS]]</f>
        <v>0</v>
      </c>
      <c r="O352" s="5">
        <v>5</v>
      </c>
      <c r="P352" s="2">
        <v>0.25</v>
      </c>
      <c r="Q352" s="2">
        <v>0.66666666666666663</v>
      </c>
      <c r="R352" s="24">
        <v>231</v>
      </c>
      <c r="S352" s="35">
        <f>PLANPRODUCCION[[#This Row],[PRECIO MAQUILAS]]*PLANPRODUCCION[[#This Row],[PIEZAS REAL]]</f>
        <v>3465</v>
      </c>
      <c r="T35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5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5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35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365</v>
      </c>
      <c r="X352" s="8"/>
      <c r="Y35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5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5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52" s="13" t="e">
        <f>IF(PLANPRODUCCION[[#This Row],[PIEZAS REAL]]&gt;0,PLANPRODUCCION[[#This Row],[PIEZAS REAL]]/PLANPRODUCCION[[#This Row],[PIEZAS ACTUALIZADO]],)</f>
        <v>#DIV/0!</v>
      </c>
      <c r="AC352" s="10" t="b">
        <f>PLANPRODUCCION[[#This Row],[INGRESO PLANEADO]]&lt;PLANPRODUCCION[[#This Row],[COSTO PLANEADO]]</f>
        <v>0</v>
      </c>
      <c r="AD352" s="46" t="s">
        <v>476</v>
      </c>
      <c r="AE352" s="10"/>
      <c r="AF352" s="10" t="b">
        <f>IF(COUNTIF(PLANPRODUCCION[[#This Row],[OBSERVACIONES]],"NO APLICA BONO*")&gt;0,TRUE,FALSE)</f>
        <v>0</v>
      </c>
    </row>
    <row r="353" spans="1:32" x14ac:dyDescent="0.25">
      <c r="A353" s="46" t="str">
        <f>UPPER(IF(PLANPRODUCCION[[#This Row],[FECHA]]&lt;=45701,_xlfn.CONCAT(TEXT(B353,"MMM"),"-",IF(ROW(A353)&lt;11,"000"&amp;ROW(A353)-1,IF(ROW(A353)&lt;101,"00"&amp;ROW(A353)-1,IF(ROW(A353)&lt;1001,"0"&amp;ROW(A353)-1,ROW(A353)-1))),"-OLD"),_xlfn.CONCAT(TEXT(B353,"MMM"),"-",IF(ROW(A353)&lt;473,"000"&amp;ROW(A353)-463,IF(ROW(A353)&lt;563,"00"&amp;ROW(A353)-463,IF(ROW(A353)&lt;1001,"0"&amp;ROW(A353)-463,ROW(A353)-463))))))</f>
        <v>FEB-0352-OLD</v>
      </c>
      <c r="B353" s="1">
        <v>45692</v>
      </c>
      <c r="C353" s="5"/>
      <c r="D353" s="5"/>
      <c r="E353" t="s">
        <v>54</v>
      </c>
      <c r="F353" s="32"/>
      <c r="G353" s="32"/>
      <c r="H353" s="5">
        <v>1522</v>
      </c>
      <c r="I353" t="s">
        <v>434</v>
      </c>
      <c r="J353" t="s">
        <v>441</v>
      </c>
      <c r="K353" s="5"/>
      <c r="L353" s="10" t="s">
        <v>283</v>
      </c>
      <c r="M353" s="49">
        <v>15</v>
      </c>
      <c r="N353" s="34">
        <f>PLANPRODUCCION[[#This Row],[PIEZAS PLANEADAS]]*PLANPRODUCCION[[#This Row],[PRECIO MAQUILAS]]</f>
        <v>0</v>
      </c>
      <c r="O353" s="5">
        <v>5</v>
      </c>
      <c r="P353" s="2">
        <v>0.25</v>
      </c>
      <c r="Q353" s="2">
        <v>0.66666666666666663</v>
      </c>
      <c r="R353" s="24">
        <v>177</v>
      </c>
      <c r="S353" s="35">
        <f>PLANPRODUCCION[[#This Row],[PRECIO MAQUILAS]]*PLANPRODUCCION[[#This Row],[PIEZAS REAL]]</f>
        <v>2655</v>
      </c>
      <c r="T35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5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5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35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-445</v>
      </c>
      <c r="X353" s="8"/>
      <c r="Y35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5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5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53" s="13" t="e">
        <f>IF(PLANPRODUCCION[[#This Row],[PIEZAS REAL]]&gt;0,PLANPRODUCCION[[#This Row],[PIEZAS REAL]]/PLANPRODUCCION[[#This Row],[PIEZAS ACTUALIZADO]],)</f>
        <v>#DIV/0!</v>
      </c>
      <c r="AC353" s="10" t="b">
        <f>PLANPRODUCCION[[#This Row],[INGRESO PLANEADO]]&lt;PLANPRODUCCION[[#This Row],[COSTO PLANEADO]]</f>
        <v>0</v>
      </c>
      <c r="AD353" s="46" t="s">
        <v>477</v>
      </c>
      <c r="AE353" s="10"/>
      <c r="AF353" s="10" t="b">
        <f>IF(COUNTIF(PLANPRODUCCION[[#This Row],[OBSERVACIONES]],"NO APLICA BONO*")&gt;0,TRUE,FALSE)</f>
        <v>0</v>
      </c>
    </row>
    <row r="354" spans="1:32" x14ac:dyDescent="0.25">
      <c r="A354" s="46" t="str">
        <f>UPPER(IF(PLANPRODUCCION[[#This Row],[FECHA]]&lt;=45701,_xlfn.CONCAT(TEXT(B354,"MMM"),"-",IF(ROW(A354)&lt;11,"000"&amp;ROW(A354)-1,IF(ROW(A354)&lt;101,"00"&amp;ROW(A354)-1,IF(ROW(A354)&lt;1001,"0"&amp;ROW(A354)-1,ROW(A354)-1))),"-OLD"),_xlfn.CONCAT(TEXT(B354,"MMM"),"-",IF(ROW(A354)&lt;473,"000"&amp;ROW(A354)-463,IF(ROW(A354)&lt;563,"00"&amp;ROW(A354)-463,IF(ROW(A354)&lt;1001,"0"&amp;ROW(A354)-463,ROW(A354)-463))))))</f>
        <v>FEB-0353-OLD</v>
      </c>
      <c r="B354" s="1">
        <v>45692</v>
      </c>
      <c r="C354" s="5"/>
      <c r="D354" s="5"/>
      <c r="E354" t="s">
        <v>54</v>
      </c>
      <c r="F354" s="32"/>
      <c r="G354" s="32"/>
      <c r="H354" s="5">
        <v>1525</v>
      </c>
      <c r="I354" t="s">
        <v>197</v>
      </c>
      <c r="J354" t="s">
        <v>198</v>
      </c>
      <c r="K354" s="5"/>
      <c r="L354" s="10" t="s">
        <v>57</v>
      </c>
      <c r="M354" s="49">
        <v>2</v>
      </c>
      <c r="N354" s="34">
        <f>PLANPRODUCCION[[#This Row],[PIEZAS PLANEADAS]]*PLANPRODUCCION[[#This Row],[PRECIO MAQUILAS]]</f>
        <v>0</v>
      </c>
      <c r="O354" s="5">
        <v>2</v>
      </c>
      <c r="P354" s="2">
        <v>0.25</v>
      </c>
      <c r="Q354" s="2">
        <v>0.66666666666666663</v>
      </c>
      <c r="R354" s="24">
        <v>135</v>
      </c>
      <c r="S354" s="35">
        <f>PLANPRODUCCION[[#This Row],[PRECIO MAQUILAS]]*PLANPRODUCCION[[#This Row],[PIEZAS REAL]]</f>
        <v>270</v>
      </c>
      <c r="T35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5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5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35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-970</v>
      </c>
      <c r="X354" s="8"/>
      <c r="Y35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5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5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54" s="13" t="e">
        <f>IF(PLANPRODUCCION[[#This Row],[PIEZAS REAL]]&gt;0,PLANPRODUCCION[[#This Row],[PIEZAS REAL]]/PLANPRODUCCION[[#This Row],[PIEZAS ACTUALIZADO]],)</f>
        <v>#DIV/0!</v>
      </c>
      <c r="AC354" s="10" t="b">
        <f>PLANPRODUCCION[[#This Row],[INGRESO PLANEADO]]&lt;PLANPRODUCCION[[#This Row],[COSTO PLANEADO]]</f>
        <v>0</v>
      </c>
      <c r="AD354" s="46" t="s">
        <v>478</v>
      </c>
      <c r="AE354" s="10"/>
      <c r="AF354" s="10" t="b">
        <f>IF(COUNTIF(PLANPRODUCCION[[#This Row],[OBSERVACIONES]],"NO APLICA BONO*")&gt;0,TRUE,FALSE)</f>
        <v>0</v>
      </c>
    </row>
    <row r="355" spans="1:32" x14ac:dyDescent="0.25">
      <c r="A355" s="46" t="str">
        <f>UPPER(IF(PLANPRODUCCION[[#This Row],[FECHA]]&lt;=45701,_xlfn.CONCAT(TEXT(B355,"MMM"),"-",IF(ROW(A355)&lt;11,"000"&amp;ROW(A355)-1,IF(ROW(A355)&lt;101,"00"&amp;ROW(A355)-1,IF(ROW(A355)&lt;1001,"0"&amp;ROW(A355)-1,ROW(A355)-1))),"-OLD"),_xlfn.CONCAT(TEXT(B355,"MMM"),"-",IF(ROW(A355)&lt;473,"000"&amp;ROW(A355)-463,IF(ROW(A355)&lt;563,"00"&amp;ROW(A355)-463,IF(ROW(A355)&lt;1001,"0"&amp;ROW(A355)-463,ROW(A355)-463))))))</f>
        <v>FEB-0354-OLD</v>
      </c>
      <c r="B355" s="1">
        <v>45692</v>
      </c>
      <c r="C355" s="5"/>
      <c r="D355" s="5"/>
      <c r="E355" t="s">
        <v>54</v>
      </c>
      <c r="F355" s="32"/>
      <c r="G355" s="32"/>
      <c r="H355" s="5">
        <v>1559</v>
      </c>
      <c r="I355" t="s">
        <v>420</v>
      </c>
      <c r="J355" t="s">
        <v>421</v>
      </c>
      <c r="K355" s="5"/>
      <c r="L355" s="10" t="s">
        <v>83</v>
      </c>
      <c r="M355" s="49">
        <v>35.4</v>
      </c>
      <c r="N355" s="34">
        <f>PLANPRODUCCION[[#This Row],[PIEZAS PLANEADAS]]*PLANPRODUCCION[[#This Row],[PRECIO MAQUILAS]]</f>
        <v>0</v>
      </c>
      <c r="O355" s="5">
        <v>2</v>
      </c>
      <c r="P355" s="2">
        <v>0.25</v>
      </c>
      <c r="Q355" s="2">
        <v>0.66666666666666663</v>
      </c>
      <c r="R355" s="24">
        <v>41</v>
      </c>
      <c r="S355" s="35">
        <f>PLANPRODUCCION[[#This Row],[PRECIO MAQUILAS]]*PLANPRODUCCION[[#This Row],[PIEZAS REAL]]</f>
        <v>1451.3999999999999</v>
      </c>
      <c r="T35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5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5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35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211.39999999999986</v>
      </c>
      <c r="X355" s="8"/>
      <c r="Y35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5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5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55" s="13" t="e">
        <f>IF(PLANPRODUCCION[[#This Row],[PIEZAS REAL]]&gt;0,PLANPRODUCCION[[#This Row],[PIEZAS REAL]]/PLANPRODUCCION[[#This Row],[PIEZAS ACTUALIZADO]],)</f>
        <v>#DIV/0!</v>
      </c>
      <c r="AC355" s="10" t="b">
        <f>PLANPRODUCCION[[#This Row],[INGRESO PLANEADO]]&lt;PLANPRODUCCION[[#This Row],[COSTO PLANEADO]]</f>
        <v>0</v>
      </c>
      <c r="AD355" s="46" t="s">
        <v>479</v>
      </c>
      <c r="AE355" s="10"/>
      <c r="AF355" s="10" t="b">
        <f>IF(COUNTIF(PLANPRODUCCION[[#This Row],[OBSERVACIONES]],"NO APLICA BONO*")&gt;0,TRUE,FALSE)</f>
        <v>0</v>
      </c>
    </row>
    <row r="356" spans="1:32" x14ac:dyDescent="0.25">
      <c r="A356" s="46" t="str">
        <f>UPPER(IF(PLANPRODUCCION[[#This Row],[FECHA]]&lt;=45701,_xlfn.CONCAT(TEXT(B356,"MMM"),"-",IF(ROW(A356)&lt;11,"000"&amp;ROW(A356)-1,IF(ROW(A356)&lt;101,"00"&amp;ROW(A356)-1,IF(ROW(A356)&lt;1001,"0"&amp;ROW(A356)-1,ROW(A356)-1))),"-OLD"),_xlfn.CONCAT(TEXT(B356,"MMM"),"-",IF(ROW(A356)&lt;473,"000"&amp;ROW(A356)-463,IF(ROW(A356)&lt;563,"00"&amp;ROW(A356)-463,IF(ROW(A356)&lt;1001,"0"&amp;ROW(A356)-463,ROW(A356)-463))))))</f>
        <v>FEB-0355-OLD</v>
      </c>
      <c r="B356" s="1">
        <v>45692</v>
      </c>
      <c r="C356" s="5"/>
      <c r="D356" s="5"/>
      <c r="E356" t="s">
        <v>67</v>
      </c>
      <c r="F356" s="32"/>
      <c r="G356" s="32"/>
      <c r="H356" s="5">
        <v>1525</v>
      </c>
      <c r="I356" t="s">
        <v>197</v>
      </c>
      <c r="J356" t="s">
        <v>198</v>
      </c>
      <c r="K356" s="5"/>
      <c r="L356" s="10" t="s">
        <v>57</v>
      </c>
      <c r="M356" s="49">
        <v>2</v>
      </c>
      <c r="N356" s="34">
        <f>PLANPRODUCCION[[#This Row],[PIEZAS PLANEADAS]]*PLANPRODUCCION[[#This Row],[PRECIO MAQUILAS]]</f>
        <v>0</v>
      </c>
      <c r="O356" s="5">
        <v>2</v>
      </c>
      <c r="P356" s="2">
        <v>0.33333333333333331</v>
      </c>
      <c r="Q356" s="2">
        <v>0.46875</v>
      </c>
      <c r="R356" s="24">
        <v>300</v>
      </c>
      <c r="S356" s="35">
        <f>PLANPRODUCCION[[#This Row],[PRECIO MAQUILAS]]*PLANPRODUCCION[[#This Row],[PIEZAS REAL]]</f>
        <v>600</v>
      </c>
      <c r="T35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5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5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403</v>
      </c>
      <c r="W35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197</v>
      </c>
      <c r="X356" s="8"/>
      <c r="Y35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5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5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56" s="13" t="e">
        <f>IF(PLANPRODUCCION[[#This Row],[PIEZAS REAL]]&gt;0,PLANPRODUCCION[[#This Row],[PIEZAS REAL]]/PLANPRODUCCION[[#This Row],[PIEZAS ACTUALIZADO]],)</f>
        <v>#DIV/0!</v>
      </c>
      <c r="AC356" s="10" t="b">
        <f>PLANPRODUCCION[[#This Row],[INGRESO PLANEADO]]&lt;PLANPRODUCCION[[#This Row],[COSTO PLANEADO]]</f>
        <v>0</v>
      </c>
      <c r="AD356" s="46" t="s">
        <v>480</v>
      </c>
      <c r="AE356" s="10"/>
      <c r="AF356" s="10" t="b">
        <f>IF(COUNTIF(PLANPRODUCCION[[#This Row],[OBSERVACIONES]],"NO APLICA BONO*")&gt;0,TRUE,FALSE)</f>
        <v>0</v>
      </c>
    </row>
    <row r="357" spans="1:32" x14ac:dyDescent="0.25">
      <c r="A357" s="46" t="str">
        <f>UPPER(IF(PLANPRODUCCION[[#This Row],[FECHA]]&lt;=45701,_xlfn.CONCAT(TEXT(B357,"MMM"),"-",IF(ROW(A357)&lt;11,"000"&amp;ROW(A357)-1,IF(ROW(A357)&lt;101,"00"&amp;ROW(A357)-1,IF(ROW(A357)&lt;1001,"0"&amp;ROW(A357)-1,ROW(A357)-1))),"-OLD"),_xlfn.CONCAT(TEXT(B357,"MMM"),"-",IF(ROW(A357)&lt;473,"000"&amp;ROW(A357)-463,IF(ROW(A357)&lt;563,"00"&amp;ROW(A357)-463,IF(ROW(A357)&lt;1001,"0"&amp;ROW(A357)-463,ROW(A357)-463))))))</f>
        <v>FEB-0356-OLD</v>
      </c>
      <c r="B357" s="1">
        <v>45692</v>
      </c>
      <c r="C357" s="5"/>
      <c r="D357" s="5"/>
      <c r="E357" t="s">
        <v>67</v>
      </c>
      <c r="F357" s="32"/>
      <c r="G357" s="32"/>
      <c r="H357" s="5">
        <v>1559</v>
      </c>
      <c r="I357" t="s">
        <v>420</v>
      </c>
      <c r="J357" t="s">
        <v>421</v>
      </c>
      <c r="K357" s="5"/>
      <c r="L357" s="10" t="s">
        <v>83</v>
      </c>
      <c r="M357" s="49">
        <v>35.4</v>
      </c>
      <c r="N357" s="34">
        <f>PLANPRODUCCION[[#This Row],[PIEZAS PLANEADAS]]*PLANPRODUCCION[[#This Row],[PRECIO MAQUILAS]]</f>
        <v>0</v>
      </c>
      <c r="O357" s="5">
        <v>2</v>
      </c>
      <c r="P357" s="2">
        <v>0.33333333333333331</v>
      </c>
      <c r="Q357" s="2">
        <v>0.75</v>
      </c>
      <c r="R357" s="24">
        <v>58</v>
      </c>
      <c r="S357" s="35">
        <f>PLANPRODUCCION[[#This Row],[PRECIO MAQUILAS]]*PLANPRODUCCION[[#This Row],[PIEZAS REAL]]</f>
        <v>2053.1999999999998</v>
      </c>
      <c r="T35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5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5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35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813.19999999999982</v>
      </c>
      <c r="X357" s="8"/>
      <c r="Y35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5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5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57" s="13" t="e">
        <f>IF(PLANPRODUCCION[[#This Row],[PIEZAS REAL]]&gt;0,PLANPRODUCCION[[#This Row],[PIEZAS REAL]]/PLANPRODUCCION[[#This Row],[PIEZAS ACTUALIZADO]],)</f>
        <v>#DIV/0!</v>
      </c>
      <c r="AC357" s="10" t="b">
        <f>PLANPRODUCCION[[#This Row],[INGRESO PLANEADO]]&lt;PLANPRODUCCION[[#This Row],[COSTO PLANEADO]]</f>
        <v>0</v>
      </c>
      <c r="AD357" s="46" t="s">
        <v>481</v>
      </c>
      <c r="AE357" s="10"/>
      <c r="AF357" s="10" t="b">
        <f>IF(COUNTIF(PLANPRODUCCION[[#This Row],[OBSERVACIONES]],"NO APLICA BONO*")&gt;0,TRUE,FALSE)</f>
        <v>0</v>
      </c>
    </row>
    <row r="358" spans="1:32" x14ac:dyDescent="0.25">
      <c r="A358" s="46" t="str">
        <f>UPPER(IF(PLANPRODUCCION[[#This Row],[FECHA]]&lt;=45701,_xlfn.CONCAT(TEXT(B358,"MMM"),"-",IF(ROW(A358)&lt;11,"000"&amp;ROW(A358)-1,IF(ROW(A358)&lt;101,"00"&amp;ROW(A358)-1,IF(ROW(A358)&lt;1001,"0"&amp;ROW(A358)-1,ROW(A358)-1))),"-OLD"),_xlfn.CONCAT(TEXT(B358,"MMM"),"-",IF(ROW(A358)&lt;473,"000"&amp;ROW(A358)-463,IF(ROW(A358)&lt;563,"00"&amp;ROW(A358)-463,IF(ROW(A358)&lt;1001,"0"&amp;ROW(A358)-463,ROW(A358)-463))))))</f>
        <v>FEB-0357-OLD</v>
      </c>
      <c r="B358" s="1">
        <v>45692</v>
      </c>
      <c r="C358" s="5"/>
      <c r="D358" s="5"/>
      <c r="E358" t="s">
        <v>67</v>
      </c>
      <c r="F358" s="32"/>
      <c r="G358" s="32"/>
      <c r="H358" s="5">
        <v>1559</v>
      </c>
      <c r="I358" t="s">
        <v>420</v>
      </c>
      <c r="J358" t="s">
        <v>421</v>
      </c>
      <c r="K358" s="5"/>
      <c r="L358" s="10" t="s">
        <v>83</v>
      </c>
      <c r="M358" s="49">
        <v>35.4</v>
      </c>
      <c r="N358" s="34">
        <f>PLANPRODUCCION[[#This Row],[PIEZAS PLANEADAS]]*PLANPRODUCCION[[#This Row],[PRECIO MAQUILAS]]</f>
        <v>0</v>
      </c>
      <c r="O358" s="5">
        <v>2</v>
      </c>
      <c r="P358" s="2">
        <v>0.33333333333333331</v>
      </c>
      <c r="Q358" s="2">
        <v>0.75</v>
      </c>
      <c r="R358" s="24">
        <v>57</v>
      </c>
      <c r="S358" s="35">
        <f>PLANPRODUCCION[[#This Row],[PRECIO MAQUILAS]]*PLANPRODUCCION[[#This Row],[PIEZAS REAL]]</f>
        <v>2017.8</v>
      </c>
      <c r="T35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5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5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35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777.8</v>
      </c>
      <c r="X358" s="8"/>
      <c r="Y35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5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5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58" s="13" t="e">
        <f>IF(PLANPRODUCCION[[#This Row],[PIEZAS REAL]]&gt;0,PLANPRODUCCION[[#This Row],[PIEZAS REAL]]/PLANPRODUCCION[[#This Row],[PIEZAS ACTUALIZADO]],)</f>
        <v>#DIV/0!</v>
      </c>
      <c r="AC358" s="10" t="b">
        <f>PLANPRODUCCION[[#This Row],[INGRESO PLANEADO]]&lt;PLANPRODUCCION[[#This Row],[COSTO PLANEADO]]</f>
        <v>0</v>
      </c>
      <c r="AD358" s="46" t="s">
        <v>482</v>
      </c>
      <c r="AE358" s="10"/>
      <c r="AF358" s="10" t="b">
        <f>IF(COUNTIF(PLANPRODUCCION[[#This Row],[OBSERVACIONES]],"NO APLICA BONO*")&gt;0,TRUE,FALSE)</f>
        <v>0</v>
      </c>
    </row>
    <row r="359" spans="1:32" x14ac:dyDescent="0.25">
      <c r="A359" s="46" t="str">
        <f>UPPER(IF(PLANPRODUCCION[[#This Row],[FECHA]]&lt;=45701,_xlfn.CONCAT(TEXT(B359,"MMM"),"-",IF(ROW(A359)&lt;11,"000"&amp;ROW(A359)-1,IF(ROW(A359)&lt;101,"00"&amp;ROW(A359)-1,IF(ROW(A359)&lt;1001,"0"&amp;ROW(A359)-1,ROW(A359)-1))),"-OLD"),_xlfn.CONCAT(TEXT(B359,"MMM"),"-",IF(ROW(A359)&lt;473,"000"&amp;ROW(A359)-463,IF(ROW(A359)&lt;563,"00"&amp;ROW(A359)-463,IF(ROW(A359)&lt;1001,"0"&amp;ROW(A359)-463,ROW(A359)-463))))))</f>
        <v>FEB-0358-OLD</v>
      </c>
      <c r="B359" s="1">
        <v>45692</v>
      </c>
      <c r="C359" s="5"/>
      <c r="D359" s="5"/>
      <c r="E359" t="s">
        <v>67</v>
      </c>
      <c r="F359" s="32"/>
      <c r="G359" s="32"/>
      <c r="H359" s="5">
        <v>1559</v>
      </c>
      <c r="I359" t="s">
        <v>420</v>
      </c>
      <c r="J359" t="s">
        <v>421</v>
      </c>
      <c r="K359" s="5"/>
      <c r="L359" s="10" t="s">
        <v>83</v>
      </c>
      <c r="M359" s="49">
        <v>35.4</v>
      </c>
      <c r="N359" s="34">
        <f>PLANPRODUCCION[[#This Row],[PIEZAS PLANEADAS]]*PLANPRODUCCION[[#This Row],[PRECIO MAQUILAS]]</f>
        <v>0</v>
      </c>
      <c r="O359" s="5">
        <v>2</v>
      </c>
      <c r="P359" s="2">
        <v>0.47916666666666669</v>
      </c>
      <c r="Q359" s="2">
        <v>0.66666666666666663</v>
      </c>
      <c r="R359" s="24">
        <v>20</v>
      </c>
      <c r="S359" s="35">
        <f>PLANPRODUCCION[[#This Row],[PRECIO MAQUILAS]]*PLANPRODUCCION[[#This Row],[PIEZAS REAL]]</f>
        <v>708</v>
      </c>
      <c r="T35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5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5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558</v>
      </c>
      <c r="W35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150</v>
      </c>
      <c r="X359" s="8"/>
      <c r="Y35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5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5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59" s="13" t="e">
        <f>IF(PLANPRODUCCION[[#This Row],[PIEZAS REAL]]&gt;0,PLANPRODUCCION[[#This Row],[PIEZAS REAL]]/PLANPRODUCCION[[#This Row],[PIEZAS ACTUALIZADO]],)</f>
        <v>#DIV/0!</v>
      </c>
      <c r="AC359" s="10" t="b">
        <f>PLANPRODUCCION[[#This Row],[INGRESO PLANEADO]]&lt;PLANPRODUCCION[[#This Row],[COSTO PLANEADO]]</f>
        <v>0</v>
      </c>
      <c r="AD359" s="46" t="s">
        <v>483</v>
      </c>
      <c r="AE359" s="10"/>
      <c r="AF359" s="10" t="b">
        <f>IF(COUNTIF(PLANPRODUCCION[[#This Row],[OBSERVACIONES]],"NO APLICA BONO*")&gt;0,TRUE,FALSE)</f>
        <v>0</v>
      </c>
    </row>
    <row r="360" spans="1:32" x14ac:dyDescent="0.25">
      <c r="A360" s="46" t="str">
        <f>UPPER(IF(PLANPRODUCCION[[#This Row],[FECHA]]&lt;=45701,_xlfn.CONCAT(TEXT(B360,"MMM"),"-",IF(ROW(A360)&lt;11,"000"&amp;ROW(A360)-1,IF(ROW(A360)&lt;101,"00"&amp;ROW(A360)-1,IF(ROW(A360)&lt;1001,"0"&amp;ROW(A360)-1,ROW(A360)-1))),"-OLD"),_xlfn.CONCAT(TEXT(B360,"MMM"),"-",IF(ROW(A360)&lt;473,"000"&amp;ROW(A360)-463,IF(ROW(A360)&lt;563,"00"&amp;ROW(A360)-463,IF(ROW(A360)&lt;1001,"0"&amp;ROW(A360)-463,ROW(A360)-463))))))</f>
        <v>FEB-0359-OLD</v>
      </c>
      <c r="B360" s="1">
        <v>45692</v>
      </c>
      <c r="C360" s="5"/>
      <c r="D360" s="5"/>
      <c r="E360" t="s">
        <v>110</v>
      </c>
      <c r="F360" s="32"/>
      <c r="G360" s="32"/>
      <c r="H360" s="5">
        <v>1559</v>
      </c>
      <c r="I360" t="s">
        <v>420</v>
      </c>
      <c r="J360" t="s">
        <v>421</v>
      </c>
      <c r="K360" s="5"/>
      <c r="L360" s="10" t="s">
        <v>83</v>
      </c>
      <c r="M360" s="49">
        <v>35.4</v>
      </c>
      <c r="N360" s="34">
        <f>PLANPRODUCCION[[#This Row],[PIEZAS PLANEADAS]]*PLANPRODUCCION[[#This Row],[PRECIO MAQUILAS]]</f>
        <v>0</v>
      </c>
      <c r="O360" s="5">
        <v>3</v>
      </c>
      <c r="P360" s="2">
        <v>0.54166666666666663</v>
      </c>
      <c r="Q360" s="2">
        <v>0.875</v>
      </c>
      <c r="R360" s="24">
        <v>36</v>
      </c>
      <c r="S360" s="35">
        <f>PLANPRODUCCION[[#This Row],[PRECIO MAQUILAS]]*PLANPRODUCCION[[#This Row],[PIEZAS REAL]]</f>
        <v>1274.3999999999999</v>
      </c>
      <c r="T36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6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6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36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-585.60000000000014</v>
      </c>
      <c r="X360" s="8"/>
      <c r="Y36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6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6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60" s="13" t="e">
        <f>IF(PLANPRODUCCION[[#This Row],[PIEZAS REAL]]&gt;0,PLANPRODUCCION[[#This Row],[PIEZAS REAL]]/PLANPRODUCCION[[#This Row],[PIEZAS ACTUALIZADO]],)</f>
        <v>#DIV/0!</v>
      </c>
      <c r="AC360" s="10" t="b">
        <f>PLANPRODUCCION[[#This Row],[INGRESO PLANEADO]]&lt;PLANPRODUCCION[[#This Row],[COSTO PLANEADO]]</f>
        <v>0</v>
      </c>
      <c r="AD360" s="46" t="s">
        <v>484</v>
      </c>
      <c r="AE360" s="10"/>
      <c r="AF360" s="10" t="b">
        <f>IF(COUNTIF(PLANPRODUCCION[[#This Row],[OBSERVACIONES]],"NO APLICA BONO*")&gt;0,TRUE,FALSE)</f>
        <v>0</v>
      </c>
    </row>
    <row r="361" spans="1:32" x14ac:dyDescent="0.25">
      <c r="A361" s="46" t="str">
        <f>UPPER(IF(PLANPRODUCCION[[#This Row],[FECHA]]&lt;=45701,_xlfn.CONCAT(TEXT(B361,"MMM"),"-",IF(ROW(A361)&lt;11,"000"&amp;ROW(A361)-1,IF(ROW(A361)&lt;101,"00"&amp;ROW(A361)-1,IF(ROW(A361)&lt;1001,"0"&amp;ROW(A361)-1,ROW(A361)-1))),"-OLD"),_xlfn.CONCAT(TEXT(B361,"MMM"),"-",IF(ROW(A361)&lt;473,"000"&amp;ROW(A361)-463,IF(ROW(A361)&lt;563,"00"&amp;ROW(A361)-463,IF(ROW(A361)&lt;1001,"0"&amp;ROW(A361)-463,ROW(A361)-463))))))</f>
        <v>FEB-0360-OLD</v>
      </c>
      <c r="B361" s="1">
        <v>45692</v>
      </c>
      <c r="C361" s="5"/>
      <c r="D361" s="5"/>
      <c r="E361" t="s">
        <v>110</v>
      </c>
      <c r="F361" s="32"/>
      <c r="G361" s="32"/>
      <c r="H361" s="5">
        <v>1525</v>
      </c>
      <c r="I361" t="s">
        <v>197</v>
      </c>
      <c r="J361" t="s">
        <v>198</v>
      </c>
      <c r="K361" s="5"/>
      <c r="L361" s="10" t="s">
        <v>57</v>
      </c>
      <c r="M361" s="49">
        <v>2</v>
      </c>
      <c r="N361" s="34">
        <f>PLANPRODUCCION[[#This Row],[PIEZAS PLANEADAS]]*PLANPRODUCCION[[#This Row],[PRECIO MAQUILAS]]</f>
        <v>0</v>
      </c>
      <c r="O361" s="5">
        <v>2</v>
      </c>
      <c r="P361" s="2">
        <v>0.62847222222222221</v>
      </c>
      <c r="Q361" s="2">
        <v>0.75</v>
      </c>
      <c r="R361" s="24">
        <v>150</v>
      </c>
      <c r="S361" s="35">
        <f>PLANPRODUCCION[[#This Row],[PRECIO MAQUILAS]]*PLANPRODUCCION[[#This Row],[PIEZAS REAL]]</f>
        <v>300</v>
      </c>
      <c r="T36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6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6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452.08333333333331</v>
      </c>
      <c r="W36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-152.08333333333331</v>
      </c>
      <c r="X361" s="8"/>
      <c r="Y36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6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6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61" s="13" t="e">
        <f>IF(PLANPRODUCCION[[#This Row],[PIEZAS REAL]]&gt;0,PLANPRODUCCION[[#This Row],[PIEZAS REAL]]/PLANPRODUCCION[[#This Row],[PIEZAS ACTUALIZADO]],)</f>
        <v>#DIV/0!</v>
      </c>
      <c r="AC361" s="10" t="b">
        <f>PLANPRODUCCION[[#This Row],[INGRESO PLANEADO]]&lt;PLANPRODUCCION[[#This Row],[COSTO PLANEADO]]</f>
        <v>0</v>
      </c>
      <c r="AD361" s="46" t="s">
        <v>485</v>
      </c>
      <c r="AE361" s="10"/>
      <c r="AF361" s="10" t="b">
        <f>IF(COUNTIF(PLANPRODUCCION[[#This Row],[OBSERVACIONES]],"NO APLICA BONO*")&gt;0,TRUE,FALSE)</f>
        <v>0</v>
      </c>
    </row>
    <row r="362" spans="1:32" x14ac:dyDescent="0.25">
      <c r="A362" s="46" t="str">
        <f>UPPER(IF(PLANPRODUCCION[[#This Row],[FECHA]]&lt;=45701,_xlfn.CONCAT(TEXT(B362,"MMM"),"-",IF(ROW(A362)&lt;11,"000"&amp;ROW(A362)-1,IF(ROW(A362)&lt;101,"00"&amp;ROW(A362)-1,IF(ROW(A362)&lt;1001,"0"&amp;ROW(A362)-1,ROW(A362)-1))),"-OLD"),_xlfn.CONCAT(TEXT(B362,"MMM"),"-",IF(ROW(A362)&lt;473,"000"&amp;ROW(A362)-463,IF(ROW(A362)&lt;563,"00"&amp;ROW(A362)-463,IF(ROW(A362)&lt;1001,"0"&amp;ROW(A362)-463,ROW(A362)-463))))))</f>
        <v>FEB-0361-OLD</v>
      </c>
      <c r="B362" s="1">
        <v>45692</v>
      </c>
      <c r="C362" s="5"/>
      <c r="D362" s="5"/>
      <c r="E362" t="s">
        <v>110</v>
      </c>
      <c r="F362" s="32"/>
      <c r="G362" s="32"/>
      <c r="H362" s="5">
        <v>1525</v>
      </c>
      <c r="I362" t="s">
        <v>197</v>
      </c>
      <c r="J362" t="s">
        <v>198</v>
      </c>
      <c r="K362" s="5"/>
      <c r="L362" s="10" t="s">
        <v>57</v>
      </c>
      <c r="M362" s="49">
        <v>2</v>
      </c>
      <c r="N362" s="34">
        <f>PLANPRODUCCION[[#This Row],[PIEZAS PLANEADAS]]*PLANPRODUCCION[[#This Row],[PRECIO MAQUILAS]]</f>
        <v>0</v>
      </c>
      <c r="O362" s="5">
        <v>3</v>
      </c>
      <c r="P362" s="2">
        <v>0.63888888888888884</v>
      </c>
      <c r="Q362" s="2">
        <v>0.875</v>
      </c>
      <c r="R362" s="24">
        <v>1215</v>
      </c>
      <c r="S362" s="35">
        <f>PLANPRODUCCION[[#This Row],[PRECIO MAQUILAS]]*PLANPRODUCCION[[#This Row],[PIEZAS REAL]]</f>
        <v>2430</v>
      </c>
      <c r="T36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6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6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1317.5</v>
      </c>
      <c r="W36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1112.5</v>
      </c>
      <c r="X362" s="8"/>
      <c r="Y36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6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6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62" s="13" t="e">
        <f>IF(PLANPRODUCCION[[#This Row],[PIEZAS REAL]]&gt;0,PLANPRODUCCION[[#This Row],[PIEZAS REAL]]/PLANPRODUCCION[[#This Row],[PIEZAS ACTUALIZADO]],)</f>
        <v>#DIV/0!</v>
      </c>
      <c r="AC362" s="10" t="b">
        <f>PLANPRODUCCION[[#This Row],[INGRESO PLANEADO]]&lt;PLANPRODUCCION[[#This Row],[COSTO PLANEADO]]</f>
        <v>0</v>
      </c>
      <c r="AD362" s="46" t="s">
        <v>486</v>
      </c>
      <c r="AE362" s="10"/>
      <c r="AF362" s="10" t="b">
        <f>IF(COUNTIF(PLANPRODUCCION[[#This Row],[OBSERVACIONES]],"NO APLICA BONO*")&gt;0,TRUE,FALSE)</f>
        <v>0</v>
      </c>
    </row>
    <row r="363" spans="1:32" x14ac:dyDescent="0.25">
      <c r="A363" s="46" t="str">
        <f>UPPER(IF(PLANPRODUCCION[[#This Row],[FECHA]]&lt;=45701,_xlfn.CONCAT(TEXT(B363,"MMM"),"-",IF(ROW(A363)&lt;11,"000"&amp;ROW(A363)-1,IF(ROW(A363)&lt;101,"00"&amp;ROW(A363)-1,IF(ROW(A363)&lt;1001,"0"&amp;ROW(A363)-1,ROW(A363)-1))),"-OLD"),_xlfn.CONCAT(TEXT(B363,"MMM"),"-",IF(ROW(A363)&lt;473,"000"&amp;ROW(A363)-463,IF(ROW(A363)&lt;563,"00"&amp;ROW(A363)-463,IF(ROW(A363)&lt;1001,"0"&amp;ROW(A363)-463,ROW(A363)-463))))))</f>
        <v>FEB-0362-OLD</v>
      </c>
      <c r="B363" s="1">
        <v>45692</v>
      </c>
      <c r="C363" s="5"/>
      <c r="D363" s="5"/>
      <c r="E363" t="s">
        <v>72</v>
      </c>
      <c r="F363" s="32"/>
      <c r="G363" s="32"/>
      <c r="H363" s="5">
        <v>1522</v>
      </c>
      <c r="I363" t="s">
        <v>434</v>
      </c>
      <c r="J363" t="s">
        <v>441</v>
      </c>
      <c r="K363" s="5"/>
      <c r="L363" s="10" t="s">
        <v>283</v>
      </c>
      <c r="M363" s="49">
        <v>15</v>
      </c>
      <c r="N363" s="34">
        <f>PLANPRODUCCION[[#This Row],[PIEZAS PLANEADAS]]*PLANPRODUCCION[[#This Row],[PRECIO MAQUILAS]]</f>
        <v>0</v>
      </c>
      <c r="O363" s="5">
        <v>5</v>
      </c>
      <c r="P363" s="2">
        <v>0.66666666666666663</v>
      </c>
      <c r="Q363" s="2">
        <v>0.875</v>
      </c>
      <c r="R363" s="24">
        <v>88</v>
      </c>
      <c r="S363" s="35">
        <f>PLANPRODUCCION[[#This Row],[PRECIO MAQUILAS]]*PLANPRODUCCION[[#This Row],[PIEZAS REAL]]</f>
        <v>1320</v>
      </c>
      <c r="T36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6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6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1550</v>
      </c>
      <c r="W36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-230</v>
      </c>
      <c r="X363" s="8"/>
      <c r="Y36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6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6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63" s="13" t="e">
        <f>IF(PLANPRODUCCION[[#This Row],[PIEZAS REAL]]&gt;0,PLANPRODUCCION[[#This Row],[PIEZAS REAL]]/PLANPRODUCCION[[#This Row],[PIEZAS ACTUALIZADO]],)</f>
        <v>#DIV/0!</v>
      </c>
      <c r="AC363" s="10" t="b">
        <f>PLANPRODUCCION[[#This Row],[INGRESO PLANEADO]]&lt;PLANPRODUCCION[[#This Row],[COSTO PLANEADO]]</f>
        <v>0</v>
      </c>
      <c r="AD363" s="46" t="s">
        <v>487</v>
      </c>
      <c r="AE363" s="10"/>
      <c r="AF363" s="10" t="b">
        <f>IF(COUNTIF(PLANPRODUCCION[[#This Row],[OBSERVACIONES]],"NO APLICA BONO*")&gt;0,TRUE,FALSE)</f>
        <v>0</v>
      </c>
    </row>
    <row r="364" spans="1:32" x14ac:dyDescent="0.25">
      <c r="A364" s="46" t="str">
        <f>UPPER(IF(PLANPRODUCCION[[#This Row],[FECHA]]&lt;=45701,_xlfn.CONCAT(TEXT(B364,"MMM"),"-",IF(ROW(A364)&lt;11,"000"&amp;ROW(A364)-1,IF(ROW(A364)&lt;101,"00"&amp;ROW(A364)-1,IF(ROW(A364)&lt;1001,"0"&amp;ROW(A364)-1,ROW(A364)-1))),"-OLD"),_xlfn.CONCAT(TEXT(B364,"MMM"),"-",IF(ROW(A364)&lt;473,"000"&amp;ROW(A364)-463,IF(ROW(A364)&lt;563,"00"&amp;ROW(A364)-463,IF(ROW(A364)&lt;1001,"0"&amp;ROW(A364)-463,ROW(A364)-463))))))</f>
        <v>FEB-0363-OLD</v>
      </c>
      <c r="B364" s="1">
        <v>45692</v>
      </c>
      <c r="C364" s="5"/>
      <c r="D364" s="5"/>
      <c r="E364" t="s">
        <v>72</v>
      </c>
      <c r="F364" s="32"/>
      <c r="G364" s="32"/>
      <c r="H364" s="5">
        <v>1522</v>
      </c>
      <c r="I364" t="s">
        <v>434</v>
      </c>
      <c r="J364" t="s">
        <v>435</v>
      </c>
      <c r="K364" s="5"/>
      <c r="L364" s="10" t="s">
        <v>57</v>
      </c>
      <c r="M364" s="49">
        <v>0.3</v>
      </c>
      <c r="N364" s="34">
        <f>PLANPRODUCCION[[#This Row],[PIEZAS PLANEADAS]]*PLANPRODUCCION[[#This Row],[PRECIO MAQUILAS]]</f>
        <v>0</v>
      </c>
      <c r="O364" s="5">
        <v>1</v>
      </c>
      <c r="P364" s="2">
        <v>0.66666666666666663</v>
      </c>
      <c r="Q364" s="2">
        <v>0.875</v>
      </c>
      <c r="R364" s="24">
        <v>1152</v>
      </c>
      <c r="S364" s="35">
        <f>PLANPRODUCCION[[#This Row],[PRECIO MAQUILAS]]*PLANPRODUCCION[[#This Row],[PIEZAS REAL]]</f>
        <v>345.59999999999997</v>
      </c>
      <c r="T36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6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6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36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35.599999999999966</v>
      </c>
      <c r="X364" s="8"/>
      <c r="Y36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6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6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64" s="13" t="e">
        <f>IF(PLANPRODUCCION[[#This Row],[PIEZAS REAL]]&gt;0,PLANPRODUCCION[[#This Row],[PIEZAS REAL]]/PLANPRODUCCION[[#This Row],[PIEZAS ACTUALIZADO]],)</f>
        <v>#DIV/0!</v>
      </c>
      <c r="AC364" s="10" t="b">
        <f>PLANPRODUCCION[[#This Row],[INGRESO PLANEADO]]&lt;PLANPRODUCCION[[#This Row],[COSTO PLANEADO]]</f>
        <v>0</v>
      </c>
      <c r="AD364" s="46" t="s">
        <v>488</v>
      </c>
      <c r="AE364" s="10"/>
      <c r="AF364" s="10" t="b">
        <f>IF(COUNTIF(PLANPRODUCCION[[#This Row],[OBSERVACIONES]],"NO APLICA BONO*")&gt;0,TRUE,FALSE)</f>
        <v>0</v>
      </c>
    </row>
    <row r="365" spans="1:32" x14ac:dyDescent="0.25">
      <c r="A365" s="46" t="str">
        <f>UPPER(IF(PLANPRODUCCION[[#This Row],[FECHA]]&lt;=45701,_xlfn.CONCAT(TEXT(B365,"MMM"),"-",IF(ROW(A365)&lt;11,"000"&amp;ROW(A365)-1,IF(ROW(A365)&lt;101,"00"&amp;ROW(A365)-1,IF(ROW(A365)&lt;1001,"0"&amp;ROW(A365)-1,ROW(A365)-1))),"-OLD"),_xlfn.CONCAT(TEXT(B365,"MMM"),"-",IF(ROW(A365)&lt;473,"000"&amp;ROW(A365)-463,IF(ROW(A365)&lt;563,"00"&amp;ROW(A365)-463,IF(ROW(A365)&lt;1001,"0"&amp;ROW(A365)-463,ROW(A365)-463))))))</f>
        <v>FEB-0364-OLD</v>
      </c>
      <c r="B365" s="1">
        <v>45692</v>
      </c>
      <c r="C365" s="5"/>
      <c r="D365" s="5"/>
      <c r="E365" t="s">
        <v>75</v>
      </c>
      <c r="F365" s="32"/>
      <c r="G365" s="32"/>
      <c r="H365" s="5">
        <v>1522</v>
      </c>
      <c r="I365" t="s">
        <v>434</v>
      </c>
      <c r="J365" t="s">
        <v>441</v>
      </c>
      <c r="K365" s="5"/>
      <c r="L365" s="10" t="s">
        <v>283</v>
      </c>
      <c r="M365" s="49">
        <v>15</v>
      </c>
      <c r="N365" s="34">
        <f>PLANPRODUCCION[[#This Row],[PIEZAS PLANEADAS]]*PLANPRODUCCION[[#This Row],[PRECIO MAQUILAS]]</f>
        <v>0</v>
      </c>
      <c r="O365" s="5">
        <v>9</v>
      </c>
      <c r="P365" s="2">
        <v>0.875</v>
      </c>
      <c r="Q365" s="2">
        <v>0.25</v>
      </c>
      <c r="R365" s="24">
        <v>333</v>
      </c>
      <c r="S365" s="35">
        <f>PLANPRODUCCION[[#This Row],[PRECIO MAQUILAS]]*PLANPRODUCCION[[#This Row],[PIEZAS REAL]]</f>
        <v>4995</v>
      </c>
      <c r="T36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6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6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6750</v>
      </c>
      <c r="W36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-1755</v>
      </c>
      <c r="X365" s="8"/>
      <c r="Y36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6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6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65" s="13" t="e">
        <f>IF(PLANPRODUCCION[[#This Row],[PIEZAS REAL]]&gt;0,PLANPRODUCCION[[#This Row],[PIEZAS REAL]]/PLANPRODUCCION[[#This Row],[PIEZAS ACTUALIZADO]],)</f>
        <v>#DIV/0!</v>
      </c>
      <c r="AC365" s="10" t="b">
        <f>PLANPRODUCCION[[#This Row],[INGRESO PLANEADO]]&lt;PLANPRODUCCION[[#This Row],[COSTO PLANEADO]]</f>
        <v>0</v>
      </c>
      <c r="AD365" s="46" t="s">
        <v>489</v>
      </c>
      <c r="AE365" s="10"/>
      <c r="AF365" s="10" t="b">
        <f>IF(COUNTIF(PLANPRODUCCION[[#This Row],[OBSERVACIONES]],"NO APLICA BONO*")&gt;0,TRUE,FALSE)</f>
        <v>0</v>
      </c>
    </row>
    <row r="366" spans="1:32" x14ac:dyDescent="0.25">
      <c r="A366" s="46" t="str">
        <f>UPPER(IF(PLANPRODUCCION[[#This Row],[FECHA]]&lt;=45701,_xlfn.CONCAT(TEXT(B366,"MMM"),"-",IF(ROW(A366)&lt;11,"000"&amp;ROW(A366)-1,IF(ROW(A366)&lt;101,"00"&amp;ROW(A366)-1,IF(ROW(A366)&lt;1001,"0"&amp;ROW(A366)-1,ROW(A366)-1))),"-OLD"),_xlfn.CONCAT(TEXT(B366,"MMM"),"-",IF(ROW(A366)&lt;473,"000"&amp;ROW(A366)-463,IF(ROW(A366)&lt;563,"00"&amp;ROW(A366)-463,IF(ROW(A366)&lt;1001,"0"&amp;ROW(A366)-463,ROW(A366)-463))))))</f>
        <v>FEB-0365-OLD</v>
      </c>
      <c r="B366" s="1">
        <v>45693</v>
      </c>
      <c r="C366" s="5"/>
      <c r="D366" s="5"/>
      <c r="E366" t="s">
        <v>54</v>
      </c>
      <c r="F366" s="32"/>
      <c r="G366" s="32"/>
      <c r="H366" s="5">
        <v>1477</v>
      </c>
      <c r="I366" t="s">
        <v>85</v>
      </c>
      <c r="J366" t="s">
        <v>86</v>
      </c>
      <c r="K366" s="5"/>
      <c r="L366" s="10" t="s">
        <v>57</v>
      </c>
      <c r="M366" s="49">
        <v>6</v>
      </c>
      <c r="N366" s="34">
        <f>PLANPRODUCCION[[#This Row],[PIEZAS PLANEADAS]]*PLANPRODUCCION[[#This Row],[PRECIO MAQUILAS]]</f>
        <v>0</v>
      </c>
      <c r="O366" s="5">
        <v>3</v>
      </c>
      <c r="P366" s="2">
        <v>0.25</v>
      </c>
      <c r="Q366" s="2">
        <v>0.66666666666666663</v>
      </c>
      <c r="R366" s="24">
        <v>500</v>
      </c>
      <c r="S366" s="35">
        <f>PLANPRODUCCION[[#This Row],[PRECIO MAQUILAS]]*PLANPRODUCCION[[#This Row],[PIEZAS REAL]]</f>
        <v>3000</v>
      </c>
      <c r="T36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6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6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36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1140</v>
      </c>
      <c r="X366" s="8"/>
      <c r="Y36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6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6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66" s="13" t="e">
        <f>IF(PLANPRODUCCION[[#This Row],[PIEZAS REAL]]&gt;0,PLANPRODUCCION[[#This Row],[PIEZAS REAL]]/PLANPRODUCCION[[#This Row],[PIEZAS ACTUALIZADO]],)</f>
        <v>#DIV/0!</v>
      </c>
      <c r="AC366" s="10" t="b">
        <f>PLANPRODUCCION[[#This Row],[INGRESO PLANEADO]]&lt;PLANPRODUCCION[[#This Row],[COSTO PLANEADO]]</f>
        <v>0</v>
      </c>
      <c r="AD366" s="46" t="s">
        <v>490</v>
      </c>
      <c r="AE366" s="10"/>
      <c r="AF366" s="10" t="b">
        <f>IF(COUNTIF(PLANPRODUCCION[[#This Row],[OBSERVACIONES]],"NO APLICA BONO*")&gt;0,TRUE,FALSE)</f>
        <v>0</v>
      </c>
    </row>
    <row r="367" spans="1:32" x14ac:dyDescent="0.25">
      <c r="A367" s="46" t="str">
        <f>UPPER(IF(PLANPRODUCCION[[#This Row],[FECHA]]&lt;=45701,_xlfn.CONCAT(TEXT(B367,"MMM"),"-",IF(ROW(A367)&lt;11,"000"&amp;ROW(A367)-1,IF(ROW(A367)&lt;101,"00"&amp;ROW(A367)-1,IF(ROW(A367)&lt;1001,"0"&amp;ROW(A367)-1,ROW(A367)-1))),"-OLD"),_xlfn.CONCAT(TEXT(B367,"MMM"),"-",IF(ROW(A367)&lt;473,"000"&amp;ROW(A367)-463,IF(ROW(A367)&lt;563,"00"&amp;ROW(A367)-463,IF(ROW(A367)&lt;1001,"0"&amp;ROW(A367)-463,ROW(A367)-463))))))</f>
        <v>FEB-0366-OLD</v>
      </c>
      <c r="B367" s="1">
        <v>45693</v>
      </c>
      <c r="C367" s="5"/>
      <c r="D367" s="5"/>
      <c r="E367" t="s">
        <v>54</v>
      </c>
      <c r="F367" s="32"/>
      <c r="G367" s="32"/>
      <c r="H367" s="5">
        <v>1522</v>
      </c>
      <c r="I367" t="s">
        <v>434</v>
      </c>
      <c r="J367" t="s">
        <v>435</v>
      </c>
      <c r="K367" s="5"/>
      <c r="L367" s="10" t="s">
        <v>57</v>
      </c>
      <c r="M367" s="49">
        <v>0.3</v>
      </c>
      <c r="N367" s="34">
        <f>PLANPRODUCCION[[#This Row],[PIEZAS PLANEADAS]]*PLANPRODUCCION[[#This Row],[PRECIO MAQUILAS]]</f>
        <v>0</v>
      </c>
      <c r="O367" s="5">
        <v>1</v>
      </c>
      <c r="P367" s="2">
        <v>0.25</v>
      </c>
      <c r="Q367" s="2">
        <v>0.66666666666666663</v>
      </c>
      <c r="R367" s="24">
        <v>2607</v>
      </c>
      <c r="S367" s="35">
        <f>PLANPRODUCCION[[#This Row],[PRECIO MAQUILAS]]*PLANPRODUCCION[[#This Row],[PIEZAS REAL]]</f>
        <v>782.1</v>
      </c>
      <c r="T36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6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6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36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162.10000000000002</v>
      </c>
      <c r="X367" s="8"/>
      <c r="Y36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6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6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67" s="13" t="e">
        <f>IF(PLANPRODUCCION[[#This Row],[PIEZAS REAL]]&gt;0,PLANPRODUCCION[[#This Row],[PIEZAS REAL]]/PLANPRODUCCION[[#This Row],[PIEZAS ACTUALIZADO]],)</f>
        <v>#DIV/0!</v>
      </c>
      <c r="AC367" s="10" t="b">
        <f>PLANPRODUCCION[[#This Row],[INGRESO PLANEADO]]&lt;PLANPRODUCCION[[#This Row],[COSTO PLANEADO]]</f>
        <v>0</v>
      </c>
      <c r="AD367" s="46" t="s">
        <v>491</v>
      </c>
      <c r="AE367" s="10"/>
      <c r="AF367" s="10" t="b">
        <f>IF(COUNTIF(PLANPRODUCCION[[#This Row],[OBSERVACIONES]],"NO APLICA BONO*")&gt;0,TRUE,FALSE)</f>
        <v>0</v>
      </c>
    </row>
    <row r="368" spans="1:32" x14ac:dyDescent="0.25">
      <c r="A368" s="46" t="str">
        <f>UPPER(IF(PLANPRODUCCION[[#This Row],[FECHA]]&lt;=45701,_xlfn.CONCAT(TEXT(B368,"MMM"),"-",IF(ROW(A368)&lt;11,"000"&amp;ROW(A368)-1,IF(ROW(A368)&lt;101,"00"&amp;ROW(A368)-1,IF(ROW(A368)&lt;1001,"0"&amp;ROW(A368)-1,ROW(A368)-1))),"-OLD"),_xlfn.CONCAT(TEXT(B368,"MMM"),"-",IF(ROW(A368)&lt;473,"000"&amp;ROW(A368)-463,IF(ROW(A368)&lt;563,"00"&amp;ROW(A368)-463,IF(ROW(A368)&lt;1001,"0"&amp;ROW(A368)-463,ROW(A368)-463))))))</f>
        <v>FEB-0367-OLD</v>
      </c>
      <c r="B368" s="1">
        <v>45693</v>
      </c>
      <c r="C368" s="5"/>
      <c r="D368" s="5"/>
      <c r="E368" t="s">
        <v>54</v>
      </c>
      <c r="F368" s="32"/>
      <c r="G368" s="32"/>
      <c r="H368" s="5">
        <v>1522</v>
      </c>
      <c r="I368" t="s">
        <v>434</v>
      </c>
      <c r="J368" t="s">
        <v>441</v>
      </c>
      <c r="K368" s="5"/>
      <c r="L368" s="10" t="s">
        <v>283</v>
      </c>
      <c r="M368" s="49">
        <v>15</v>
      </c>
      <c r="N368" s="34">
        <f>PLANPRODUCCION[[#This Row],[PIEZAS PLANEADAS]]*PLANPRODUCCION[[#This Row],[PRECIO MAQUILAS]]</f>
        <v>0</v>
      </c>
      <c r="O368" s="5">
        <v>5</v>
      </c>
      <c r="P368" s="2">
        <v>0.25</v>
      </c>
      <c r="Q368" s="2">
        <v>0.66666666666666663</v>
      </c>
      <c r="R368" s="24">
        <v>215</v>
      </c>
      <c r="S368" s="35">
        <f>PLANPRODUCCION[[#This Row],[PRECIO MAQUILAS]]*PLANPRODUCCION[[#This Row],[PIEZAS REAL]]</f>
        <v>3225</v>
      </c>
      <c r="T36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6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6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36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125</v>
      </c>
      <c r="X368" s="8"/>
      <c r="Y36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6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6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68" s="13" t="e">
        <f>IF(PLANPRODUCCION[[#This Row],[PIEZAS REAL]]&gt;0,PLANPRODUCCION[[#This Row],[PIEZAS REAL]]/PLANPRODUCCION[[#This Row],[PIEZAS ACTUALIZADO]],)</f>
        <v>#DIV/0!</v>
      </c>
      <c r="AC368" s="10" t="b">
        <f>PLANPRODUCCION[[#This Row],[INGRESO PLANEADO]]&lt;PLANPRODUCCION[[#This Row],[COSTO PLANEADO]]</f>
        <v>0</v>
      </c>
      <c r="AD368" s="46" t="s">
        <v>492</v>
      </c>
      <c r="AE368" s="10"/>
      <c r="AF368" s="10" t="b">
        <f>IF(COUNTIF(PLANPRODUCCION[[#This Row],[OBSERVACIONES]],"NO APLICA BONO*")&gt;0,TRUE,FALSE)</f>
        <v>0</v>
      </c>
    </row>
    <row r="369" spans="1:32" x14ac:dyDescent="0.25">
      <c r="A369" s="46" t="str">
        <f>UPPER(IF(PLANPRODUCCION[[#This Row],[FECHA]]&lt;=45701,_xlfn.CONCAT(TEXT(B369,"MMM"),"-",IF(ROW(A369)&lt;11,"000"&amp;ROW(A369)-1,IF(ROW(A369)&lt;101,"00"&amp;ROW(A369)-1,IF(ROW(A369)&lt;1001,"0"&amp;ROW(A369)-1,ROW(A369)-1))),"-OLD"),_xlfn.CONCAT(TEXT(B369,"MMM"),"-",IF(ROW(A369)&lt;473,"000"&amp;ROW(A369)-463,IF(ROW(A369)&lt;563,"00"&amp;ROW(A369)-463,IF(ROW(A369)&lt;1001,"0"&amp;ROW(A369)-463,ROW(A369)-463))))))</f>
        <v>FEB-0368-OLD</v>
      </c>
      <c r="B369" s="1">
        <v>45693</v>
      </c>
      <c r="C369" s="5"/>
      <c r="D369" s="5"/>
      <c r="E369" t="s">
        <v>54</v>
      </c>
      <c r="F369" s="32"/>
      <c r="G369" s="32"/>
      <c r="H369" s="5">
        <v>1522</v>
      </c>
      <c r="I369" t="s">
        <v>434</v>
      </c>
      <c r="J369" t="s">
        <v>441</v>
      </c>
      <c r="K369" s="5"/>
      <c r="L369" s="10" t="s">
        <v>283</v>
      </c>
      <c r="M369" s="49">
        <v>15</v>
      </c>
      <c r="N369" s="34">
        <f>PLANPRODUCCION[[#This Row],[PIEZAS PLANEADAS]]*PLANPRODUCCION[[#This Row],[PRECIO MAQUILAS]]</f>
        <v>0</v>
      </c>
      <c r="O369" s="5">
        <v>5</v>
      </c>
      <c r="P369" s="2">
        <v>0.25</v>
      </c>
      <c r="Q369" s="2">
        <v>0.66666666666666663</v>
      </c>
      <c r="R369" s="24">
        <v>274</v>
      </c>
      <c r="S369" s="35">
        <f>PLANPRODUCCION[[#This Row],[PRECIO MAQUILAS]]*PLANPRODUCCION[[#This Row],[PIEZAS REAL]]</f>
        <v>4110</v>
      </c>
      <c r="T36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6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6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36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1010</v>
      </c>
      <c r="X369" s="8"/>
      <c r="Y36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6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6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69" s="13" t="e">
        <f>IF(PLANPRODUCCION[[#This Row],[PIEZAS REAL]]&gt;0,PLANPRODUCCION[[#This Row],[PIEZAS REAL]]/PLANPRODUCCION[[#This Row],[PIEZAS ACTUALIZADO]],)</f>
        <v>#DIV/0!</v>
      </c>
      <c r="AC369" s="10" t="b">
        <f>PLANPRODUCCION[[#This Row],[INGRESO PLANEADO]]&lt;PLANPRODUCCION[[#This Row],[COSTO PLANEADO]]</f>
        <v>0</v>
      </c>
      <c r="AD369" s="46" t="s">
        <v>493</v>
      </c>
      <c r="AE369" s="10"/>
      <c r="AF369" s="10" t="b">
        <f>IF(COUNTIF(PLANPRODUCCION[[#This Row],[OBSERVACIONES]],"NO APLICA BONO*")&gt;0,TRUE,FALSE)</f>
        <v>0</v>
      </c>
    </row>
    <row r="370" spans="1:32" x14ac:dyDescent="0.25">
      <c r="A370" s="46" t="str">
        <f>UPPER(IF(PLANPRODUCCION[[#This Row],[FECHA]]&lt;=45701,_xlfn.CONCAT(TEXT(B370,"MMM"),"-",IF(ROW(A370)&lt;11,"000"&amp;ROW(A370)-1,IF(ROW(A370)&lt;101,"00"&amp;ROW(A370)-1,IF(ROW(A370)&lt;1001,"0"&amp;ROW(A370)-1,ROW(A370)-1))),"-OLD"),_xlfn.CONCAT(TEXT(B370,"MMM"),"-",IF(ROW(A370)&lt;473,"000"&amp;ROW(A370)-463,IF(ROW(A370)&lt;563,"00"&amp;ROW(A370)-463,IF(ROW(A370)&lt;1001,"0"&amp;ROW(A370)-463,ROW(A370)-463))))))</f>
        <v>FEB-0369-OLD</v>
      </c>
      <c r="B370" s="1">
        <v>45693</v>
      </c>
      <c r="C370" s="5"/>
      <c r="D370" s="5"/>
      <c r="E370" t="s">
        <v>54</v>
      </c>
      <c r="F370" s="32"/>
      <c r="G370" s="32"/>
      <c r="H370" s="5">
        <v>1525</v>
      </c>
      <c r="I370" t="s">
        <v>197</v>
      </c>
      <c r="J370" t="s">
        <v>198</v>
      </c>
      <c r="K370" s="5"/>
      <c r="L370" s="10" t="s">
        <v>57</v>
      </c>
      <c r="M370" s="49">
        <v>2</v>
      </c>
      <c r="N370" s="34">
        <f>PLANPRODUCCION[[#This Row],[PIEZAS PLANEADAS]]*PLANPRODUCCION[[#This Row],[PRECIO MAQUILAS]]</f>
        <v>0</v>
      </c>
      <c r="O370" s="5">
        <v>3</v>
      </c>
      <c r="P370" s="2">
        <v>0.25</v>
      </c>
      <c r="Q370" s="2">
        <v>0.45833333333333331</v>
      </c>
      <c r="R370" s="24">
        <v>1000</v>
      </c>
      <c r="S370" s="35">
        <f>PLANPRODUCCION[[#This Row],[PRECIO MAQUILAS]]*PLANPRODUCCION[[#This Row],[PIEZAS REAL]]</f>
        <v>2000</v>
      </c>
      <c r="T37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7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7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37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1070</v>
      </c>
      <c r="X370" s="8"/>
      <c r="Y37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7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7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70" s="13" t="e">
        <f>IF(PLANPRODUCCION[[#This Row],[PIEZAS REAL]]&gt;0,PLANPRODUCCION[[#This Row],[PIEZAS REAL]]/PLANPRODUCCION[[#This Row],[PIEZAS ACTUALIZADO]],)</f>
        <v>#DIV/0!</v>
      </c>
      <c r="AC370" s="10" t="b">
        <f>PLANPRODUCCION[[#This Row],[INGRESO PLANEADO]]&lt;PLANPRODUCCION[[#This Row],[COSTO PLANEADO]]</f>
        <v>0</v>
      </c>
      <c r="AD370" s="46" t="s">
        <v>494</v>
      </c>
      <c r="AE370" s="10"/>
      <c r="AF370" s="10" t="b">
        <f>IF(COUNTIF(PLANPRODUCCION[[#This Row],[OBSERVACIONES]],"NO APLICA BONO*")&gt;0,TRUE,FALSE)</f>
        <v>0</v>
      </c>
    </row>
    <row r="371" spans="1:32" x14ac:dyDescent="0.25">
      <c r="A371" s="46" t="str">
        <f>UPPER(IF(PLANPRODUCCION[[#This Row],[FECHA]]&lt;=45701,_xlfn.CONCAT(TEXT(B371,"MMM"),"-",IF(ROW(A371)&lt;11,"000"&amp;ROW(A371)-1,IF(ROW(A371)&lt;101,"00"&amp;ROW(A371)-1,IF(ROW(A371)&lt;1001,"0"&amp;ROW(A371)-1,ROW(A371)-1))),"-OLD"),_xlfn.CONCAT(TEXT(B371,"MMM"),"-",IF(ROW(A371)&lt;473,"000"&amp;ROW(A371)-463,IF(ROW(A371)&lt;563,"00"&amp;ROW(A371)-463,IF(ROW(A371)&lt;1001,"0"&amp;ROW(A371)-463,ROW(A371)-463))))))</f>
        <v>FEB-0370-OLD</v>
      </c>
      <c r="B371" s="1">
        <v>45693</v>
      </c>
      <c r="C371" s="5"/>
      <c r="D371" s="5"/>
      <c r="E371" t="s">
        <v>54</v>
      </c>
      <c r="F371" s="32"/>
      <c r="G371" s="32"/>
      <c r="H371" s="5">
        <v>1525</v>
      </c>
      <c r="I371" t="s">
        <v>197</v>
      </c>
      <c r="J371" t="s">
        <v>278</v>
      </c>
      <c r="K371" s="5"/>
      <c r="L371" s="10" t="s">
        <v>57</v>
      </c>
      <c r="M371" s="49">
        <v>0.21</v>
      </c>
      <c r="N371" s="34">
        <f>PLANPRODUCCION[[#This Row],[PIEZAS PLANEADAS]]*PLANPRODUCCION[[#This Row],[PRECIO MAQUILAS]]</f>
        <v>0</v>
      </c>
      <c r="O371" s="5">
        <v>3</v>
      </c>
      <c r="P371" s="2">
        <v>0.5</v>
      </c>
      <c r="Q371" s="2">
        <v>0.66666666666666663</v>
      </c>
      <c r="R371" s="24">
        <v>4800</v>
      </c>
      <c r="S371" s="35">
        <f>PLANPRODUCCION[[#This Row],[PRECIO MAQUILAS]]*PLANPRODUCCION[[#This Row],[PIEZAS REAL]]</f>
        <v>1008</v>
      </c>
      <c r="T37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7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7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37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264</v>
      </c>
      <c r="X371" s="8"/>
      <c r="Y37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7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7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71" s="13" t="e">
        <f>IF(PLANPRODUCCION[[#This Row],[PIEZAS REAL]]&gt;0,PLANPRODUCCION[[#This Row],[PIEZAS REAL]]/PLANPRODUCCION[[#This Row],[PIEZAS ACTUALIZADO]],)</f>
        <v>#DIV/0!</v>
      </c>
      <c r="AC371" s="10" t="b">
        <f>PLANPRODUCCION[[#This Row],[INGRESO PLANEADO]]&lt;PLANPRODUCCION[[#This Row],[COSTO PLANEADO]]</f>
        <v>0</v>
      </c>
      <c r="AD371" s="46" t="s">
        <v>495</v>
      </c>
      <c r="AE371" s="10"/>
      <c r="AF371" s="10" t="b">
        <f>IF(COUNTIF(PLANPRODUCCION[[#This Row],[OBSERVACIONES]],"NO APLICA BONO*")&gt;0,TRUE,FALSE)</f>
        <v>0</v>
      </c>
    </row>
    <row r="372" spans="1:32" x14ac:dyDescent="0.25">
      <c r="A372" s="46" t="str">
        <f>UPPER(IF(PLANPRODUCCION[[#This Row],[FECHA]]&lt;=45701,_xlfn.CONCAT(TEXT(B372,"MMM"),"-",IF(ROW(A372)&lt;11,"000"&amp;ROW(A372)-1,IF(ROW(A372)&lt;101,"00"&amp;ROW(A372)-1,IF(ROW(A372)&lt;1001,"0"&amp;ROW(A372)-1,ROW(A372)-1))),"-OLD"),_xlfn.CONCAT(TEXT(B372,"MMM"),"-",IF(ROW(A372)&lt;473,"000"&amp;ROW(A372)-463,IF(ROW(A372)&lt;563,"00"&amp;ROW(A372)-463,IF(ROW(A372)&lt;1001,"0"&amp;ROW(A372)-463,ROW(A372)-463))))))</f>
        <v>FEB-0371-OLD</v>
      </c>
      <c r="B372" s="1">
        <v>45693</v>
      </c>
      <c r="C372" s="5"/>
      <c r="D372" s="5"/>
      <c r="E372" t="s">
        <v>67</v>
      </c>
      <c r="F372" s="32"/>
      <c r="G372" s="32"/>
      <c r="H372" s="5">
        <v>1477</v>
      </c>
      <c r="I372" t="s">
        <v>85</v>
      </c>
      <c r="J372" t="s">
        <v>86</v>
      </c>
      <c r="K372" s="5"/>
      <c r="L372" s="10" t="s">
        <v>57</v>
      </c>
      <c r="M372" s="49">
        <v>6</v>
      </c>
      <c r="N372" s="34">
        <f>PLANPRODUCCION[[#This Row],[PIEZAS PLANEADAS]]*PLANPRODUCCION[[#This Row],[PRECIO MAQUILAS]]</f>
        <v>0</v>
      </c>
      <c r="O372" s="5">
        <v>2</v>
      </c>
      <c r="P372" s="2">
        <v>0.33333333333333331</v>
      </c>
      <c r="Q372" s="2">
        <v>0.75</v>
      </c>
      <c r="R372" s="24">
        <v>340</v>
      </c>
      <c r="S372" s="35">
        <f>PLANPRODUCCION[[#This Row],[PRECIO MAQUILAS]]*PLANPRODUCCION[[#This Row],[PIEZAS REAL]]</f>
        <v>2040</v>
      </c>
      <c r="T37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7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7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37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800</v>
      </c>
      <c r="X372" s="8"/>
      <c r="Y37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7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7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72" s="13" t="e">
        <f>IF(PLANPRODUCCION[[#This Row],[PIEZAS REAL]]&gt;0,PLANPRODUCCION[[#This Row],[PIEZAS REAL]]/PLANPRODUCCION[[#This Row],[PIEZAS ACTUALIZADO]],)</f>
        <v>#DIV/0!</v>
      </c>
      <c r="AC372" s="10" t="b">
        <f>PLANPRODUCCION[[#This Row],[INGRESO PLANEADO]]&lt;PLANPRODUCCION[[#This Row],[COSTO PLANEADO]]</f>
        <v>0</v>
      </c>
      <c r="AD372" s="46" t="s">
        <v>496</v>
      </c>
      <c r="AE372" s="10"/>
      <c r="AF372" s="10" t="b">
        <f>IF(COUNTIF(PLANPRODUCCION[[#This Row],[OBSERVACIONES]],"NO APLICA BONO*")&gt;0,TRUE,FALSE)</f>
        <v>0</v>
      </c>
    </row>
    <row r="373" spans="1:32" x14ac:dyDescent="0.25">
      <c r="A373" s="46" t="str">
        <f>UPPER(IF(PLANPRODUCCION[[#This Row],[FECHA]]&lt;=45701,_xlfn.CONCAT(TEXT(B373,"MMM"),"-",IF(ROW(A373)&lt;11,"000"&amp;ROW(A373)-1,IF(ROW(A373)&lt;101,"00"&amp;ROW(A373)-1,IF(ROW(A373)&lt;1001,"0"&amp;ROW(A373)-1,ROW(A373)-1))),"-OLD"),_xlfn.CONCAT(TEXT(B373,"MMM"),"-",IF(ROW(A373)&lt;473,"000"&amp;ROW(A373)-463,IF(ROW(A373)&lt;563,"00"&amp;ROW(A373)-463,IF(ROW(A373)&lt;1001,"0"&amp;ROW(A373)-463,ROW(A373)-463))))))</f>
        <v>FEB-0372-OLD</v>
      </c>
      <c r="B373" s="1">
        <v>45693</v>
      </c>
      <c r="C373" s="5"/>
      <c r="D373" s="5"/>
      <c r="E373" t="s">
        <v>67</v>
      </c>
      <c r="F373" s="32"/>
      <c r="G373" s="32"/>
      <c r="H373" s="5">
        <v>1477</v>
      </c>
      <c r="I373" t="s">
        <v>85</v>
      </c>
      <c r="J373" t="s">
        <v>86</v>
      </c>
      <c r="K373" s="5"/>
      <c r="L373" s="10" t="s">
        <v>57</v>
      </c>
      <c r="M373" s="49">
        <v>6</v>
      </c>
      <c r="N373" s="34">
        <f>PLANPRODUCCION[[#This Row],[PIEZAS PLANEADAS]]*PLANPRODUCCION[[#This Row],[PRECIO MAQUILAS]]</f>
        <v>0</v>
      </c>
      <c r="O373" s="5">
        <v>3</v>
      </c>
      <c r="P373" s="2">
        <v>0.33333333333333331</v>
      </c>
      <c r="Q373" s="2">
        <v>0.75</v>
      </c>
      <c r="R373" s="24">
        <v>800</v>
      </c>
      <c r="S373" s="35">
        <f>PLANPRODUCCION[[#This Row],[PRECIO MAQUILAS]]*PLANPRODUCCION[[#This Row],[PIEZAS REAL]]</f>
        <v>4800</v>
      </c>
      <c r="T37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7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7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37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2940</v>
      </c>
      <c r="X373" s="8"/>
      <c r="Y37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7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7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73" s="13" t="e">
        <f>IF(PLANPRODUCCION[[#This Row],[PIEZAS REAL]]&gt;0,PLANPRODUCCION[[#This Row],[PIEZAS REAL]]/PLANPRODUCCION[[#This Row],[PIEZAS ACTUALIZADO]],)</f>
        <v>#DIV/0!</v>
      </c>
      <c r="AC373" s="10" t="b">
        <f>PLANPRODUCCION[[#This Row],[INGRESO PLANEADO]]&lt;PLANPRODUCCION[[#This Row],[COSTO PLANEADO]]</f>
        <v>0</v>
      </c>
      <c r="AD373" s="46" t="s">
        <v>497</v>
      </c>
      <c r="AE373" s="10"/>
      <c r="AF373" s="10" t="b">
        <f>IF(COUNTIF(PLANPRODUCCION[[#This Row],[OBSERVACIONES]],"NO APLICA BONO*")&gt;0,TRUE,FALSE)</f>
        <v>0</v>
      </c>
    </row>
    <row r="374" spans="1:32" x14ac:dyDescent="0.25">
      <c r="A374" s="46" t="str">
        <f>UPPER(IF(PLANPRODUCCION[[#This Row],[FECHA]]&lt;=45701,_xlfn.CONCAT(TEXT(B374,"MMM"),"-",IF(ROW(A374)&lt;11,"000"&amp;ROW(A374)-1,IF(ROW(A374)&lt;101,"00"&amp;ROW(A374)-1,IF(ROW(A374)&lt;1001,"0"&amp;ROW(A374)-1,ROW(A374)-1))),"-OLD"),_xlfn.CONCAT(TEXT(B374,"MMM"),"-",IF(ROW(A374)&lt;473,"000"&amp;ROW(A374)-463,IF(ROW(A374)&lt;563,"00"&amp;ROW(A374)-463,IF(ROW(A374)&lt;1001,"0"&amp;ROW(A374)-463,ROW(A374)-463))))))</f>
        <v>FEB-0373-OLD</v>
      </c>
      <c r="B374" s="1">
        <v>45693</v>
      </c>
      <c r="C374" s="5"/>
      <c r="D374" s="5"/>
      <c r="E374" t="s">
        <v>110</v>
      </c>
      <c r="F374" s="32"/>
      <c r="G374" s="32"/>
      <c r="H374" s="5">
        <v>1477</v>
      </c>
      <c r="I374" t="s">
        <v>85</v>
      </c>
      <c r="J374" t="s">
        <v>86</v>
      </c>
      <c r="K374" s="5"/>
      <c r="L374" s="10" t="s">
        <v>57</v>
      </c>
      <c r="M374" s="49">
        <v>6</v>
      </c>
      <c r="N374" s="34">
        <f>PLANPRODUCCION[[#This Row],[PIEZAS PLANEADAS]]*PLANPRODUCCION[[#This Row],[PRECIO MAQUILAS]]</f>
        <v>0</v>
      </c>
      <c r="O374" s="5">
        <v>3</v>
      </c>
      <c r="P374" s="2">
        <v>0.54166666666666663</v>
      </c>
      <c r="Q374" s="2">
        <v>0.875</v>
      </c>
      <c r="R374" s="24">
        <v>60</v>
      </c>
      <c r="S374" s="35">
        <f>PLANPRODUCCION[[#This Row],[PRECIO MAQUILAS]]*PLANPRODUCCION[[#This Row],[PIEZAS REAL]]</f>
        <v>360</v>
      </c>
      <c r="T37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7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7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37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-1500</v>
      </c>
      <c r="X374" s="8"/>
      <c r="Y37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7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7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74" s="13" t="e">
        <f>IF(PLANPRODUCCION[[#This Row],[PIEZAS REAL]]&gt;0,PLANPRODUCCION[[#This Row],[PIEZAS REAL]]/PLANPRODUCCION[[#This Row],[PIEZAS ACTUALIZADO]],)</f>
        <v>#DIV/0!</v>
      </c>
      <c r="AC374" s="10" t="b">
        <f>PLANPRODUCCION[[#This Row],[INGRESO PLANEADO]]&lt;PLANPRODUCCION[[#This Row],[COSTO PLANEADO]]</f>
        <v>0</v>
      </c>
      <c r="AD374" s="46" t="s">
        <v>498</v>
      </c>
      <c r="AE374" s="10"/>
      <c r="AF374" s="10" t="b">
        <f>IF(COUNTIF(PLANPRODUCCION[[#This Row],[OBSERVACIONES]],"NO APLICA BONO*")&gt;0,TRUE,FALSE)</f>
        <v>0</v>
      </c>
    </row>
    <row r="375" spans="1:32" x14ac:dyDescent="0.25">
      <c r="A375" s="46" t="str">
        <f>UPPER(IF(PLANPRODUCCION[[#This Row],[FECHA]]&lt;=45701,_xlfn.CONCAT(TEXT(B375,"MMM"),"-",IF(ROW(A375)&lt;11,"000"&amp;ROW(A375)-1,IF(ROW(A375)&lt;101,"00"&amp;ROW(A375)-1,IF(ROW(A375)&lt;1001,"0"&amp;ROW(A375)-1,ROW(A375)-1))),"-OLD"),_xlfn.CONCAT(TEXT(B375,"MMM"),"-",IF(ROW(A375)&lt;473,"000"&amp;ROW(A375)-463,IF(ROW(A375)&lt;563,"00"&amp;ROW(A375)-463,IF(ROW(A375)&lt;1001,"0"&amp;ROW(A375)-463,ROW(A375)-463))))))</f>
        <v>FEB-0374-OLD</v>
      </c>
      <c r="B375" s="1">
        <v>45693</v>
      </c>
      <c r="C375" s="5"/>
      <c r="D375" s="5"/>
      <c r="E375" t="s">
        <v>110</v>
      </c>
      <c r="F375" s="32"/>
      <c r="G375" s="32"/>
      <c r="H375" s="5">
        <v>1525</v>
      </c>
      <c r="I375" t="s">
        <v>197</v>
      </c>
      <c r="J375" t="s">
        <v>278</v>
      </c>
      <c r="K375" s="5"/>
      <c r="L375" s="10" t="s">
        <v>57</v>
      </c>
      <c r="M375" s="49">
        <v>0.21</v>
      </c>
      <c r="N375" s="34">
        <f>PLANPRODUCCION[[#This Row],[PIEZAS PLANEADAS]]*PLANPRODUCCION[[#This Row],[PRECIO MAQUILAS]]</f>
        <v>0</v>
      </c>
      <c r="O375" s="5">
        <v>3</v>
      </c>
      <c r="P375" s="2">
        <v>0.54166666666666663</v>
      </c>
      <c r="Q375" s="2">
        <v>0.78125</v>
      </c>
      <c r="R375" s="24">
        <v>5700</v>
      </c>
      <c r="S375" s="35">
        <f>PLANPRODUCCION[[#This Row],[PRECIO MAQUILAS]]*PLANPRODUCCION[[#This Row],[PIEZAS REAL]]</f>
        <v>1197</v>
      </c>
      <c r="T37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7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7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1336.875</v>
      </c>
      <c r="W37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-139.875</v>
      </c>
      <c r="X375" s="8"/>
      <c r="Y37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7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7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75" s="13" t="e">
        <f>IF(PLANPRODUCCION[[#This Row],[PIEZAS REAL]]&gt;0,PLANPRODUCCION[[#This Row],[PIEZAS REAL]]/PLANPRODUCCION[[#This Row],[PIEZAS ACTUALIZADO]],)</f>
        <v>#DIV/0!</v>
      </c>
      <c r="AC375" s="10" t="b">
        <f>PLANPRODUCCION[[#This Row],[INGRESO PLANEADO]]&lt;PLANPRODUCCION[[#This Row],[COSTO PLANEADO]]</f>
        <v>0</v>
      </c>
      <c r="AD375" s="46" t="s">
        <v>499</v>
      </c>
      <c r="AE375" s="10"/>
      <c r="AF375" s="10" t="b">
        <f>IF(COUNTIF(PLANPRODUCCION[[#This Row],[OBSERVACIONES]],"NO APLICA BONO*")&gt;0,TRUE,FALSE)</f>
        <v>0</v>
      </c>
    </row>
    <row r="376" spans="1:32" x14ac:dyDescent="0.25">
      <c r="A376" s="46" t="str">
        <f>UPPER(IF(PLANPRODUCCION[[#This Row],[FECHA]]&lt;=45701,_xlfn.CONCAT(TEXT(B376,"MMM"),"-",IF(ROW(A376)&lt;11,"000"&amp;ROW(A376)-1,IF(ROW(A376)&lt;101,"00"&amp;ROW(A376)-1,IF(ROW(A376)&lt;1001,"0"&amp;ROW(A376)-1,ROW(A376)-1))),"-OLD"),_xlfn.CONCAT(TEXT(B376,"MMM"),"-",IF(ROW(A376)&lt;473,"000"&amp;ROW(A376)-463,IF(ROW(A376)&lt;563,"00"&amp;ROW(A376)-463,IF(ROW(A376)&lt;1001,"0"&amp;ROW(A376)-463,ROW(A376)-463))))))</f>
        <v>FEB-0375-OLD</v>
      </c>
      <c r="B376" s="1">
        <v>45693</v>
      </c>
      <c r="C376" s="5"/>
      <c r="D376" s="5"/>
      <c r="E376" t="s">
        <v>72</v>
      </c>
      <c r="F376" s="32"/>
      <c r="G376" s="32"/>
      <c r="H376" s="5">
        <v>1522</v>
      </c>
      <c r="I376" t="s">
        <v>434</v>
      </c>
      <c r="J376" t="s">
        <v>435</v>
      </c>
      <c r="K376" s="5"/>
      <c r="L376" s="10" t="s">
        <v>57</v>
      </c>
      <c r="M376" s="49">
        <v>0.3</v>
      </c>
      <c r="N376" s="34">
        <f>PLANPRODUCCION[[#This Row],[PIEZAS PLANEADAS]]*PLANPRODUCCION[[#This Row],[PRECIO MAQUILAS]]</f>
        <v>0</v>
      </c>
      <c r="O376" s="5">
        <v>1</v>
      </c>
      <c r="P376" s="2">
        <v>0.66666666666666663</v>
      </c>
      <c r="Q376" s="2">
        <v>0.875</v>
      </c>
      <c r="R376" s="24">
        <v>950</v>
      </c>
      <c r="S376" s="35">
        <f>PLANPRODUCCION[[#This Row],[PRECIO MAQUILAS]]*PLANPRODUCCION[[#This Row],[PIEZAS REAL]]</f>
        <v>285</v>
      </c>
      <c r="T37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7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7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37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-25</v>
      </c>
      <c r="X376" s="8"/>
      <c r="Y37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7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7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76" s="13" t="e">
        <f>IF(PLANPRODUCCION[[#This Row],[PIEZAS REAL]]&gt;0,PLANPRODUCCION[[#This Row],[PIEZAS REAL]]/PLANPRODUCCION[[#This Row],[PIEZAS ACTUALIZADO]],)</f>
        <v>#DIV/0!</v>
      </c>
      <c r="AC376" s="10" t="b">
        <f>PLANPRODUCCION[[#This Row],[INGRESO PLANEADO]]&lt;PLANPRODUCCION[[#This Row],[COSTO PLANEADO]]</f>
        <v>0</v>
      </c>
      <c r="AD376" s="46" t="s">
        <v>500</v>
      </c>
      <c r="AE376" s="10"/>
      <c r="AF376" s="10" t="b">
        <f>IF(COUNTIF(PLANPRODUCCION[[#This Row],[OBSERVACIONES]],"NO APLICA BONO*")&gt;0,TRUE,FALSE)</f>
        <v>0</v>
      </c>
    </row>
    <row r="377" spans="1:32" x14ac:dyDescent="0.25">
      <c r="A377" s="46" t="str">
        <f>UPPER(IF(PLANPRODUCCION[[#This Row],[FECHA]]&lt;=45701,_xlfn.CONCAT(TEXT(B377,"MMM"),"-",IF(ROW(A377)&lt;11,"000"&amp;ROW(A377)-1,IF(ROW(A377)&lt;101,"00"&amp;ROW(A377)-1,IF(ROW(A377)&lt;1001,"0"&amp;ROW(A377)-1,ROW(A377)-1))),"-OLD"),_xlfn.CONCAT(TEXT(B377,"MMM"),"-",IF(ROW(A377)&lt;473,"000"&amp;ROW(A377)-463,IF(ROW(A377)&lt;563,"00"&amp;ROW(A377)-463,IF(ROW(A377)&lt;1001,"0"&amp;ROW(A377)-463,ROW(A377)-463))))))</f>
        <v>FEB-0376-OLD</v>
      </c>
      <c r="B377" s="1">
        <v>45693</v>
      </c>
      <c r="C377" s="5"/>
      <c r="D377" s="5"/>
      <c r="E377" t="s">
        <v>72</v>
      </c>
      <c r="F377" s="32"/>
      <c r="G377" s="32"/>
      <c r="H377" s="5">
        <v>1522</v>
      </c>
      <c r="I377" t="s">
        <v>434</v>
      </c>
      <c r="J377" t="s">
        <v>441</v>
      </c>
      <c r="K377" s="5"/>
      <c r="L377" s="10" t="s">
        <v>283</v>
      </c>
      <c r="M377" s="49">
        <v>15</v>
      </c>
      <c r="N377" s="34">
        <f>PLANPRODUCCION[[#This Row],[PIEZAS PLANEADAS]]*PLANPRODUCCION[[#This Row],[PRECIO MAQUILAS]]</f>
        <v>0</v>
      </c>
      <c r="O377" s="5">
        <v>5</v>
      </c>
      <c r="P377" s="2">
        <v>0.66666666666666663</v>
      </c>
      <c r="Q377" s="2">
        <v>0.875</v>
      </c>
      <c r="R377" s="24">
        <v>67</v>
      </c>
      <c r="S377" s="35">
        <f>PLANPRODUCCION[[#This Row],[PRECIO MAQUILAS]]*PLANPRODUCCION[[#This Row],[PIEZAS REAL]]</f>
        <v>1005</v>
      </c>
      <c r="T37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7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7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1550</v>
      </c>
      <c r="W37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-545</v>
      </c>
      <c r="X377" s="8"/>
      <c r="Y37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7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7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77" s="13" t="e">
        <f>IF(PLANPRODUCCION[[#This Row],[PIEZAS REAL]]&gt;0,PLANPRODUCCION[[#This Row],[PIEZAS REAL]]/PLANPRODUCCION[[#This Row],[PIEZAS ACTUALIZADO]],)</f>
        <v>#DIV/0!</v>
      </c>
      <c r="AC377" s="10" t="b">
        <f>PLANPRODUCCION[[#This Row],[INGRESO PLANEADO]]&lt;PLANPRODUCCION[[#This Row],[COSTO PLANEADO]]</f>
        <v>0</v>
      </c>
      <c r="AD377" s="46" t="s">
        <v>501</v>
      </c>
      <c r="AE377" s="10"/>
      <c r="AF377" s="10" t="b">
        <f>IF(COUNTIF(PLANPRODUCCION[[#This Row],[OBSERVACIONES]],"NO APLICA BONO*")&gt;0,TRUE,FALSE)</f>
        <v>0</v>
      </c>
    </row>
    <row r="378" spans="1:32" x14ac:dyDescent="0.25">
      <c r="A378" s="46" t="str">
        <f>UPPER(IF(PLANPRODUCCION[[#This Row],[FECHA]]&lt;=45701,_xlfn.CONCAT(TEXT(B378,"MMM"),"-",IF(ROW(A378)&lt;11,"000"&amp;ROW(A378)-1,IF(ROW(A378)&lt;101,"00"&amp;ROW(A378)-1,IF(ROW(A378)&lt;1001,"0"&amp;ROW(A378)-1,ROW(A378)-1))),"-OLD"),_xlfn.CONCAT(TEXT(B378,"MMM"),"-",IF(ROW(A378)&lt;473,"000"&amp;ROW(A378)-463,IF(ROW(A378)&lt;563,"00"&amp;ROW(A378)-463,IF(ROW(A378)&lt;1001,"0"&amp;ROW(A378)-463,ROW(A378)-463))))))</f>
        <v>FEB-0377-OLD</v>
      </c>
      <c r="B378" s="1">
        <v>45693</v>
      </c>
      <c r="C378" s="5"/>
      <c r="D378" s="5"/>
      <c r="E378" t="s">
        <v>75</v>
      </c>
      <c r="F378" s="32"/>
      <c r="G378" s="32"/>
      <c r="H378" s="5">
        <v>1522</v>
      </c>
      <c r="I378" t="s">
        <v>434</v>
      </c>
      <c r="J378" t="s">
        <v>441</v>
      </c>
      <c r="K378" s="5"/>
      <c r="L378" s="10" t="s">
        <v>283</v>
      </c>
      <c r="M378" s="49">
        <v>15</v>
      </c>
      <c r="N378" s="34">
        <f>PLANPRODUCCION[[#This Row],[PIEZAS PLANEADAS]]*PLANPRODUCCION[[#This Row],[PRECIO MAQUILAS]]</f>
        <v>0</v>
      </c>
      <c r="O378" s="5">
        <v>10</v>
      </c>
      <c r="P378" s="2">
        <v>0.875</v>
      </c>
      <c r="Q378" s="2">
        <v>0.25</v>
      </c>
      <c r="R378" s="24">
        <v>329</v>
      </c>
      <c r="S378" s="35">
        <f>PLANPRODUCCION[[#This Row],[PRECIO MAQUILAS]]*PLANPRODUCCION[[#This Row],[PIEZAS REAL]]</f>
        <v>4935</v>
      </c>
      <c r="T37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7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7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7500</v>
      </c>
      <c r="W37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-2565</v>
      </c>
      <c r="X378" s="8"/>
      <c r="Y37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7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7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78" s="13" t="e">
        <f>IF(PLANPRODUCCION[[#This Row],[PIEZAS REAL]]&gt;0,PLANPRODUCCION[[#This Row],[PIEZAS REAL]]/PLANPRODUCCION[[#This Row],[PIEZAS ACTUALIZADO]],)</f>
        <v>#DIV/0!</v>
      </c>
      <c r="AC378" s="10" t="b">
        <f>PLANPRODUCCION[[#This Row],[INGRESO PLANEADO]]&lt;PLANPRODUCCION[[#This Row],[COSTO PLANEADO]]</f>
        <v>0</v>
      </c>
      <c r="AD378" s="46" t="s">
        <v>502</v>
      </c>
      <c r="AE378" s="10"/>
      <c r="AF378" s="10" t="b">
        <f>IF(COUNTIF(PLANPRODUCCION[[#This Row],[OBSERVACIONES]],"NO APLICA BONO*")&gt;0,TRUE,FALSE)</f>
        <v>0</v>
      </c>
    </row>
    <row r="379" spans="1:32" x14ac:dyDescent="0.25">
      <c r="A379" s="46" t="str">
        <f>UPPER(IF(PLANPRODUCCION[[#This Row],[FECHA]]&lt;=45701,_xlfn.CONCAT(TEXT(B379,"MMM"),"-",IF(ROW(A379)&lt;11,"000"&amp;ROW(A379)-1,IF(ROW(A379)&lt;101,"00"&amp;ROW(A379)-1,IF(ROW(A379)&lt;1001,"0"&amp;ROW(A379)-1,ROW(A379)-1))),"-OLD"),_xlfn.CONCAT(TEXT(B379,"MMM"),"-",IF(ROW(A379)&lt;473,"000"&amp;ROW(A379)-463,IF(ROW(A379)&lt;563,"00"&amp;ROW(A379)-463,IF(ROW(A379)&lt;1001,"0"&amp;ROW(A379)-463,ROW(A379)-463))))))</f>
        <v>FEB-0378-OLD</v>
      </c>
      <c r="B379" s="1">
        <v>45694</v>
      </c>
      <c r="C379" s="5"/>
      <c r="D379" s="5"/>
      <c r="E379" t="s">
        <v>54</v>
      </c>
      <c r="F379" s="32"/>
      <c r="G379" s="32"/>
      <c r="H379" s="5">
        <v>1522</v>
      </c>
      <c r="I379" t="s">
        <v>434</v>
      </c>
      <c r="J379" t="s">
        <v>441</v>
      </c>
      <c r="K379" s="5"/>
      <c r="L379" s="10" t="s">
        <v>283</v>
      </c>
      <c r="M379" s="49">
        <v>15</v>
      </c>
      <c r="N379" s="34">
        <f>PLANPRODUCCION[[#This Row],[PIEZAS PLANEADAS]]*PLANPRODUCCION[[#This Row],[PRECIO MAQUILAS]]</f>
        <v>0</v>
      </c>
      <c r="O379" s="5">
        <v>5</v>
      </c>
      <c r="P379" s="2">
        <v>0.25</v>
      </c>
      <c r="Q379" s="2">
        <v>0.66666666666666663</v>
      </c>
      <c r="R379" s="24">
        <v>318</v>
      </c>
      <c r="S379" s="35">
        <f>PLANPRODUCCION[[#This Row],[PRECIO MAQUILAS]]*PLANPRODUCCION[[#This Row],[PIEZAS REAL]]</f>
        <v>4770</v>
      </c>
      <c r="T37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7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7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37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1670</v>
      </c>
      <c r="X379" s="8"/>
      <c r="Y37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7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7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79" s="13" t="e">
        <f>IF(PLANPRODUCCION[[#This Row],[PIEZAS REAL]]&gt;0,PLANPRODUCCION[[#This Row],[PIEZAS REAL]]/PLANPRODUCCION[[#This Row],[PIEZAS ACTUALIZADO]],)</f>
        <v>#DIV/0!</v>
      </c>
      <c r="AC379" s="10" t="b">
        <f>PLANPRODUCCION[[#This Row],[INGRESO PLANEADO]]&lt;PLANPRODUCCION[[#This Row],[COSTO PLANEADO]]</f>
        <v>0</v>
      </c>
      <c r="AD379" s="46" t="s">
        <v>503</v>
      </c>
      <c r="AE379" s="10"/>
      <c r="AF379" s="10" t="b">
        <f>IF(COUNTIF(PLANPRODUCCION[[#This Row],[OBSERVACIONES]],"NO APLICA BONO*")&gt;0,TRUE,FALSE)</f>
        <v>0</v>
      </c>
    </row>
    <row r="380" spans="1:32" x14ac:dyDescent="0.25">
      <c r="A380" s="46" t="str">
        <f>UPPER(IF(PLANPRODUCCION[[#This Row],[FECHA]]&lt;=45701,_xlfn.CONCAT(TEXT(B380,"MMM"),"-",IF(ROW(A380)&lt;11,"000"&amp;ROW(A380)-1,IF(ROW(A380)&lt;101,"00"&amp;ROW(A380)-1,IF(ROW(A380)&lt;1001,"0"&amp;ROW(A380)-1,ROW(A380)-1))),"-OLD"),_xlfn.CONCAT(TEXT(B380,"MMM"),"-",IF(ROW(A380)&lt;473,"000"&amp;ROW(A380)-463,IF(ROW(A380)&lt;563,"00"&amp;ROW(A380)-463,IF(ROW(A380)&lt;1001,"0"&amp;ROW(A380)-463,ROW(A380)-463))))))</f>
        <v>FEB-0379-OLD</v>
      </c>
      <c r="B380" s="1">
        <v>45694</v>
      </c>
      <c r="C380" s="5"/>
      <c r="D380" s="5"/>
      <c r="E380" t="s">
        <v>54</v>
      </c>
      <c r="F380" s="32"/>
      <c r="G380" s="32"/>
      <c r="H380" s="5">
        <v>1522</v>
      </c>
      <c r="I380" t="s">
        <v>434</v>
      </c>
      <c r="J380" t="s">
        <v>435</v>
      </c>
      <c r="K380" s="5"/>
      <c r="L380" s="10" t="s">
        <v>57</v>
      </c>
      <c r="M380" s="49">
        <v>0.3</v>
      </c>
      <c r="N380" s="34">
        <f>PLANPRODUCCION[[#This Row],[PIEZAS PLANEADAS]]*PLANPRODUCCION[[#This Row],[PRECIO MAQUILAS]]</f>
        <v>0</v>
      </c>
      <c r="O380" s="5">
        <v>1</v>
      </c>
      <c r="P380" s="2">
        <v>0.25</v>
      </c>
      <c r="Q380" s="2">
        <v>0.66666666666666663</v>
      </c>
      <c r="R380" s="24">
        <v>3264</v>
      </c>
      <c r="S380" s="35">
        <f>PLANPRODUCCION[[#This Row],[PRECIO MAQUILAS]]*PLANPRODUCCION[[#This Row],[PIEZAS REAL]]</f>
        <v>979.19999999999993</v>
      </c>
      <c r="T38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8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8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38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359.19999999999993</v>
      </c>
      <c r="X380" s="8"/>
      <c r="Y38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8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8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80" s="13" t="e">
        <f>IF(PLANPRODUCCION[[#This Row],[PIEZAS REAL]]&gt;0,PLANPRODUCCION[[#This Row],[PIEZAS REAL]]/PLANPRODUCCION[[#This Row],[PIEZAS ACTUALIZADO]],)</f>
        <v>#DIV/0!</v>
      </c>
      <c r="AC380" s="10" t="b">
        <f>PLANPRODUCCION[[#This Row],[INGRESO PLANEADO]]&lt;PLANPRODUCCION[[#This Row],[COSTO PLANEADO]]</f>
        <v>0</v>
      </c>
      <c r="AD380" s="46" t="s">
        <v>504</v>
      </c>
      <c r="AE380" s="10"/>
      <c r="AF380" s="10" t="b">
        <f>IF(COUNTIF(PLANPRODUCCION[[#This Row],[OBSERVACIONES]],"NO APLICA BONO*")&gt;0,TRUE,FALSE)</f>
        <v>0</v>
      </c>
    </row>
    <row r="381" spans="1:32" x14ac:dyDescent="0.25">
      <c r="A381" s="46" t="str">
        <f>UPPER(IF(PLANPRODUCCION[[#This Row],[FECHA]]&lt;=45701,_xlfn.CONCAT(TEXT(B381,"MMM"),"-",IF(ROW(A381)&lt;11,"000"&amp;ROW(A381)-1,IF(ROW(A381)&lt;101,"00"&amp;ROW(A381)-1,IF(ROW(A381)&lt;1001,"0"&amp;ROW(A381)-1,ROW(A381)-1))),"-OLD"),_xlfn.CONCAT(TEXT(B381,"MMM"),"-",IF(ROW(A381)&lt;473,"000"&amp;ROW(A381)-463,IF(ROW(A381)&lt;563,"00"&amp;ROW(A381)-463,IF(ROW(A381)&lt;1001,"0"&amp;ROW(A381)-463,ROW(A381)-463))))))</f>
        <v>FEB-0380-OLD</v>
      </c>
      <c r="B381" s="1">
        <v>45694</v>
      </c>
      <c r="C381" s="5"/>
      <c r="D381" s="5"/>
      <c r="E381" t="s">
        <v>54</v>
      </c>
      <c r="F381" s="32"/>
      <c r="G381" s="32"/>
      <c r="H381" s="5">
        <v>1522</v>
      </c>
      <c r="I381" t="s">
        <v>434</v>
      </c>
      <c r="J381" t="s">
        <v>441</v>
      </c>
      <c r="K381" s="5"/>
      <c r="L381" s="10" t="s">
        <v>283</v>
      </c>
      <c r="M381" s="49">
        <v>15</v>
      </c>
      <c r="N381" s="34">
        <f>PLANPRODUCCION[[#This Row],[PIEZAS PLANEADAS]]*PLANPRODUCCION[[#This Row],[PRECIO MAQUILAS]]</f>
        <v>0</v>
      </c>
      <c r="O381" s="5">
        <v>5</v>
      </c>
      <c r="P381" s="2">
        <v>0.25</v>
      </c>
      <c r="Q381" s="2">
        <v>0.66666666666666663</v>
      </c>
      <c r="R381" s="24">
        <v>318</v>
      </c>
      <c r="S381" s="35">
        <f>PLANPRODUCCION[[#This Row],[PRECIO MAQUILAS]]*PLANPRODUCCION[[#This Row],[PIEZAS REAL]]</f>
        <v>4770</v>
      </c>
      <c r="T38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8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8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38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1670</v>
      </c>
      <c r="X381" s="8"/>
      <c r="Y38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8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8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81" s="13" t="e">
        <f>IF(PLANPRODUCCION[[#This Row],[PIEZAS REAL]]&gt;0,PLANPRODUCCION[[#This Row],[PIEZAS REAL]]/PLANPRODUCCION[[#This Row],[PIEZAS ACTUALIZADO]],)</f>
        <v>#DIV/0!</v>
      </c>
      <c r="AC381" s="10" t="b">
        <f>PLANPRODUCCION[[#This Row],[INGRESO PLANEADO]]&lt;PLANPRODUCCION[[#This Row],[COSTO PLANEADO]]</f>
        <v>0</v>
      </c>
      <c r="AD381" s="46" t="s">
        <v>505</v>
      </c>
      <c r="AE381" s="10"/>
      <c r="AF381" s="10" t="b">
        <f>IF(COUNTIF(PLANPRODUCCION[[#This Row],[OBSERVACIONES]],"NO APLICA BONO*")&gt;0,TRUE,FALSE)</f>
        <v>0</v>
      </c>
    </row>
    <row r="382" spans="1:32" x14ac:dyDescent="0.25">
      <c r="A382" s="46" t="str">
        <f>UPPER(IF(PLANPRODUCCION[[#This Row],[FECHA]]&lt;=45701,_xlfn.CONCAT(TEXT(B382,"MMM"),"-",IF(ROW(A382)&lt;11,"000"&amp;ROW(A382)-1,IF(ROW(A382)&lt;101,"00"&amp;ROW(A382)-1,IF(ROW(A382)&lt;1001,"0"&amp;ROW(A382)-1,ROW(A382)-1))),"-OLD"),_xlfn.CONCAT(TEXT(B382,"MMM"),"-",IF(ROW(A382)&lt;473,"000"&amp;ROW(A382)-463,IF(ROW(A382)&lt;563,"00"&amp;ROW(A382)-463,IF(ROW(A382)&lt;1001,"0"&amp;ROW(A382)-463,ROW(A382)-463))))))</f>
        <v>FEB-0381-OLD</v>
      </c>
      <c r="B382" s="1">
        <v>45694</v>
      </c>
      <c r="C382" s="5"/>
      <c r="D382" s="5"/>
      <c r="E382" t="s">
        <v>54</v>
      </c>
      <c r="F382" s="32"/>
      <c r="G382" s="32"/>
      <c r="H382" s="5">
        <v>1566</v>
      </c>
      <c r="I382" t="s">
        <v>324</v>
      </c>
      <c r="J382" t="s">
        <v>325</v>
      </c>
      <c r="K382" s="5"/>
      <c r="L382" s="10" t="s">
        <v>57</v>
      </c>
      <c r="M382" s="49">
        <v>4.2</v>
      </c>
      <c r="N382" s="34">
        <f>PLANPRODUCCION[[#This Row],[PIEZAS PLANEADAS]]*PLANPRODUCCION[[#This Row],[PRECIO MAQUILAS]]</f>
        <v>0</v>
      </c>
      <c r="O382" s="5">
        <v>8</v>
      </c>
      <c r="P382" s="2">
        <v>0.25</v>
      </c>
      <c r="Q382" s="2">
        <v>0.45833333333333331</v>
      </c>
      <c r="R382" s="24">
        <v>1600</v>
      </c>
      <c r="S382" s="35">
        <f>PLANPRODUCCION[[#This Row],[PRECIO MAQUILAS]]*PLANPRODUCCION[[#This Row],[PIEZAS REAL]]</f>
        <v>6720</v>
      </c>
      <c r="T38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8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8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38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4240</v>
      </c>
      <c r="X382" s="8"/>
      <c r="Y38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8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8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82" s="13" t="e">
        <f>IF(PLANPRODUCCION[[#This Row],[PIEZAS REAL]]&gt;0,PLANPRODUCCION[[#This Row],[PIEZAS REAL]]/PLANPRODUCCION[[#This Row],[PIEZAS ACTUALIZADO]],)</f>
        <v>#DIV/0!</v>
      </c>
      <c r="AC382" s="10" t="b">
        <f>PLANPRODUCCION[[#This Row],[INGRESO PLANEADO]]&lt;PLANPRODUCCION[[#This Row],[COSTO PLANEADO]]</f>
        <v>0</v>
      </c>
      <c r="AD382" s="46" t="s">
        <v>506</v>
      </c>
      <c r="AE382" s="10"/>
      <c r="AF382" s="10" t="b">
        <f>IF(COUNTIF(PLANPRODUCCION[[#This Row],[OBSERVACIONES]],"NO APLICA BONO*")&gt;0,TRUE,FALSE)</f>
        <v>0</v>
      </c>
    </row>
    <row r="383" spans="1:32" x14ac:dyDescent="0.25">
      <c r="A383" s="46" t="str">
        <f>UPPER(IF(PLANPRODUCCION[[#This Row],[FECHA]]&lt;=45701,_xlfn.CONCAT(TEXT(B383,"MMM"),"-",IF(ROW(A383)&lt;11,"000"&amp;ROW(A383)-1,IF(ROW(A383)&lt;101,"00"&amp;ROW(A383)-1,IF(ROW(A383)&lt;1001,"0"&amp;ROW(A383)-1,ROW(A383)-1))),"-OLD"),_xlfn.CONCAT(TEXT(B383,"MMM"),"-",IF(ROW(A383)&lt;473,"000"&amp;ROW(A383)-463,IF(ROW(A383)&lt;563,"00"&amp;ROW(A383)-463,IF(ROW(A383)&lt;1001,"0"&amp;ROW(A383)-463,ROW(A383)-463))))))</f>
        <v>FEB-0382-OLD</v>
      </c>
      <c r="B383" s="1">
        <v>45694</v>
      </c>
      <c r="C383" s="5"/>
      <c r="D383" s="5"/>
      <c r="E383" t="s">
        <v>54</v>
      </c>
      <c r="F383" s="32"/>
      <c r="G383" s="32"/>
      <c r="H383" s="5">
        <v>1562</v>
      </c>
      <c r="I383" t="s">
        <v>444</v>
      </c>
      <c r="J383" t="s">
        <v>103</v>
      </c>
      <c r="K383" s="5"/>
      <c r="L383" s="10" t="s">
        <v>57</v>
      </c>
      <c r="M383" s="49">
        <v>1.2</v>
      </c>
      <c r="N383" s="34">
        <f>PLANPRODUCCION[[#This Row],[PIEZAS PLANEADAS]]*PLANPRODUCCION[[#This Row],[PRECIO MAQUILAS]]</f>
        <v>0</v>
      </c>
      <c r="O383" s="5">
        <v>3</v>
      </c>
      <c r="P383" s="2">
        <v>0.45833333333333331</v>
      </c>
      <c r="Q383" s="2">
        <v>0.66666666666666663</v>
      </c>
      <c r="R383" s="24">
        <v>430</v>
      </c>
      <c r="S383" s="35">
        <f>PLANPRODUCCION[[#This Row],[PRECIO MAQUILAS]]*PLANPRODUCCION[[#This Row],[PIEZAS REAL]]</f>
        <v>516</v>
      </c>
      <c r="T38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8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8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38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-414</v>
      </c>
      <c r="X383" s="8"/>
      <c r="Y38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8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8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83" s="13" t="e">
        <f>IF(PLANPRODUCCION[[#This Row],[PIEZAS REAL]]&gt;0,PLANPRODUCCION[[#This Row],[PIEZAS REAL]]/PLANPRODUCCION[[#This Row],[PIEZAS ACTUALIZADO]],)</f>
        <v>#DIV/0!</v>
      </c>
      <c r="AC383" s="10" t="b">
        <f>PLANPRODUCCION[[#This Row],[INGRESO PLANEADO]]&lt;PLANPRODUCCION[[#This Row],[COSTO PLANEADO]]</f>
        <v>0</v>
      </c>
      <c r="AD383" s="46" t="s">
        <v>507</v>
      </c>
      <c r="AE383" s="10"/>
      <c r="AF383" s="10" t="b">
        <f>IF(COUNTIF(PLANPRODUCCION[[#This Row],[OBSERVACIONES]],"NO APLICA BONO*")&gt;0,TRUE,FALSE)</f>
        <v>0</v>
      </c>
    </row>
    <row r="384" spans="1:32" x14ac:dyDescent="0.25">
      <c r="A384" s="46" t="str">
        <f>UPPER(IF(PLANPRODUCCION[[#This Row],[FECHA]]&lt;=45701,_xlfn.CONCAT(TEXT(B384,"MMM"),"-",IF(ROW(A384)&lt;11,"000"&amp;ROW(A384)-1,IF(ROW(A384)&lt;101,"00"&amp;ROW(A384)-1,IF(ROW(A384)&lt;1001,"0"&amp;ROW(A384)-1,ROW(A384)-1))),"-OLD"),_xlfn.CONCAT(TEXT(B384,"MMM"),"-",IF(ROW(A384)&lt;473,"000"&amp;ROW(A384)-463,IF(ROW(A384)&lt;563,"00"&amp;ROW(A384)-463,IF(ROW(A384)&lt;1001,"0"&amp;ROW(A384)-463,ROW(A384)-463))))))</f>
        <v>FEB-0383-OLD</v>
      </c>
      <c r="B384" s="1">
        <v>45694</v>
      </c>
      <c r="C384" s="5"/>
      <c r="D384" s="5"/>
      <c r="E384" t="s">
        <v>67</v>
      </c>
      <c r="F384" s="32"/>
      <c r="G384" s="32"/>
      <c r="H384" s="5">
        <v>1477</v>
      </c>
      <c r="I384" t="s">
        <v>85</v>
      </c>
      <c r="J384" t="s">
        <v>86</v>
      </c>
      <c r="K384" s="5"/>
      <c r="L384" s="10" t="s">
        <v>57</v>
      </c>
      <c r="M384" s="49">
        <v>6</v>
      </c>
      <c r="N384" s="34">
        <f>PLANPRODUCCION[[#This Row],[PIEZAS PLANEADAS]]*PLANPRODUCCION[[#This Row],[PRECIO MAQUILAS]]</f>
        <v>0</v>
      </c>
      <c r="O384" s="5">
        <v>3</v>
      </c>
      <c r="P384" s="2">
        <v>0.33333333333333331</v>
      </c>
      <c r="Q384" s="2">
        <v>0.75</v>
      </c>
      <c r="R384" s="24">
        <v>112</v>
      </c>
      <c r="S384" s="35">
        <f>PLANPRODUCCION[[#This Row],[PRECIO MAQUILAS]]*PLANPRODUCCION[[#This Row],[PIEZAS REAL]]</f>
        <v>672</v>
      </c>
      <c r="T38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8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8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38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-1188</v>
      </c>
      <c r="X384" s="8"/>
      <c r="Y38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8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8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84" s="13" t="e">
        <f>IF(PLANPRODUCCION[[#This Row],[PIEZAS REAL]]&gt;0,PLANPRODUCCION[[#This Row],[PIEZAS REAL]]/PLANPRODUCCION[[#This Row],[PIEZAS ACTUALIZADO]],)</f>
        <v>#DIV/0!</v>
      </c>
      <c r="AC384" s="10" t="b">
        <f>PLANPRODUCCION[[#This Row],[INGRESO PLANEADO]]&lt;PLANPRODUCCION[[#This Row],[COSTO PLANEADO]]</f>
        <v>0</v>
      </c>
      <c r="AD384" s="46" t="s">
        <v>508</v>
      </c>
      <c r="AE384" s="10"/>
      <c r="AF384" s="10" t="b">
        <f>IF(COUNTIF(PLANPRODUCCION[[#This Row],[OBSERVACIONES]],"NO APLICA BONO*")&gt;0,TRUE,FALSE)</f>
        <v>0</v>
      </c>
    </row>
    <row r="385" spans="1:32" x14ac:dyDescent="0.25">
      <c r="A385" s="46" t="str">
        <f>UPPER(IF(PLANPRODUCCION[[#This Row],[FECHA]]&lt;=45701,_xlfn.CONCAT(TEXT(B385,"MMM"),"-",IF(ROW(A385)&lt;11,"000"&amp;ROW(A385)-1,IF(ROW(A385)&lt;101,"00"&amp;ROW(A385)-1,IF(ROW(A385)&lt;1001,"0"&amp;ROW(A385)-1,ROW(A385)-1))),"-OLD"),_xlfn.CONCAT(TEXT(B385,"MMM"),"-",IF(ROW(A385)&lt;473,"000"&amp;ROW(A385)-463,IF(ROW(A385)&lt;563,"00"&amp;ROW(A385)-463,IF(ROW(A385)&lt;1001,"0"&amp;ROW(A385)-463,ROW(A385)-463))))))</f>
        <v>FEB-0384-OLD</v>
      </c>
      <c r="B385" s="1">
        <v>45694</v>
      </c>
      <c r="C385" s="5"/>
      <c r="D385" s="5"/>
      <c r="E385" t="s">
        <v>67</v>
      </c>
      <c r="F385" s="32"/>
      <c r="G385" s="32"/>
      <c r="H385" s="5">
        <v>1477</v>
      </c>
      <c r="I385" t="s">
        <v>85</v>
      </c>
      <c r="J385" t="s">
        <v>86</v>
      </c>
      <c r="K385" s="5"/>
      <c r="L385" s="10" t="s">
        <v>57</v>
      </c>
      <c r="M385" s="49">
        <v>6</v>
      </c>
      <c r="N385" s="34">
        <f>PLANPRODUCCION[[#This Row],[PIEZAS PLANEADAS]]*PLANPRODUCCION[[#This Row],[PRECIO MAQUILAS]]</f>
        <v>0</v>
      </c>
      <c r="O385" s="5">
        <v>2</v>
      </c>
      <c r="P385" s="2">
        <v>0.33333333333333331</v>
      </c>
      <c r="Q385" s="2">
        <v>0.5</v>
      </c>
      <c r="R385" s="24">
        <v>106</v>
      </c>
      <c r="S385" s="35">
        <f>PLANPRODUCCION[[#This Row],[PRECIO MAQUILAS]]*PLANPRODUCCION[[#This Row],[PIEZAS REAL]]</f>
        <v>636</v>
      </c>
      <c r="T38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8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8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496</v>
      </c>
      <c r="W38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140</v>
      </c>
      <c r="X385" s="8"/>
      <c r="Y38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8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8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85" s="13" t="e">
        <f>IF(PLANPRODUCCION[[#This Row],[PIEZAS REAL]]&gt;0,PLANPRODUCCION[[#This Row],[PIEZAS REAL]]/PLANPRODUCCION[[#This Row],[PIEZAS ACTUALIZADO]],)</f>
        <v>#DIV/0!</v>
      </c>
      <c r="AC385" s="10" t="b">
        <f>PLANPRODUCCION[[#This Row],[INGRESO PLANEADO]]&lt;PLANPRODUCCION[[#This Row],[COSTO PLANEADO]]</f>
        <v>0</v>
      </c>
      <c r="AD385" s="46" t="s">
        <v>509</v>
      </c>
      <c r="AE385" s="10"/>
      <c r="AF385" s="10" t="b">
        <f>IF(COUNTIF(PLANPRODUCCION[[#This Row],[OBSERVACIONES]],"NO APLICA BONO*")&gt;0,TRUE,FALSE)</f>
        <v>0</v>
      </c>
    </row>
    <row r="386" spans="1:32" x14ac:dyDescent="0.25">
      <c r="A386" s="46" t="str">
        <f>UPPER(IF(PLANPRODUCCION[[#This Row],[FECHA]]&lt;=45701,_xlfn.CONCAT(TEXT(B386,"MMM"),"-",IF(ROW(A386)&lt;11,"000"&amp;ROW(A386)-1,IF(ROW(A386)&lt;101,"00"&amp;ROW(A386)-1,IF(ROW(A386)&lt;1001,"0"&amp;ROW(A386)-1,ROW(A386)-1))),"-OLD"),_xlfn.CONCAT(TEXT(B386,"MMM"),"-",IF(ROW(A386)&lt;473,"000"&amp;ROW(A386)-463,IF(ROW(A386)&lt;563,"00"&amp;ROW(A386)-463,IF(ROW(A386)&lt;1001,"0"&amp;ROW(A386)-463,ROW(A386)-463))))))</f>
        <v>FEB-0385-OLD</v>
      </c>
      <c r="B386" s="1">
        <v>45694</v>
      </c>
      <c r="C386" s="5"/>
      <c r="D386" s="5"/>
      <c r="E386" t="s">
        <v>67</v>
      </c>
      <c r="F386" s="32"/>
      <c r="G386" s="32"/>
      <c r="H386" s="5">
        <v>1562</v>
      </c>
      <c r="I386" t="s">
        <v>444</v>
      </c>
      <c r="J386" t="s">
        <v>445</v>
      </c>
      <c r="K386" s="5"/>
      <c r="L386" s="10" t="s">
        <v>57</v>
      </c>
      <c r="M386" s="49">
        <v>1.2</v>
      </c>
      <c r="N386" s="34">
        <f>PLANPRODUCCION[[#This Row],[PIEZAS PLANEADAS]]*PLANPRODUCCION[[#This Row],[PRECIO MAQUILAS]]</f>
        <v>0</v>
      </c>
      <c r="O386" s="5">
        <v>3</v>
      </c>
      <c r="P386" s="2">
        <v>0.41666666666666669</v>
      </c>
      <c r="Q386" s="2">
        <v>0.75</v>
      </c>
      <c r="R386" s="24">
        <v>330</v>
      </c>
      <c r="S386" s="35">
        <f>PLANPRODUCCION[[#This Row],[PRECIO MAQUILAS]]*PLANPRODUCCION[[#This Row],[PIEZAS REAL]]</f>
        <v>396</v>
      </c>
      <c r="T38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8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8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38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-1092</v>
      </c>
      <c r="X386" s="8"/>
      <c r="Y38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8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8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86" s="13" t="e">
        <f>IF(PLANPRODUCCION[[#This Row],[PIEZAS REAL]]&gt;0,PLANPRODUCCION[[#This Row],[PIEZAS REAL]]/PLANPRODUCCION[[#This Row],[PIEZAS ACTUALIZADO]],)</f>
        <v>#DIV/0!</v>
      </c>
      <c r="AC386" s="10" t="b">
        <f>PLANPRODUCCION[[#This Row],[INGRESO PLANEADO]]&lt;PLANPRODUCCION[[#This Row],[COSTO PLANEADO]]</f>
        <v>0</v>
      </c>
      <c r="AD386" s="46" t="s">
        <v>510</v>
      </c>
      <c r="AE386" s="10"/>
      <c r="AF386" s="10" t="b">
        <f>IF(COUNTIF(PLANPRODUCCION[[#This Row],[OBSERVACIONES]],"NO APLICA BONO*")&gt;0,TRUE,FALSE)</f>
        <v>0</v>
      </c>
    </row>
    <row r="387" spans="1:32" x14ac:dyDescent="0.25">
      <c r="A387" s="46" t="str">
        <f>UPPER(IF(PLANPRODUCCION[[#This Row],[FECHA]]&lt;=45701,_xlfn.CONCAT(TEXT(B387,"MMM"),"-",IF(ROW(A387)&lt;11,"000"&amp;ROW(A387)-1,IF(ROW(A387)&lt;101,"00"&amp;ROW(A387)-1,IF(ROW(A387)&lt;1001,"0"&amp;ROW(A387)-1,ROW(A387)-1))),"-OLD"),_xlfn.CONCAT(TEXT(B387,"MMM"),"-",IF(ROW(A387)&lt;473,"000"&amp;ROW(A387)-463,IF(ROW(A387)&lt;563,"00"&amp;ROW(A387)-463,IF(ROW(A387)&lt;1001,"0"&amp;ROW(A387)-463,ROW(A387)-463))))))</f>
        <v>FEB-0386-OLD</v>
      </c>
      <c r="B387" s="1">
        <v>45694</v>
      </c>
      <c r="C387" s="5"/>
      <c r="D387" s="5"/>
      <c r="E387" t="s">
        <v>67</v>
      </c>
      <c r="F387" s="32"/>
      <c r="G387" s="32"/>
      <c r="H387" s="5">
        <v>1562</v>
      </c>
      <c r="I387" t="s">
        <v>444</v>
      </c>
      <c r="J387" t="s">
        <v>445</v>
      </c>
      <c r="K387" s="5"/>
      <c r="L387" s="10" t="s">
        <v>57</v>
      </c>
      <c r="M387" s="49">
        <v>1.2</v>
      </c>
      <c r="N387" s="34">
        <f>PLANPRODUCCION[[#This Row],[PIEZAS PLANEADAS]]*PLANPRODUCCION[[#This Row],[PRECIO MAQUILAS]]</f>
        <v>0</v>
      </c>
      <c r="O387" s="5">
        <v>3</v>
      </c>
      <c r="P387" s="2">
        <v>0.41666666666666669</v>
      </c>
      <c r="Q387" s="2">
        <v>0.75</v>
      </c>
      <c r="R387" s="24">
        <v>280</v>
      </c>
      <c r="S387" s="35">
        <f>PLANPRODUCCION[[#This Row],[PRECIO MAQUILAS]]*PLANPRODUCCION[[#This Row],[PIEZAS REAL]]</f>
        <v>336</v>
      </c>
      <c r="T38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8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8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38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-1152</v>
      </c>
      <c r="X387" s="8"/>
      <c r="Y38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8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8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87" s="13" t="e">
        <f>IF(PLANPRODUCCION[[#This Row],[PIEZAS REAL]]&gt;0,PLANPRODUCCION[[#This Row],[PIEZAS REAL]]/PLANPRODUCCION[[#This Row],[PIEZAS ACTUALIZADO]],)</f>
        <v>#DIV/0!</v>
      </c>
      <c r="AC387" s="10" t="b">
        <f>PLANPRODUCCION[[#This Row],[INGRESO PLANEADO]]&lt;PLANPRODUCCION[[#This Row],[COSTO PLANEADO]]</f>
        <v>0</v>
      </c>
      <c r="AD387" s="46" t="s">
        <v>511</v>
      </c>
      <c r="AE387" s="10"/>
      <c r="AF387" s="10" t="b">
        <f>IF(COUNTIF(PLANPRODUCCION[[#This Row],[OBSERVACIONES]],"NO APLICA BONO*")&gt;0,TRUE,FALSE)</f>
        <v>0</v>
      </c>
    </row>
    <row r="388" spans="1:32" x14ac:dyDescent="0.25">
      <c r="A388" s="46" t="str">
        <f>UPPER(IF(PLANPRODUCCION[[#This Row],[FECHA]]&lt;=45701,_xlfn.CONCAT(TEXT(B388,"MMM"),"-",IF(ROW(A388)&lt;11,"000"&amp;ROW(A388)-1,IF(ROW(A388)&lt;101,"00"&amp;ROW(A388)-1,IF(ROW(A388)&lt;1001,"0"&amp;ROW(A388)-1,ROW(A388)-1))),"-OLD"),_xlfn.CONCAT(TEXT(B388,"MMM"),"-",IF(ROW(A388)&lt;473,"000"&amp;ROW(A388)-463,IF(ROW(A388)&lt;563,"00"&amp;ROW(A388)-463,IF(ROW(A388)&lt;1001,"0"&amp;ROW(A388)-463,ROW(A388)-463))))))</f>
        <v>FEB-0387-OLD</v>
      </c>
      <c r="B388" s="1">
        <v>45694</v>
      </c>
      <c r="C388" s="5"/>
      <c r="D388" s="5"/>
      <c r="E388" t="s">
        <v>67</v>
      </c>
      <c r="F388" s="32"/>
      <c r="G388" s="32"/>
      <c r="H388" s="5">
        <v>1562</v>
      </c>
      <c r="I388" t="s">
        <v>444</v>
      </c>
      <c r="J388" t="s">
        <v>445</v>
      </c>
      <c r="K388" s="5"/>
      <c r="L388" s="10" t="s">
        <v>57</v>
      </c>
      <c r="M388" s="49">
        <v>1.2</v>
      </c>
      <c r="N388" s="34">
        <f>PLANPRODUCCION[[#This Row],[PIEZAS PLANEADAS]]*PLANPRODUCCION[[#This Row],[PRECIO MAQUILAS]]</f>
        <v>0</v>
      </c>
      <c r="O388" s="5">
        <v>4</v>
      </c>
      <c r="P388" s="2">
        <v>0.45833333333333331</v>
      </c>
      <c r="Q388" s="2">
        <v>0.66666666666666663</v>
      </c>
      <c r="R388" s="24">
        <v>280</v>
      </c>
      <c r="S388" s="35">
        <f>PLANPRODUCCION[[#This Row],[PRECIO MAQUILAS]]*PLANPRODUCCION[[#This Row],[PIEZAS REAL]]</f>
        <v>336</v>
      </c>
      <c r="T38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8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8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38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-904</v>
      </c>
      <c r="X388" s="8"/>
      <c r="Y38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8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8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88" s="13" t="e">
        <f>IF(PLANPRODUCCION[[#This Row],[PIEZAS REAL]]&gt;0,PLANPRODUCCION[[#This Row],[PIEZAS REAL]]/PLANPRODUCCION[[#This Row],[PIEZAS ACTUALIZADO]],)</f>
        <v>#DIV/0!</v>
      </c>
      <c r="AC388" s="10" t="b">
        <f>PLANPRODUCCION[[#This Row],[INGRESO PLANEADO]]&lt;PLANPRODUCCION[[#This Row],[COSTO PLANEADO]]</f>
        <v>0</v>
      </c>
      <c r="AD388" s="46" t="s">
        <v>512</v>
      </c>
      <c r="AE388" s="10"/>
      <c r="AF388" s="10" t="b">
        <f>IF(COUNTIF(PLANPRODUCCION[[#This Row],[OBSERVACIONES]],"NO APLICA BONO*")&gt;0,TRUE,FALSE)</f>
        <v>0</v>
      </c>
    </row>
    <row r="389" spans="1:32" x14ac:dyDescent="0.25">
      <c r="A389" s="46" t="str">
        <f>UPPER(IF(PLANPRODUCCION[[#This Row],[FECHA]]&lt;=45701,_xlfn.CONCAT(TEXT(B389,"MMM"),"-",IF(ROW(A389)&lt;11,"000"&amp;ROW(A389)-1,IF(ROW(A389)&lt;101,"00"&amp;ROW(A389)-1,IF(ROW(A389)&lt;1001,"0"&amp;ROW(A389)-1,ROW(A389)-1))),"-OLD"),_xlfn.CONCAT(TEXT(B389,"MMM"),"-",IF(ROW(A389)&lt;473,"000"&amp;ROW(A389)-463,IF(ROW(A389)&lt;563,"00"&amp;ROW(A389)-463,IF(ROW(A389)&lt;1001,"0"&amp;ROW(A389)-463,ROW(A389)-463))))))</f>
        <v>FEB-0388-OLD</v>
      </c>
      <c r="B389" s="1">
        <v>45694</v>
      </c>
      <c r="C389" s="5"/>
      <c r="D389" s="5"/>
      <c r="E389" t="s">
        <v>72</v>
      </c>
      <c r="F389" s="32"/>
      <c r="G389" s="32"/>
      <c r="H389" s="5">
        <v>1522</v>
      </c>
      <c r="I389" t="s">
        <v>434</v>
      </c>
      <c r="J389" t="s">
        <v>441</v>
      </c>
      <c r="K389" s="5"/>
      <c r="L389" s="10" t="s">
        <v>283</v>
      </c>
      <c r="M389" s="49">
        <v>15</v>
      </c>
      <c r="N389" s="34">
        <f>PLANPRODUCCION[[#This Row],[PIEZAS PLANEADAS]]*PLANPRODUCCION[[#This Row],[PRECIO MAQUILAS]]</f>
        <v>0</v>
      </c>
      <c r="O389" s="5">
        <v>7</v>
      </c>
      <c r="P389" s="2">
        <v>0.66666666666666663</v>
      </c>
      <c r="Q389" s="2">
        <v>0.875</v>
      </c>
      <c r="R389" s="24">
        <v>200</v>
      </c>
      <c r="S389" s="35">
        <f>PLANPRODUCCION[[#This Row],[PRECIO MAQUILAS]]*PLANPRODUCCION[[#This Row],[PIEZAS REAL]]</f>
        <v>3000</v>
      </c>
      <c r="T38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8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8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2170</v>
      </c>
      <c r="W38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830</v>
      </c>
      <c r="X389" s="8"/>
      <c r="Y38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8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8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89" s="13" t="e">
        <f>IF(PLANPRODUCCION[[#This Row],[PIEZAS REAL]]&gt;0,PLANPRODUCCION[[#This Row],[PIEZAS REAL]]/PLANPRODUCCION[[#This Row],[PIEZAS ACTUALIZADO]],)</f>
        <v>#DIV/0!</v>
      </c>
      <c r="AC389" s="10" t="b">
        <f>PLANPRODUCCION[[#This Row],[INGRESO PLANEADO]]&lt;PLANPRODUCCION[[#This Row],[COSTO PLANEADO]]</f>
        <v>0</v>
      </c>
      <c r="AD389" s="46" t="s">
        <v>513</v>
      </c>
      <c r="AE389" s="10"/>
      <c r="AF389" s="10" t="b">
        <f>IF(COUNTIF(PLANPRODUCCION[[#This Row],[OBSERVACIONES]],"NO APLICA BONO*")&gt;0,TRUE,FALSE)</f>
        <v>0</v>
      </c>
    </row>
    <row r="390" spans="1:32" x14ac:dyDescent="0.25">
      <c r="A390" s="46" t="str">
        <f>UPPER(IF(PLANPRODUCCION[[#This Row],[FECHA]]&lt;=45701,_xlfn.CONCAT(TEXT(B390,"MMM"),"-",IF(ROW(A390)&lt;11,"000"&amp;ROW(A390)-1,IF(ROW(A390)&lt;101,"00"&amp;ROW(A390)-1,IF(ROW(A390)&lt;1001,"0"&amp;ROW(A390)-1,ROW(A390)-1))),"-OLD"),_xlfn.CONCAT(TEXT(B390,"MMM"),"-",IF(ROW(A390)&lt;473,"000"&amp;ROW(A390)-463,IF(ROW(A390)&lt;563,"00"&amp;ROW(A390)-463,IF(ROW(A390)&lt;1001,"0"&amp;ROW(A390)-463,ROW(A390)-463))))))</f>
        <v>FEB-0389-OLD</v>
      </c>
      <c r="B390" s="1">
        <v>45694</v>
      </c>
      <c r="C390" s="5"/>
      <c r="D390" s="5"/>
      <c r="E390" t="s">
        <v>72</v>
      </c>
      <c r="F390" s="32"/>
      <c r="G390" s="32"/>
      <c r="H390" s="5">
        <v>1522</v>
      </c>
      <c r="I390" t="s">
        <v>434</v>
      </c>
      <c r="J390" t="s">
        <v>435</v>
      </c>
      <c r="K390" s="5"/>
      <c r="L390" s="10" t="s">
        <v>57</v>
      </c>
      <c r="M390" s="49">
        <v>0.3</v>
      </c>
      <c r="N390" s="34">
        <f>PLANPRODUCCION[[#This Row],[PIEZAS PLANEADAS]]*PLANPRODUCCION[[#This Row],[PRECIO MAQUILAS]]</f>
        <v>0</v>
      </c>
      <c r="O390" s="5">
        <v>1</v>
      </c>
      <c r="P390" s="2">
        <v>0.66666666666666663</v>
      </c>
      <c r="Q390" s="2">
        <v>0.875</v>
      </c>
      <c r="R390" s="24">
        <v>768</v>
      </c>
      <c r="S390" s="35">
        <f>PLANPRODUCCION[[#This Row],[PRECIO MAQUILAS]]*PLANPRODUCCION[[#This Row],[PIEZAS REAL]]</f>
        <v>230.39999999999998</v>
      </c>
      <c r="T39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9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9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39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-79.600000000000023</v>
      </c>
      <c r="X390" s="8"/>
      <c r="Y39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9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9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90" s="13" t="e">
        <f>IF(PLANPRODUCCION[[#This Row],[PIEZAS REAL]]&gt;0,PLANPRODUCCION[[#This Row],[PIEZAS REAL]]/PLANPRODUCCION[[#This Row],[PIEZAS ACTUALIZADO]],)</f>
        <v>#DIV/0!</v>
      </c>
      <c r="AC390" s="10" t="b">
        <f>PLANPRODUCCION[[#This Row],[INGRESO PLANEADO]]&lt;PLANPRODUCCION[[#This Row],[COSTO PLANEADO]]</f>
        <v>0</v>
      </c>
      <c r="AD390" s="46" t="s">
        <v>514</v>
      </c>
      <c r="AE390" s="10"/>
      <c r="AF390" s="10" t="b">
        <f>IF(COUNTIF(PLANPRODUCCION[[#This Row],[OBSERVACIONES]],"NO APLICA BONO*")&gt;0,TRUE,FALSE)</f>
        <v>0</v>
      </c>
    </row>
    <row r="391" spans="1:32" x14ac:dyDescent="0.25">
      <c r="A391" s="46" t="str">
        <f>UPPER(IF(PLANPRODUCCION[[#This Row],[FECHA]]&lt;=45701,_xlfn.CONCAT(TEXT(B391,"MMM"),"-",IF(ROW(A391)&lt;11,"000"&amp;ROW(A391)-1,IF(ROW(A391)&lt;101,"00"&amp;ROW(A391)-1,IF(ROW(A391)&lt;1001,"0"&amp;ROW(A391)-1,ROW(A391)-1))),"-OLD"),_xlfn.CONCAT(TEXT(B391,"MMM"),"-",IF(ROW(A391)&lt;473,"000"&amp;ROW(A391)-463,IF(ROW(A391)&lt;563,"00"&amp;ROW(A391)-463,IF(ROW(A391)&lt;1001,"0"&amp;ROW(A391)-463,ROW(A391)-463))))))</f>
        <v>FEB-0390-OLD</v>
      </c>
      <c r="B391" s="1">
        <v>45694</v>
      </c>
      <c r="C391" s="5"/>
      <c r="D391" s="5"/>
      <c r="E391" t="s">
        <v>75</v>
      </c>
      <c r="F391" s="32"/>
      <c r="G391" s="32"/>
      <c r="H391" s="5">
        <v>1522</v>
      </c>
      <c r="I391" t="s">
        <v>434</v>
      </c>
      <c r="J391" t="s">
        <v>435</v>
      </c>
      <c r="K391" s="5"/>
      <c r="L391" s="10" t="s">
        <v>57</v>
      </c>
      <c r="M391" s="49">
        <v>0.3</v>
      </c>
      <c r="N391" s="34">
        <f>PLANPRODUCCION[[#This Row],[PIEZAS PLANEADAS]]*PLANPRODUCCION[[#This Row],[PRECIO MAQUILAS]]</f>
        <v>0</v>
      </c>
      <c r="O391" s="5">
        <v>1</v>
      </c>
      <c r="P391" s="2">
        <v>0.875</v>
      </c>
      <c r="Q391" s="2">
        <v>0.25</v>
      </c>
      <c r="R391" s="24">
        <v>1141</v>
      </c>
      <c r="S391" s="35">
        <f>PLANPRODUCCION[[#This Row],[PRECIO MAQUILAS]]*PLANPRODUCCION[[#This Row],[PIEZAS REAL]]</f>
        <v>342.3</v>
      </c>
      <c r="T39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9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9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750</v>
      </c>
      <c r="W39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-407.7</v>
      </c>
      <c r="X391" s="8"/>
      <c r="Y39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9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9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91" s="13" t="e">
        <f>IF(PLANPRODUCCION[[#This Row],[PIEZAS REAL]]&gt;0,PLANPRODUCCION[[#This Row],[PIEZAS REAL]]/PLANPRODUCCION[[#This Row],[PIEZAS ACTUALIZADO]],)</f>
        <v>#DIV/0!</v>
      </c>
      <c r="AC391" s="10" t="b">
        <f>PLANPRODUCCION[[#This Row],[INGRESO PLANEADO]]&lt;PLANPRODUCCION[[#This Row],[COSTO PLANEADO]]</f>
        <v>0</v>
      </c>
      <c r="AD391" s="46" t="s">
        <v>515</v>
      </c>
      <c r="AE391" s="10"/>
      <c r="AF391" s="10" t="b">
        <f>IF(COUNTIF(PLANPRODUCCION[[#This Row],[OBSERVACIONES]],"NO APLICA BONO*")&gt;0,TRUE,FALSE)</f>
        <v>0</v>
      </c>
    </row>
    <row r="392" spans="1:32" x14ac:dyDescent="0.25">
      <c r="A392" s="46" t="str">
        <f>UPPER(IF(PLANPRODUCCION[[#This Row],[FECHA]]&lt;=45701,_xlfn.CONCAT(TEXT(B392,"MMM"),"-",IF(ROW(A392)&lt;11,"000"&amp;ROW(A392)-1,IF(ROW(A392)&lt;101,"00"&amp;ROW(A392)-1,IF(ROW(A392)&lt;1001,"0"&amp;ROW(A392)-1,ROW(A392)-1))),"-OLD"),_xlfn.CONCAT(TEXT(B392,"MMM"),"-",IF(ROW(A392)&lt;473,"000"&amp;ROW(A392)-463,IF(ROW(A392)&lt;563,"00"&amp;ROW(A392)-463,IF(ROW(A392)&lt;1001,"0"&amp;ROW(A392)-463,ROW(A392)-463))))))</f>
        <v>FEB-0391-OLD</v>
      </c>
      <c r="B392" s="1">
        <v>45694</v>
      </c>
      <c r="C392" s="5"/>
      <c r="D392" s="5"/>
      <c r="E392" t="s">
        <v>75</v>
      </c>
      <c r="F392" s="32"/>
      <c r="G392" s="32"/>
      <c r="H392" s="5">
        <v>1522</v>
      </c>
      <c r="I392" t="s">
        <v>434</v>
      </c>
      <c r="J392" t="s">
        <v>441</v>
      </c>
      <c r="K392" s="5"/>
      <c r="L392" s="10" t="s">
        <v>283</v>
      </c>
      <c r="M392" s="49">
        <v>15</v>
      </c>
      <c r="N392" s="34">
        <f>PLANPRODUCCION[[#This Row],[PIEZAS PLANEADAS]]*PLANPRODUCCION[[#This Row],[PRECIO MAQUILAS]]</f>
        <v>0</v>
      </c>
      <c r="O392" s="5">
        <v>8</v>
      </c>
      <c r="P392" s="2">
        <v>0.875</v>
      </c>
      <c r="Q392" s="2">
        <v>0.25</v>
      </c>
      <c r="R392" s="24">
        <v>287</v>
      </c>
      <c r="S392" s="35">
        <f>PLANPRODUCCION[[#This Row],[PRECIO MAQUILAS]]*PLANPRODUCCION[[#This Row],[PIEZAS REAL]]</f>
        <v>4305</v>
      </c>
      <c r="T39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9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9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6000</v>
      </c>
      <c r="W39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-1695</v>
      </c>
      <c r="X392" s="8"/>
      <c r="Y39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9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9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92" s="13" t="e">
        <f>IF(PLANPRODUCCION[[#This Row],[PIEZAS REAL]]&gt;0,PLANPRODUCCION[[#This Row],[PIEZAS REAL]]/PLANPRODUCCION[[#This Row],[PIEZAS ACTUALIZADO]],)</f>
        <v>#DIV/0!</v>
      </c>
      <c r="AC392" s="10" t="b">
        <f>PLANPRODUCCION[[#This Row],[INGRESO PLANEADO]]&lt;PLANPRODUCCION[[#This Row],[COSTO PLANEADO]]</f>
        <v>0</v>
      </c>
      <c r="AD392" s="46" t="s">
        <v>516</v>
      </c>
      <c r="AE392" s="10"/>
      <c r="AF392" s="10" t="b">
        <f>IF(COUNTIF(PLANPRODUCCION[[#This Row],[OBSERVACIONES]],"NO APLICA BONO*")&gt;0,TRUE,FALSE)</f>
        <v>0</v>
      </c>
    </row>
    <row r="393" spans="1:32" x14ac:dyDescent="0.25">
      <c r="A393" s="46" t="str">
        <f>UPPER(IF(PLANPRODUCCION[[#This Row],[FECHA]]&lt;=45701,_xlfn.CONCAT(TEXT(B393,"MMM"),"-",IF(ROW(A393)&lt;11,"000"&amp;ROW(A393)-1,IF(ROW(A393)&lt;101,"00"&amp;ROW(A393)-1,IF(ROW(A393)&lt;1001,"0"&amp;ROW(A393)-1,ROW(A393)-1))),"-OLD"),_xlfn.CONCAT(TEXT(B393,"MMM"),"-",IF(ROW(A393)&lt;473,"000"&amp;ROW(A393)-463,IF(ROW(A393)&lt;563,"00"&amp;ROW(A393)-463,IF(ROW(A393)&lt;1001,"0"&amp;ROW(A393)-463,ROW(A393)-463))))))</f>
        <v>FEB-0392-OLD</v>
      </c>
      <c r="B393" s="1">
        <v>45695</v>
      </c>
      <c r="C393" s="5"/>
      <c r="D393" s="5"/>
      <c r="E393" t="s">
        <v>54</v>
      </c>
      <c r="F393" s="32"/>
      <c r="G393" s="32"/>
      <c r="H393" s="5">
        <v>1522</v>
      </c>
      <c r="I393" t="s">
        <v>434</v>
      </c>
      <c r="J393" t="s">
        <v>441</v>
      </c>
      <c r="K393" s="5"/>
      <c r="L393" s="10" t="s">
        <v>283</v>
      </c>
      <c r="M393" s="49">
        <v>15</v>
      </c>
      <c r="N393" s="34">
        <f>PLANPRODUCCION[[#This Row],[PIEZAS PLANEADAS]]*PLANPRODUCCION[[#This Row],[PRECIO MAQUILAS]]</f>
        <v>0</v>
      </c>
      <c r="O393" s="5">
        <v>6</v>
      </c>
      <c r="P393" s="2">
        <v>0.25</v>
      </c>
      <c r="Q393" s="2">
        <v>0.66666666666666663</v>
      </c>
      <c r="R393" s="24">
        <v>191</v>
      </c>
      <c r="S393" s="35">
        <f>PLANPRODUCCION[[#This Row],[PRECIO MAQUILAS]]*PLANPRODUCCION[[#This Row],[PIEZAS REAL]]</f>
        <v>2865</v>
      </c>
      <c r="T39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9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9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3720</v>
      </c>
      <c r="W39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-855</v>
      </c>
      <c r="X393" s="8"/>
      <c r="Y39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9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9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93" s="13" t="e">
        <f>IF(PLANPRODUCCION[[#This Row],[PIEZAS REAL]]&gt;0,PLANPRODUCCION[[#This Row],[PIEZAS REAL]]/PLANPRODUCCION[[#This Row],[PIEZAS ACTUALIZADO]],)</f>
        <v>#DIV/0!</v>
      </c>
      <c r="AC393" s="10" t="b">
        <f>PLANPRODUCCION[[#This Row],[INGRESO PLANEADO]]&lt;PLANPRODUCCION[[#This Row],[COSTO PLANEADO]]</f>
        <v>0</v>
      </c>
      <c r="AD393" s="46" t="s">
        <v>517</v>
      </c>
      <c r="AE393" s="10"/>
      <c r="AF393" s="10" t="b">
        <f>IF(COUNTIF(PLANPRODUCCION[[#This Row],[OBSERVACIONES]],"NO APLICA BONO*")&gt;0,TRUE,FALSE)</f>
        <v>0</v>
      </c>
    </row>
    <row r="394" spans="1:32" x14ac:dyDescent="0.25">
      <c r="A394" s="46" t="str">
        <f>UPPER(IF(PLANPRODUCCION[[#This Row],[FECHA]]&lt;=45701,_xlfn.CONCAT(TEXT(B394,"MMM"),"-",IF(ROW(A394)&lt;11,"000"&amp;ROW(A394)-1,IF(ROW(A394)&lt;101,"00"&amp;ROW(A394)-1,IF(ROW(A394)&lt;1001,"0"&amp;ROW(A394)-1,ROW(A394)-1))),"-OLD"),_xlfn.CONCAT(TEXT(B394,"MMM"),"-",IF(ROW(A394)&lt;473,"000"&amp;ROW(A394)-463,IF(ROW(A394)&lt;563,"00"&amp;ROW(A394)-463,IF(ROW(A394)&lt;1001,"0"&amp;ROW(A394)-463,ROW(A394)-463))))))</f>
        <v>FEB-0393-OLD</v>
      </c>
      <c r="B394" s="1">
        <v>45695</v>
      </c>
      <c r="C394" s="5"/>
      <c r="D394" s="5"/>
      <c r="E394" t="s">
        <v>54</v>
      </c>
      <c r="F394" s="32"/>
      <c r="G394" s="32"/>
      <c r="H394" s="5">
        <v>1522</v>
      </c>
      <c r="I394" t="s">
        <v>434</v>
      </c>
      <c r="J394" t="s">
        <v>441</v>
      </c>
      <c r="K394" s="5"/>
      <c r="L394" s="10" t="s">
        <v>283</v>
      </c>
      <c r="M394" s="49">
        <v>15</v>
      </c>
      <c r="N394" s="34">
        <f>PLANPRODUCCION[[#This Row],[PIEZAS PLANEADAS]]*PLANPRODUCCION[[#This Row],[PRECIO MAQUILAS]]</f>
        <v>0</v>
      </c>
      <c r="O394" s="5">
        <v>6</v>
      </c>
      <c r="P394" s="2">
        <v>0.25</v>
      </c>
      <c r="Q394" s="2">
        <v>0.66666666666666663</v>
      </c>
      <c r="R394" s="24">
        <v>368</v>
      </c>
      <c r="S394" s="35">
        <f>PLANPRODUCCION[[#This Row],[PRECIO MAQUILAS]]*PLANPRODUCCION[[#This Row],[PIEZAS REAL]]</f>
        <v>5520</v>
      </c>
      <c r="T39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9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9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3720</v>
      </c>
      <c r="W39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1800</v>
      </c>
      <c r="X394" s="8"/>
      <c r="Y39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9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9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94" s="13" t="e">
        <f>IF(PLANPRODUCCION[[#This Row],[PIEZAS REAL]]&gt;0,PLANPRODUCCION[[#This Row],[PIEZAS REAL]]/PLANPRODUCCION[[#This Row],[PIEZAS ACTUALIZADO]],)</f>
        <v>#DIV/0!</v>
      </c>
      <c r="AC394" s="10" t="b">
        <f>PLANPRODUCCION[[#This Row],[INGRESO PLANEADO]]&lt;PLANPRODUCCION[[#This Row],[COSTO PLANEADO]]</f>
        <v>0</v>
      </c>
      <c r="AD394" s="46" t="s">
        <v>518</v>
      </c>
      <c r="AE394" s="10"/>
      <c r="AF394" s="10" t="b">
        <f>IF(COUNTIF(PLANPRODUCCION[[#This Row],[OBSERVACIONES]],"NO APLICA BONO*")&gt;0,TRUE,FALSE)</f>
        <v>0</v>
      </c>
    </row>
    <row r="395" spans="1:32" x14ac:dyDescent="0.25">
      <c r="A395" s="46" t="str">
        <f>UPPER(IF(PLANPRODUCCION[[#This Row],[FECHA]]&lt;=45701,_xlfn.CONCAT(TEXT(B395,"MMM"),"-",IF(ROW(A395)&lt;11,"000"&amp;ROW(A395)-1,IF(ROW(A395)&lt;101,"00"&amp;ROW(A395)-1,IF(ROW(A395)&lt;1001,"0"&amp;ROW(A395)-1,ROW(A395)-1))),"-OLD"),_xlfn.CONCAT(TEXT(B395,"MMM"),"-",IF(ROW(A395)&lt;473,"000"&amp;ROW(A395)-463,IF(ROW(A395)&lt;563,"00"&amp;ROW(A395)-463,IF(ROW(A395)&lt;1001,"0"&amp;ROW(A395)-463,ROW(A395)-463))))))</f>
        <v>FEB-0394-OLD</v>
      </c>
      <c r="B395" s="1">
        <v>45695</v>
      </c>
      <c r="C395" s="5"/>
      <c r="D395" s="5"/>
      <c r="E395" t="s">
        <v>54</v>
      </c>
      <c r="F395" s="32"/>
      <c r="G395" s="32"/>
      <c r="H395" s="5">
        <v>1522</v>
      </c>
      <c r="I395" t="s">
        <v>434</v>
      </c>
      <c r="J395" t="s">
        <v>435</v>
      </c>
      <c r="K395" s="5"/>
      <c r="L395" s="10" t="s">
        <v>57</v>
      </c>
      <c r="M395" s="49">
        <v>0.3</v>
      </c>
      <c r="N395" s="34">
        <f>PLANPRODUCCION[[#This Row],[PIEZAS PLANEADAS]]*PLANPRODUCCION[[#This Row],[PRECIO MAQUILAS]]</f>
        <v>0</v>
      </c>
      <c r="O395" s="5">
        <v>1</v>
      </c>
      <c r="P395" s="2">
        <v>0.25</v>
      </c>
      <c r="Q395" s="2">
        <v>0.66666666666666663</v>
      </c>
      <c r="R395" s="24">
        <v>2500</v>
      </c>
      <c r="S395" s="35">
        <f>PLANPRODUCCION[[#This Row],[PRECIO MAQUILAS]]*PLANPRODUCCION[[#This Row],[PIEZAS REAL]]</f>
        <v>750</v>
      </c>
      <c r="T39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9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9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39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130</v>
      </c>
      <c r="X395" s="8"/>
      <c r="Y39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9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9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95" s="13" t="e">
        <f>IF(PLANPRODUCCION[[#This Row],[PIEZAS REAL]]&gt;0,PLANPRODUCCION[[#This Row],[PIEZAS REAL]]/PLANPRODUCCION[[#This Row],[PIEZAS ACTUALIZADO]],)</f>
        <v>#DIV/0!</v>
      </c>
      <c r="AC395" s="10" t="b">
        <f>PLANPRODUCCION[[#This Row],[INGRESO PLANEADO]]&lt;PLANPRODUCCION[[#This Row],[COSTO PLANEADO]]</f>
        <v>0</v>
      </c>
      <c r="AD395" s="46" t="s">
        <v>519</v>
      </c>
      <c r="AE395" s="10"/>
      <c r="AF395" s="10" t="b">
        <f>IF(COUNTIF(PLANPRODUCCION[[#This Row],[OBSERVACIONES]],"NO APLICA BONO*")&gt;0,TRUE,FALSE)</f>
        <v>0</v>
      </c>
    </row>
    <row r="396" spans="1:32" x14ac:dyDescent="0.25">
      <c r="A396" s="46" t="str">
        <f>UPPER(IF(PLANPRODUCCION[[#This Row],[FECHA]]&lt;=45701,_xlfn.CONCAT(TEXT(B396,"MMM"),"-",IF(ROW(A396)&lt;11,"000"&amp;ROW(A396)-1,IF(ROW(A396)&lt;101,"00"&amp;ROW(A396)-1,IF(ROW(A396)&lt;1001,"0"&amp;ROW(A396)-1,ROW(A396)-1))),"-OLD"),_xlfn.CONCAT(TEXT(B396,"MMM"),"-",IF(ROW(A396)&lt;473,"000"&amp;ROW(A396)-463,IF(ROW(A396)&lt;563,"00"&amp;ROW(A396)-463,IF(ROW(A396)&lt;1001,"0"&amp;ROW(A396)-463,ROW(A396)-463))))))</f>
        <v>FEB-0395-OLD</v>
      </c>
      <c r="B396" s="1">
        <v>45695</v>
      </c>
      <c r="C396" s="5"/>
      <c r="D396" s="5"/>
      <c r="E396" t="s">
        <v>54</v>
      </c>
      <c r="F396" s="32"/>
      <c r="G396" s="32"/>
      <c r="H396" s="5">
        <v>1562</v>
      </c>
      <c r="I396" t="s">
        <v>444</v>
      </c>
      <c r="J396" t="s">
        <v>445</v>
      </c>
      <c r="K396" s="5"/>
      <c r="L396" s="10" t="s">
        <v>57</v>
      </c>
      <c r="M396" s="49">
        <v>1.2</v>
      </c>
      <c r="N396" s="34">
        <f>PLANPRODUCCION[[#This Row],[PIEZAS PLANEADAS]]*PLANPRODUCCION[[#This Row],[PRECIO MAQUILAS]]</f>
        <v>0</v>
      </c>
      <c r="O396" s="5">
        <v>2</v>
      </c>
      <c r="P396" s="2">
        <v>0.25</v>
      </c>
      <c r="Q396" s="2">
        <v>0.66666666666666663</v>
      </c>
      <c r="R396" s="24">
        <v>80</v>
      </c>
      <c r="S396" s="35">
        <f>PLANPRODUCCION[[#This Row],[PRECIO MAQUILAS]]*PLANPRODUCCION[[#This Row],[PIEZAS REAL]]</f>
        <v>96</v>
      </c>
      <c r="T39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9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9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39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-1144</v>
      </c>
      <c r="X396" s="8"/>
      <c r="Y39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9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9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96" s="13" t="e">
        <f>IF(PLANPRODUCCION[[#This Row],[PIEZAS REAL]]&gt;0,PLANPRODUCCION[[#This Row],[PIEZAS REAL]]/PLANPRODUCCION[[#This Row],[PIEZAS ACTUALIZADO]],)</f>
        <v>#DIV/0!</v>
      </c>
      <c r="AC396" s="10" t="b">
        <f>PLANPRODUCCION[[#This Row],[INGRESO PLANEADO]]&lt;PLANPRODUCCION[[#This Row],[COSTO PLANEADO]]</f>
        <v>0</v>
      </c>
      <c r="AD396" s="46" t="s">
        <v>520</v>
      </c>
      <c r="AE396" s="10"/>
      <c r="AF396" s="10" t="b">
        <f>IF(COUNTIF(PLANPRODUCCION[[#This Row],[OBSERVACIONES]],"NO APLICA BONO*")&gt;0,TRUE,FALSE)</f>
        <v>0</v>
      </c>
    </row>
    <row r="397" spans="1:32" x14ac:dyDescent="0.25">
      <c r="A397" s="46" t="str">
        <f>UPPER(IF(PLANPRODUCCION[[#This Row],[FECHA]]&lt;=45701,_xlfn.CONCAT(TEXT(B397,"MMM"),"-",IF(ROW(A397)&lt;11,"000"&amp;ROW(A397)-1,IF(ROW(A397)&lt;101,"00"&amp;ROW(A397)-1,IF(ROW(A397)&lt;1001,"0"&amp;ROW(A397)-1,ROW(A397)-1))),"-OLD"),_xlfn.CONCAT(TEXT(B397,"MMM"),"-",IF(ROW(A397)&lt;473,"000"&amp;ROW(A397)-463,IF(ROW(A397)&lt;563,"00"&amp;ROW(A397)-463,IF(ROW(A397)&lt;1001,"0"&amp;ROW(A397)-463,ROW(A397)-463))))))</f>
        <v>FEB-0396-OLD</v>
      </c>
      <c r="B397" s="1">
        <v>45695</v>
      </c>
      <c r="C397" s="5"/>
      <c r="D397" s="5"/>
      <c r="E397" t="s">
        <v>54</v>
      </c>
      <c r="F397" s="32"/>
      <c r="G397" s="32"/>
      <c r="H397" s="5">
        <v>1562</v>
      </c>
      <c r="I397" t="s">
        <v>444</v>
      </c>
      <c r="J397" t="s">
        <v>103</v>
      </c>
      <c r="K397" s="5"/>
      <c r="L397" s="10" t="s">
        <v>57</v>
      </c>
      <c r="M397" s="49">
        <v>1.2</v>
      </c>
      <c r="N397" s="34">
        <f>PLANPRODUCCION[[#This Row],[PIEZAS PLANEADAS]]*PLANPRODUCCION[[#This Row],[PRECIO MAQUILAS]]</f>
        <v>0</v>
      </c>
      <c r="O397" s="5">
        <v>3</v>
      </c>
      <c r="P397" s="2">
        <v>0.25</v>
      </c>
      <c r="Q397" s="2">
        <v>0.33333333333333331</v>
      </c>
      <c r="R397" s="24">
        <v>789</v>
      </c>
      <c r="S397" s="35">
        <f>PLANPRODUCCION[[#This Row],[PRECIO MAQUILAS]]*PLANPRODUCCION[[#This Row],[PIEZAS REAL]]</f>
        <v>946.8</v>
      </c>
      <c r="T39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9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9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39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574.79999999999995</v>
      </c>
      <c r="X397" s="8"/>
      <c r="Y39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9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9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97" s="13" t="e">
        <f>IF(PLANPRODUCCION[[#This Row],[PIEZAS REAL]]&gt;0,PLANPRODUCCION[[#This Row],[PIEZAS REAL]]/PLANPRODUCCION[[#This Row],[PIEZAS ACTUALIZADO]],)</f>
        <v>#DIV/0!</v>
      </c>
      <c r="AC397" s="10" t="b">
        <f>PLANPRODUCCION[[#This Row],[INGRESO PLANEADO]]&lt;PLANPRODUCCION[[#This Row],[COSTO PLANEADO]]</f>
        <v>0</v>
      </c>
      <c r="AD397" s="46" t="s">
        <v>521</v>
      </c>
      <c r="AE397" s="10"/>
      <c r="AF397" s="10" t="b">
        <f>IF(COUNTIF(PLANPRODUCCION[[#This Row],[OBSERVACIONES]],"NO APLICA BONO*")&gt;0,TRUE,FALSE)</f>
        <v>0</v>
      </c>
    </row>
    <row r="398" spans="1:32" x14ac:dyDescent="0.25">
      <c r="A398" s="46" t="str">
        <f>UPPER(IF(PLANPRODUCCION[[#This Row],[FECHA]]&lt;=45701,_xlfn.CONCAT(TEXT(B398,"MMM"),"-",IF(ROW(A398)&lt;11,"000"&amp;ROW(A398)-1,IF(ROW(A398)&lt;101,"00"&amp;ROW(A398)-1,IF(ROW(A398)&lt;1001,"0"&amp;ROW(A398)-1,ROW(A398)-1))),"-OLD"),_xlfn.CONCAT(TEXT(B398,"MMM"),"-",IF(ROW(A398)&lt;473,"000"&amp;ROW(A398)-463,IF(ROW(A398)&lt;563,"00"&amp;ROW(A398)-463,IF(ROW(A398)&lt;1001,"0"&amp;ROW(A398)-463,ROW(A398)-463))))))</f>
        <v>FEB-0397-OLD</v>
      </c>
      <c r="B398" s="1">
        <v>45695</v>
      </c>
      <c r="C398" s="5"/>
      <c r="D398" s="5"/>
      <c r="E398" t="s">
        <v>54</v>
      </c>
      <c r="F398" s="32"/>
      <c r="G398" s="32"/>
      <c r="H398" s="5">
        <v>1569</v>
      </c>
      <c r="I398" t="s">
        <v>522</v>
      </c>
      <c r="J398" t="s">
        <v>523</v>
      </c>
      <c r="K398" s="5"/>
      <c r="L398" s="10" t="s">
        <v>57</v>
      </c>
      <c r="M398" s="49">
        <v>1</v>
      </c>
      <c r="N398" s="34">
        <f>PLANPRODUCCION[[#This Row],[PIEZAS PLANEADAS]]*PLANPRODUCCION[[#This Row],[PRECIO MAQUILAS]]</f>
        <v>0</v>
      </c>
      <c r="O398" s="5">
        <v>3</v>
      </c>
      <c r="P398" s="2">
        <v>0.25</v>
      </c>
      <c r="Q398" s="2">
        <v>0.5</v>
      </c>
      <c r="R398" s="24">
        <v>870</v>
      </c>
      <c r="S398" s="35">
        <f>PLANPRODUCCION[[#This Row],[PRECIO MAQUILAS]]*PLANPRODUCCION[[#This Row],[PIEZAS REAL]]</f>
        <v>870</v>
      </c>
      <c r="T39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9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9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1116</v>
      </c>
      <c r="W39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-246</v>
      </c>
      <c r="X398" s="8"/>
      <c r="Y39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9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9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98" s="13" t="e">
        <f>IF(PLANPRODUCCION[[#This Row],[PIEZAS REAL]]&gt;0,PLANPRODUCCION[[#This Row],[PIEZAS REAL]]/PLANPRODUCCION[[#This Row],[PIEZAS ACTUALIZADO]],)</f>
        <v>#DIV/0!</v>
      </c>
      <c r="AC398" s="10" t="b">
        <f>PLANPRODUCCION[[#This Row],[INGRESO PLANEADO]]&lt;PLANPRODUCCION[[#This Row],[COSTO PLANEADO]]</f>
        <v>0</v>
      </c>
      <c r="AD398" s="46" t="s">
        <v>524</v>
      </c>
      <c r="AE398" s="10"/>
      <c r="AF398" s="10" t="b">
        <f>IF(COUNTIF(PLANPRODUCCION[[#This Row],[OBSERVACIONES]],"NO APLICA BONO*")&gt;0,TRUE,FALSE)</f>
        <v>0</v>
      </c>
    </row>
    <row r="399" spans="1:32" x14ac:dyDescent="0.25">
      <c r="A399" s="46" t="str">
        <f>UPPER(IF(PLANPRODUCCION[[#This Row],[FECHA]]&lt;=45701,_xlfn.CONCAT(TEXT(B399,"MMM"),"-",IF(ROW(A399)&lt;11,"000"&amp;ROW(A399)-1,IF(ROW(A399)&lt;101,"00"&amp;ROW(A399)-1,IF(ROW(A399)&lt;1001,"0"&amp;ROW(A399)-1,ROW(A399)-1))),"-OLD"),_xlfn.CONCAT(TEXT(B399,"MMM"),"-",IF(ROW(A399)&lt;473,"000"&amp;ROW(A399)-463,IF(ROW(A399)&lt;563,"00"&amp;ROW(A399)-463,IF(ROW(A399)&lt;1001,"0"&amp;ROW(A399)-463,ROW(A399)-463))))))</f>
        <v>FEB-0398-OLD</v>
      </c>
      <c r="B399" s="1">
        <v>45695</v>
      </c>
      <c r="C399" s="5"/>
      <c r="D399" s="5"/>
      <c r="E399" t="s">
        <v>54</v>
      </c>
      <c r="F399" s="32"/>
      <c r="G399" s="32"/>
      <c r="H399" s="5">
        <v>1569</v>
      </c>
      <c r="I399" t="s">
        <v>525</v>
      </c>
      <c r="J399" t="s">
        <v>89</v>
      </c>
      <c r="K399" s="5"/>
      <c r="L399" s="10" t="s">
        <v>57</v>
      </c>
      <c r="M399" s="49">
        <v>2.25</v>
      </c>
      <c r="N399" s="34">
        <f>PLANPRODUCCION[[#This Row],[PIEZAS PLANEADAS]]*PLANPRODUCCION[[#This Row],[PRECIO MAQUILAS]]</f>
        <v>0</v>
      </c>
      <c r="O399" s="5">
        <v>3</v>
      </c>
      <c r="P399" s="2">
        <v>0.52777777777777779</v>
      </c>
      <c r="Q399" s="2">
        <v>0.66666666666666663</v>
      </c>
      <c r="R399" s="24">
        <v>63</v>
      </c>
      <c r="S399" s="35">
        <f>PLANPRODUCCION[[#This Row],[PRECIO MAQUILAS]]*PLANPRODUCCION[[#This Row],[PIEZAS REAL]]</f>
        <v>141.75</v>
      </c>
      <c r="T39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39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39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39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-478.25</v>
      </c>
      <c r="X399" s="8"/>
      <c r="Y39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39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39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399" s="13" t="e">
        <f>IF(PLANPRODUCCION[[#This Row],[PIEZAS REAL]]&gt;0,PLANPRODUCCION[[#This Row],[PIEZAS REAL]]/PLANPRODUCCION[[#This Row],[PIEZAS ACTUALIZADO]],)</f>
        <v>#DIV/0!</v>
      </c>
      <c r="AC399" s="10" t="b">
        <f>PLANPRODUCCION[[#This Row],[INGRESO PLANEADO]]&lt;PLANPRODUCCION[[#This Row],[COSTO PLANEADO]]</f>
        <v>0</v>
      </c>
      <c r="AD399" s="46" t="s">
        <v>526</v>
      </c>
      <c r="AE399" s="10"/>
      <c r="AF399" s="10" t="b">
        <f>IF(COUNTIF(PLANPRODUCCION[[#This Row],[OBSERVACIONES]],"NO APLICA BONO*")&gt;0,TRUE,FALSE)</f>
        <v>0</v>
      </c>
    </row>
    <row r="400" spans="1:32" x14ac:dyDescent="0.25">
      <c r="A400" s="46" t="str">
        <f>UPPER(IF(PLANPRODUCCION[[#This Row],[FECHA]]&lt;=45701,_xlfn.CONCAT(TEXT(B400,"MMM"),"-",IF(ROW(A400)&lt;11,"000"&amp;ROW(A400)-1,IF(ROW(A400)&lt;101,"00"&amp;ROW(A400)-1,IF(ROW(A400)&lt;1001,"0"&amp;ROW(A400)-1,ROW(A400)-1))),"-OLD"),_xlfn.CONCAT(TEXT(B400,"MMM"),"-",IF(ROW(A400)&lt;473,"000"&amp;ROW(A400)-463,IF(ROW(A400)&lt;563,"00"&amp;ROW(A400)-463,IF(ROW(A400)&lt;1001,"0"&amp;ROW(A400)-463,ROW(A400)-463))))))</f>
        <v>FEB-0399-OLD</v>
      </c>
      <c r="B400" s="1">
        <v>45695</v>
      </c>
      <c r="C400" s="5"/>
      <c r="D400" s="5"/>
      <c r="E400" t="s">
        <v>54</v>
      </c>
      <c r="F400" s="32"/>
      <c r="G400" s="32"/>
      <c r="H400" s="5">
        <v>1569</v>
      </c>
      <c r="I400" t="s">
        <v>525</v>
      </c>
      <c r="J400" t="s">
        <v>89</v>
      </c>
      <c r="K400" s="5"/>
      <c r="L400" s="10" t="s">
        <v>57</v>
      </c>
      <c r="M400" s="49">
        <v>2.25</v>
      </c>
      <c r="N400" s="34">
        <f>PLANPRODUCCION[[#This Row],[PIEZAS PLANEADAS]]*PLANPRODUCCION[[#This Row],[PRECIO MAQUILAS]]</f>
        <v>0</v>
      </c>
      <c r="O400" s="5">
        <v>2</v>
      </c>
      <c r="P400" s="2">
        <v>0.52777777777777779</v>
      </c>
      <c r="Q400" s="2">
        <v>0.66666666666666663</v>
      </c>
      <c r="R400" s="24">
        <v>169</v>
      </c>
      <c r="S400" s="35">
        <f>PLANPRODUCCION[[#This Row],[PRECIO MAQUILAS]]*PLANPRODUCCION[[#This Row],[PIEZAS REAL]]</f>
        <v>380.25</v>
      </c>
      <c r="T40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0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0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413.33333333333331</v>
      </c>
      <c r="W40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-33.083333333333314</v>
      </c>
      <c r="X400" s="8"/>
      <c r="Y40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0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0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00" s="13" t="e">
        <f>IF(PLANPRODUCCION[[#This Row],[PIEZAS REAL]]&gt;0,PLANPRODUCCION[[#This Row],[PIEZAS REAL]]/PLANPRODUCCION[[#This Row],[PIEZAS ACTUALIZADO]],)</f>
        <v>#DIV/0!</v>
      </c>
      <c r="AC400" s="10" t="b">
        <f>PLANPRODUCCION[[#This Row],[INGRESO PLANEADO]]&lt;PLANPRODUCCION[[#This Row],[COSTO PLANEADO]]</f>
        <v>0</v>
      </c>
      <c r="AD400" s="46" t="s">
        <v>527</v>
      </c>
      <c r="AE400" s="10"/>
      <c r="AF400" s="10" t="b">
        <f>IF(COUNTIF(PLANPRODUCCION[[#This Row],[OBSERVACIONES]],"NO APLICA BONO*")&gt;0,TRUE,FALSE)</f>
        <v>0</v>
      </c>
    </row>
    <row r="401" spans="1:32" x14ac:dyDescent="0.25">
      <c r="A401" s="46" t="str">
        <f>UPPER(IF(PLANPRODUCCION[[#This Row],[FECHA]]&lt;=45701,_xlfn.CONCAT(TEXT(B401,"MMM"),"-",IF(ROW(A401)&lt;11,"000"&amp;ROW(A401)-1,IF(ROW(A401)&lt;101,"00"&amp;ROW(A401)-1,IF(ROW(A401)&lt;1001,"0"&amp;ROW(A401)-1,ROW(A401)-1))),"-OLD"),_xlfn.CONCAT(TEXT(B401,"MMM"),"-",IF(ROW(A401)&lt;473,"000"&amp;ROW(A401)-463,IF(ROW(A401)&lt;563,"00"&amp;ROW(A401)-463,IF(ROW(A401)&lt;1001,"0"&amp;ROW(A401)-463,ROW(A401)-463))))))</f>
        <v>FEB-0400-OLD</v>
      </c>
      <c r="B401" s="1">
        <v>45695</v>
      </c>
      <c r="C401" s="5"/>
      <c r="D401" s="5"/>
      <c r="E401" t="s">
        <v>54</v>
      </c>
      <c r="F401" s="32"/>
      <c r="G401" s="32"/>
      <c r="H401" s="5">
        <v>1569</v>
      </c>
      <c r="I401" t="s">
        <v>525</v>
      </c>
      <c r="J401" t="s">
        <v>89</v>
      </c>
      <c r="K401" s="5"/>
      <c r="L401" s="10" t="s">
        <v>57</v>
      </c>
      <c r="M401" s="49">
        <v>2.25</v>
      </c>
      <c r="N401" s="34">
        <f>PLANPRODUCCION[[#This Row],[PIEZAS PLANEADAS]]*PLANPRODUCCION[[#This Row],[PRECIO MAQUILAS]]</f>
        <v>0</v>
      </c>
      <c r="O401" s="5">
        <v>3</v>
      </c>
      <c r="P401" s="2">
        <v>0.52777777777777779</v>
      </c>
      <c r="Q401" s="2">
        <v>0.66666666666666663</v>
      </c>
      <c r="R401" s="24">
        <v>134</v>
      </c>
      <c r="S401" s="35">
        <f>PLANPRODUCCION[[#This Row],[PRECIO MAQUILAS]]*PLANPRODUCCION[[#This Row],[PIEZAS REAL]]</f>
        <v>301.5</v>
      </c>
      <c r="T40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0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0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40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-318.5</v>
      </c>
      <c r="X401" s="8"/>
      <c r="Y40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0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0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01" s="13" t="e">
        <f>IF(PLANPRODUCCION[[#This Row],[PIEZAS REAL]]&gt;0,PLANPRODUCCION[[#This Row],[PIEZAS REAL]]/PLANPRODUCCION[[#This Row],[PIEZAS ACTUALIZADO]],)</f>
        <v>#DIV/0!</v>
      </c>
      <c r="AC401" s="10" t="b">
        <f>PLANPRODUCCION[[#This Row],[INGRESO PLANEADO]]&lt;PLANPRODUCCION[[#This Row],[COSTO PLANEADO]]</f>
        <v>0</v>
      </c>
      <c r="AD401" s="46" t="s">
        <v>528</v>
      </c>
      <c r="AE401" s="10"/>
      <c r="AF401" s="10" t="b">
        <f>IF(COUNTIF(PLANPRODUCCION[[#This Row],[OBSERVACIONES]],"NO APLICA BONO*")&gt;0,TRUE,FALSE)</f>
        <v>0</v>
      </c>
    </row>
    <row r="402" spans="1:32" x14ac:dyDescent="0.25">
      <c r="A402" s="46" t="str">
        <f>UPPER(IF(PLANPRODUCCION[[#This Row],[FECHA]]&lt;=45701,_xlfn.CONCAT(TEXT(B402,"MMM"),"-",IF(ROW(A402)&lt;11,"000"&amp;ROW(A402)-1,IF(ROW(A402)&lt;101,"00"&amp;ROW(A402)-1,IF(ROW(A402)&lt;1001,"0"&amp;ROW(A402)-1,ROW(A402)-1))),"-OLD"),_xlfn.CONCAT(TEXT(B402,"MMM"),"-",IF(ROW(A402)&lt;473,"000"&amp;ROW(A402)-463,IF(ROW(A402)&lt;563,"00"&amp;ROW(A402)-463,IF(ROW(A402)&lt;1001,"0"&amp;ROW(A402)-463,ROW(A402)-463))))))</f>
        <v>FEB-0401-OLD</v>
      </c>
      <c r="B402" s="1">
        <v>45695</v>
      </c>
      <c r="C402" s="5"/>
      <c r="D402" s="5"/>
      <c r="E402" t="s">
        <v>54</v>
      </c>
      <c r="F402" s="32"/>
      <c r="G402" s="32"/>
      <c r="H402" s="5">
        <v>1569</v>
      </c>
      <c r="I402" t="s">
        <v>522</v>
      </c>
      <c r="J402" t="s">
        <v>523</v>
      </c>
      <c r="K402" s="5"/>
      <c r="L402" s="10" t="s">
        <v>57</v>
      </c>
      <c r="M402" s="49">
        <v>1</v>
      </c>
      <c r="N402" s="34">
        <f>PLANPRODUCCION[[#This Row],[PIEZAS PLANEADAS]]*PLANPRODUCCION[[#This Row],[PRECIO MAQUILAS]]</f>
        <v>0</v>
      </c>
      <c r="O402" s="5">
        <v>3</v>
      </c>
      <c r="P402" s="2">
        <v>0.41666666666666669</v>
      </c>
      <c r="Q402" s="2">
        <v>0.5</v>
      </c>
      <c r="R402" s="24">
        <v>420</v>
      </c>
      <c r="S402" s="35">
        <f>PLANPRODUCCION[[#This Row],[PRECIO MAQUILAS]]*PLANPRODUCCION[[#This Row],[PIEZAS REAL]]</f>
        <v>420</v>
      </c>
      <c r="T40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0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0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40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48</v>
      </c>
      <c r="X402" s="8"/>
      <c r="Y40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0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0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02" s="13" t="e">
        <f>IF(PLANPRODUCCION[[#This Row],[PIEZAS REAL]]&gt;0,PLANPRODUCCION[[#This Row],[PIEZAS REAL]]/PLANPRODUCCION[[#This Row],[PIEZAS ACTUALIZADO]],)</f>
        <v>#DIV/0!</v>
      </c>
      <c r="AC402" s="10" t="b">
        <f>PLANPRODUCCION[[#This Row],[INGRESO PLANEADO]]&lt;PLANPRODUCCION[[#This Row],[COSTO PLANEADO]]</f>
        <v>0</v>
      </c>
      <c r="AD402" s="46" t="s">
        <v>529</v>
      </c>
      <c r="AE402" s="10"/>
      <c r="AF402" s="10" t="b">
        <f>IF(COUNTIF(PLANPRODUCCION[[#This Row],[OBSERVACIONES]],"NO APLICA BONO*")&gt;0,TRUE,FALSE)</f>
        <v>0</v>
      </c>
    </row>
    <row r="403" spans="1:32" x14ac:dyDescent="0.25">
      <c r="A403" s="46" t="str">
        <f>UPPER(IF(PLANPRODUCCION[[#This Row],[FECHA]]&lt;=45701,_xlfn.CONCAT(TEXT(B403,"MMM"),"-",IF(ROW(A403)&lt;11,"000"&amp;ROW(A403)-1,IF(ROW(A403)&lt;101,"00"&amp;ROW(A403)-1,IF(ROW(A403)&lt;1001,"0"&amp;ROW(A403)-1,ROW(A403)-1))),"-OLD"),_xlfn.CONCAT(TEXT(B403,"MMM"),"-",IF(ROW(A403)&lt;473,"000"&amp;ROW(A403)-463,IF(ROW(A403)&lt;563,"00"&amp;ROW(A403)-463,IF(ROW(A403)&lt;1001,"0"&amp;ROW(A403)-463,ROW(A403)-463))))))</f>
        <v>FEB-0402-OLD</v>
      </c>
      <c r="B403" s="1">
        <v>45695</v>
      </c>
      <c r="C403" s="5"/>
      <c r="D403" s="5"/>
      <c r="E403" t="s">
        <v>54</v>
      </c>
      <c r="F403" s="32"/>
      <c r="G403" s="32"/>
      <c r="H403" s="5">
        <v>1569</v>
      </c>
      <c r="I403" t="s">
        <v>522</v>
      </c>
      <c r="J403" t="s">
        <v>523</v>
      </c>
      <c r="K403" s="5"/>
      <c r="L403" s="10" t="s">
        <v>57</v>
      </c>
      <c r="M403" s="49">
        <v>1</v>
      </c>
      <c r="N403" s="34">
        <f>PLANPRODUCCION[[#This Row],[PIEZAS PLANEADAS]]*PLANPRODUCCION[[#This Row],[PRECIO MAQUILAS]]</f>
        <v>0</v>
      </c>
      <c r="O403" s="5">
        <v>2</v>
      </c>
      <c r="P403" s="2">
        <v>0.33333333333333331</v>
      </c>
      <c r="Q403" s="2">
        <v>0.45833333333333331</v>
      </c>
      <c r="R403" s="24">
        <v>108</v>
      </c>
      <c r="S403" s="35">
        <f>PLANPRODUCCION[[#This Row],[PRECIO MAQUILAS]]*PLANPRODUCCION[[#This Row],[PIEZAS REAL]]</f>
        <v>108</v>
      </c>
      <c r="T40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0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0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40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-264</v>
      </c>
      <c r="X403" s="8"/>
      <c r="Y40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0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0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03" s="13" t="e">
        <f>IF(PLANPRODUCCION[[#This Row],[PIEZAS REAL]]&gt;0,PLANPRODUCCION[[#This Row],[PIEZAS REAL]]/PLANPRODUCCION[[#This Row],[PIEZAS ACTUALIZADO]],)</f>
        <v>#DIV/0!</v>
      </c>
      <c r="AC403" s="10" t="b">
        <f>PLANPRODUCCION[[#This Row],[INGRESO PLANEADO]]&lt;PLANPRODUCCION[[#This Row],[COSTO PLANEADO]]</f>
        <v>0</v>
      </c>
      <c r="AD403" s="46" t="s">
        <v>530</v>
      </c>
      <c r="AE403" s="10"/>
      <c r="AF403" s="10" t="b">
        <f>IF(COUNTIF(PLANPRODUCCION[[#This Row],[OBSERVACIONES]],"NO APLICA BONO*")&gt;0,TRUE,FALSE)</f>
        <v>0</v>
      </c>
    </row>
    <row r="404" spans="1:32" x14ac:dyDescent="0.25">
      <c r="A404" s="46" t="str">
        <f>UPPER(IF(PLANPRODUCCION[[#This Row],[FECHA]]&lt;=45701,_xlfn.CONCAT(TEXT(B404,"MMM"),"-",IF(ROW(A404)&lt;11,"000"&amp;ROW(A404)-1,IF(ROW(A404)&lt;101,"00"&amp;ROW(A404)-1,IF(ROW(A404)&lt;1001,"0"&amp;ROW(A404)-1,ROW(A404)-1))),"-OLD"),_xlfn.CONCAT(TEXT(B404,"MMM"),"-",IF(ROW(A404)&lt;473,"000"&amp;ROW(A404)-463,IF(ROW(A404)&lt;563,"00"&amp;ROW(A404)-463,IF(ROW(A404)&lt;1001,"0"&amp;ROW(A404)-463,ROW(A404)-463))))))</f>
        <v>FEB-0403-OLD</v>
      </c>
      <c r="B404" s="1">
        <v>45695</v>
      </c>
      <c r="C404" s="5"/>
      <c r="D404" s="5"/>
      <c r="E404" t="s">
        <v>54</v>
      </c>
      <c r="F404" s="32"/>
      <c r="G404" s="32"/>
      <c r="H404" s="5">
        <v>1569</v>
      </c>
      <c r="I404" t="s">
        <v>525</v>
      </c>
      <c r="J404" t="s">
        <v>531</v>
      </c>
      <c r="K404" s="5"/>
      <c r="L404" s="10" t="s">
        <v>65</v>
      </c>
      <c r="M404" s="49">
        <v>1.4</v>
      </c>
      <c r="N404" s="34">
        <f>PLANPRODUCCION[[#This Row],[PIEZAS PLANEADAS]]*PLANPRODUCCION[[#This Row],[PRECIO MAQUILAS]]</f>
        <v>0</v>
      </c>
      <c r="O404" s="5">
        <v>2</v>
      </c>
      <c r="P404" s="2">
        <v>0.47916666666666669</v>
      </c>
      <c r="Q404" s="2">
        <v>0.66666666666666663</v>
      </c>
      <c r="R404" s="24">
        <v>1260</v>
      </c>
      <c r="S404" s="35">
        <f>PLANPRODUCCION[[#This Row],[PRECIO MAQUILAS]]*PLANPRODUCCION[[#This Row],[PIEZAS REAL]]</f>
        <v>1764</v>
      </c>
      <c r="T40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0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0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558</v>
      </c>
      <c r="W40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1206</v>
      </c>
      <c r="X404" s="8"/>
      <c r="Y40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0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0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04" s="13" t="e">
        <f>IF(PLANPRODUCCION[[#This Row],[PIEZAS REAL]]&gt;0,PLANPRODUCCION[[#This Row],[PIEZAS REAL]]/PLANPRODUCCION[[#This Row],[PIEZAS ACTUALIZADO]],)</f>
        <v>#DIV/0!</v>
      </c>
      <c r="AC404" s="10" t="b">
        <f>PLANPRODUCCION[[#This Row],[INGRESO PLANEADO]]&lt;PLANPRODUCCION[[#This Row],[COSTO PLANEADO]]</f>
        <v>0</v>
      </c>
      <c r="AD404" s="46" t="s">
        <v>532</v>
      </c>
      <c r="AE404" s="10"/>
      <c r="AF404" s="10" t="b">
        <f>IF(COUNTIF(PLANPRODUCCION[[#This Row],[OBSERVACIONES]],"NO APLICA BONO*")&gt;0,TRUE,FALSE)</f>
        <v>0</v>
      </c>
    </row>
    <row r="405" spans="1:32" x14ac:dyDescent="0.25">
      <c r="A405" s="46" t="str">
        <f>UPPER(IF(PLANPRODUCCION[[#This Row],[FECHA]]&lt;=45701,_xlfn.CONCAT(TEXT(B405,"MMM"),"-",IF(ROW(A405)&lt;11,"000"&amp;ROW(A405)-1,IF(ROW(A405)&lt;101,"00"&amp;ROW(A405)-1,IF(ROW(A405)&lt;1001,"0"&amp;ROW(A405)-1,ROW(A405)-1))),"-OLD"),_xlfn.CONCAT(TEXT(B405,"MMM"),"-",IF(ROW(A405)&lt;473,"000"&amp;ROW(A405)-463,IF(ROW(A405)&lt;563,"00"&amp;ROW(A405)-463,IF(ROW(A405)&lt;1001,"0"&amp;ROW(A405)-463,ROW(A405)-463))))))</f>
        <v>FEB-0404-OLD</v>
      </c>
      <c r="B405" s="1">
        <v>45695</v>
      </c>
      <c r="C405" s="5"/>
      <c r="D405" s="5"/>
      <c r="E405" t="s">
        <v>110</v>
      </c>
      <c r="F405" s="32"/>
      <c r="G405" s="32"/>
      <c r="H405" s="5">
        <v>1569</v>
      </c>
      <c r="I405" t="s">
        <v>525</v>
      </c>
      <c r="J405" t="s">
        <v>89</v>
      </c>
      <c r="K405" s="5"/>
      <c r="L405" s="10" t="s">
        <v>57</v>
      </c>
      <c r="M405" s="49">
        <v>2.25</v>
      </c>
      <c r="N405" s="34">
        <f>PLANPRODUCCION[[#This Row],[PIEZAS PLANEADAS]]*PLANPRODUCCION[[#This Row],[PRECIO MAQUILAS]]</f>
        <v>0</v>
      </c>
      <c r="O405" s="5">
        <v>3</v>
      </c>
      <c r="P405" s="2">
        <v>0.54166666666666663</v>
      </c>
      <c r="Q405" s="2">
        <v>0.65625</v>
      </c>
      <c r="R405" s="24">
        <v>62</v>
      </c>
      <c r="S405" s="35">
        <f>PLANPRODUCCION[[#This Row],[PRECIO MAQUILAS]]*PLANPRODUCCION[[#This Row],[PIEZAS REAL]]</f>
        <v>139.5</v>
      </c>
      <c r="T40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0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0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639.375</v>
      </c>
      <c r="W40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-499.875</v>
      </c>
      <c r="X405" s="8"/>
      <c r="Y40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0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0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05" s="13" t="e">
        <f>IF(PLANPRODUCCION[[#This Row],[PIEZAS REAL]]&gt;0,PLANPRODUCCION[[#This Row],[PIEZAS REAL]]/PLANPRODUCCION[[#This Row],[PIEZAS ACTUALIZADO]],)</f>
        <v>#DIV/0!</v>
      </c>
      <c r="AC405" s="10" t="b">
        <f>PLANPRODUCCION[[#This Row],[INGRESO PLANEADO]]&lt;PLANPRODUCCION[[#This Row],[COSTO PLANEADO]]</f>
        <v>0</v>
      </c>
      <c r="AD405" s="46" t="s">
        <v>533</v>
      </c>
      <c r="AE405" s="10"/>
      <c r="AF405" s="10" t="b">
        <f>IF(COUNTIF(PLANPRODUCCION[[#This Row],[OBSERVACIONES]],"NO APLICA BONO*")&gt;0,TRUE,FALSE)</f>
        <v>0</v>
      </c>
    </row>
    <row r="406" spans="1:32" x14ac:dyDescent="0.25">
      <c r="A406" s="46" t="str">
        <f>UPPER(IF(PLANPRODUCCION[[#This Row],[FECHA]]&lt;=45701,_xlfn.CONCAT(TEXT(B406,"MMM"),"-",IF(ROW(A406)&lt;11,"000"&amp;ROW(A406)-1,IF(ROW(A406)&lt;101,"00"&amp;ROW(A406)-1,IF(ROW(A406)&lt;1001,"0"&amp;ROW(A406)-1,ROW(A406)-1))),"-OLD"),_xlfn.CONCAT(TEXT(B406,"MMM"),"-",IF(ROW(A406)&lt;473,"000"&amp;ROW(A406)-463,IF(ROW(A406)&lt;563,"00"&amp;ROW(A406)-463,IF(ROW(A406)&lt;1001,"0"&amp;ROW(A406)-463,ROW(A406)-463))))))</f>
        <v>FEB-0405-OLD</v>
      </c>
      <c r="B406" s="1">
        <v>45695</v>
      </c>
      <c r="C406" s="5"/>
      <c r="D406" s="5"/>
      <c r="E406" t="s">
        <v>72</v>
      </c>
      <c r="F406" s="32"/>
      <c r="G406" s="32"/>
      <c r="H406" s="5">
        <v>1522</v>
      </c>
      <c r="I406" t="s">
        <v>434</v>
      </c>
      <c r="J406" t="s">
        <v>441</v>
      </c>
      <c r="K406" s="5"/>
      <c r="L406" s="10" t="s">
        <v>283</v>
      </c>
      <c r="M406" s="49">
        <v>15</v>
      </c>
      <c r="N406" s="34">
        <f>PLANPRODUCCION[[#This Row],[PIEZAS PLANEADAS]]*PLANPRODUCCION[[#This Row],[PRECIO MAQUILAS]]</f>
        <v>0</v>
      </c>
      <c r="O406" s="5">
        <v>8</v>
      </c>
      <c r="P406" s="2">
        <v>0.66666666666666663</v>
      </c>
      <c r="Q406" s="2">
        <v>0.875</v>
      </c>
      <c r="R406" s="24">
        <v>218</v>
      </c>
      <c r="S406" s="35">
        <f>PLANPRODUCCION[[#This Row],[PRECIO MAQUILAS]]*PLANPRODUCCION[[#This Row],[PIEZAS REAL]]</f>
        <v>3270</v>
      </c>
      <c r="T40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0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0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40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790</v>
      </c>
      <c r="X406" s="8"/>
      <c r="Y40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0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0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06" s="13" t="e">
        <f>IF(PLANPRODUCCION[[#This Row],[PIEZAS REAL]]&gt;0,PLANPRODUCCION[[#This Row],[PIEZAS REAL]]/PLANPRODUCCION[[#This Row],[PIEZAS ACTUALIZADO]],)</f>
        <v>#DIV/0!</v>
      </c>
      <c r="AC406" s="10" t="b">
        <f>PLANPRODUCCION[[#This Row],[INGRESO PLANEADO]]&lt;PLANPRODUCCION[[#This Row],[COSTO PLANEADO]]</f>
        <v>0</v>
      </c>
      <c r="AD406" s="46" t="s">
        <v>534</v>
      </c>
      <c r="AE406" s="10"/>
      <c r="AF406" s="10" t="b">
        <f>IF(COUNTIF(PLANPRODUCCION[[#This Row],[OBSERVACIONES]],"NO APLICA BONO*")&gt;0,TRUE,FALSE)</f>
        <v>0</v>
      </c>
    </row>
    <row r="407" spans="1:32" x14ac:dyDescent="0.25">
      <c r="A407" s="46" t="str">
        <f>UPPER(IF(PLANPRODUCCION[[#This Row],[FECHA]]&lt;=45701,_xlfn.CONCAT(TEXT(B407,"MMM"),"-",IF(ROW(A407)&lt;11,"000"&amp;ROW(A407)-1,IF(ROW(A407)&lt;101,"00"&amp;ROW(A407)-1,IF(ROW(A407)&lt;1001,"0"&amp;ROW(A407)-1,ROW(A407)-1))),"-OLD"),_xlfn.CONCAT(TEXT(B407,"MMM"),"-",IF(ROW(A407)&lt;473,"000"&amp;ROW(A407)-463,IF(ROW(A407)&lt;563,"00"&amp;ROW(A407)-463,IF(ROW(A407)&lt;1001,"0"&amp;ROW(A407)-463,ROW(A407)-463))))))</f>
        <v>FEB-0406-OLD</v>
      </c>
      <c r="B407" s="1">
        <v>45695</v>
      </c>
      <c r="C407" s="5"/>
      <c r="D407" s="5"/>
      <c r="E407" t="s">
        <v>72</v>
      </c>
      <c r="F407" s="32"/>
      <c r="G407" s="32"/>
      <c r="H407" s="5">
        <v>1522</v>
      </c>
      <c r="I407" t="s">
        <v>434</v>
      </c>
      <c r="J407" t="s">
        <v>435</v>
      </c>
      <c r="K407" s="5"/>
      <c r="L407" s="10" t="s">
        <v>57</v>
      </c>
      <c r="M407" s="49">
        <v>0.3</v>
      </c>
      <c r="N407" s="34">
        <f>PLANPRODUCCION[[#This Row],[PIEZAS PLANEADAS]]*PLANPRODUCCION[[#This Row],[PRECIO MAQUILAS]]</f>
        <v>0</v>
      </c>
      <c r="O407" s="5">
        <v>1</v>
      </c>
      <c r="P407" s="2">
        <v>0.66666666666666663</v>
      </c>
      <c r="Q407" s="2">
        <v>0.875</v>
      </c>
      <c r="R407" s="24">
        <v>219</v>
      </c>
      <c r="S407" s="35">
        <f>PLANPRODUCCION[[#This Row],[PRECIO MAQUILAS]]*PLANPRODUCCION[[#This Row],[PIEZAS REAL]]</f>
        <v>65.7</v>
      </c>
      <c r="T40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0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0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40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-244.3</v>
      </c>
      <c r="X407" s="8"/>
      <c r="Y40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0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0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07" s="13" t="e">
        <f>IF(PLANPRODUCCION[[#This Row],[PIEZAS REAL]]&gt;0,PLANPRODUCCION[[#This Row],[PIEZAS REAL]]/PLANPRODUCCION[[#This Row],[PIEZAS ACTUALIZADO]],)</f>
        <v>#DIV/0!</v>
      </c>
      <c r="AC407" s="10" t="b">
        <f>PLANPRODUCCION[[#This Row],[INGRESO PLANEADO]]&lt;PLANPRODUCCION[[#This Row],[COSTO PLANEADO]]</f>
        <v>0</v>
      </c>
      <c r="AD407" s="46" t="s">
        <v>535</v>
      </c>
      <c r="AE407" s="10"/>
      <c r="AF407" s="10" t="b">
        <f>IF(COUNTIF(PLANPRODUCCION[[#This Row],[OBSERVACIONES]],"NO APLICA BONO*")&gt;0,TRUE,FALSE)</f>
        <v>0</v>
      </c>
    </row>
    <row r="408" spans="1:32" x14ac:dyDescent="0.25">
      <c r="A408" s="46" t="str">
        <f>UPPER(IF(PLANPRODUCCION[[#This Row],[FECHA]]&lt;=45701,_xlfn.CONCAT(TEXT(B408,"MMM"),"-",IF(ROW(A408)&lt;11,"000"&amp;ROW(A408)-1,IF(ROW(A408)&lt;101,"00"&amp;ROW(A408)-1,IF(ROW(A408)&lt;1001,"0"&amp;ROW(A408)-1,ROW(A408)-1))),"-OLD"),_xlfn.CONCAT(TEXT(B408,"MMM"),"-",IF(ROW(A408)&lt;473,"000"&amp;ROW(A408)-463,IF(ROW(A408)&lt;563,"00"&amp;ROW(A408)-463,IF(ROW(A408)&lt;1001,"0"&amp;ROW(A408)-463,ROW(A408)-463))))))</f>
        <v>FEB-0407-OLD</v>
      </c>
      <c r="B408" s="1">
        <v>45695</v>
      </c>
      <c r="C408" s="5"/>
      <c r="D408" s="5"/>
      <c r="E408" t="s">
        <v>75</v>
      </c>
      <c r="F408" s="32"/>
      <c r="G408" s="32"/>
      <c r="H408" s="5">
        <v>1522</v>
      </c>
      <c r="I408" t="s">
        <v>434</v>
      </c>
      <c r="J408" t="s">
        <v>435</v>
      </c>
      <c r="K408" s="5"/>
      <c r="L408" s="10" t="s">
        <v>57</v>
      </c>
      <c r="M408" s="49">
        <v>0.3</v>
      </c>
      <c r="N408" s="34">
        <f>PLANPRODUCCION[[#This Row],[PIEZAS PLANEADAS]]*PLANPRODUCCION[[#This Row],[PRECIO MAQUILAS]]</f>
        <v>0</v>
      </c>
      <c r="O408" s="5">
        <v>6</v>
      </c>
      <c r="P408" s="2">
        <v>0.875</v>
      </c>
      <c r="Q408" s="2">
        <v>0.25</v>
      </c>
      <c r="R408" s="24">
        <v>280</v>
      </c>
      <c r="S408" s="35">
        <f>PLANPRODUCCION[[#This Row],[PRECIO MAQUILAS]]*PLANPRODUCCION[[#This Row],[PIEZAS REAL]]</f>
        <v>84</v>
      </c>
      <c r="T40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0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0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4500</v>
      </c>
      <c r="W40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-4416</v>
      </c>
      <c r="X408" s="8"/>
      <c r="Y40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0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0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08" s="13" t="e">
        <f>IF(PLANPRODUCCION[[#This Row],[PIEZAS REAL]]&gt;0,PLANPRODUCCION[[#This Row],[PIEZAS REAL]]/PLANPRODUCCION[[#This Row],[PIEZAS ACTUALIZADO]],)</f>
        <v>#DIV/0!</v>
      </c>
      <c r="AC408" s="10" t="b">
        <f>PLANPRODUCCION[[#This Row],[INGRESO PLANEADO]]&lt;PLANPRODUCCION[[#This Row],[COSTO PLANEADO]]</f>
        <v>0</v>
      </c>
      <c r="AD408" s="46" t="s">
        <v>536</v>
      </c>
      <c r="AE408" s="10"/>
      <c r="AF408" s="10" t="b">
        <f>IF(COUNTIF(PLANPRODUCCION[[#This Row],[OBSERVACIONES]],"NO APLICA BONO*")&gt;0,TRUE,FALSE)</f>
        <v>0</v>
      </c>
    </row>
    <row r="409" spans="1:32" x14ac:dyDescent="0.25">
      <c r="A409" s="46" t="str">
        <f>UPPER(IF(PLANPRODUCCION[[#This Row],[FECHA]]&lt;=45701,_xlfn.CONCAT(TEXT(B409,"MMM"),"-",IF(ROW(A409)&lt;11,"000"&amp;ROW(A409)-1,IF(ROW(A409)&lt;101,"00"&amp;ROW(A409)-1,IF(ROW(A409)&lt;1001,"0"&amp;ROW(A409)-1,ROW(A409)-1))),"-OLD"),_xlfn.CONCAT(TEXT(B409,"MMM"),"-",IF(ROW(A409)&lt;473,"000"&amp;ROW(A409)-463,IF(ROW(A409)&lt;563,"00"&amp;ROW(A409)-463,IF(ROW(A409)&lt;1001,"0"&amp;ROW(A409)-463,ROW(A409)-463))))))</f>
        <v>FEB-0408-OLD</v>
      </c>
      <c r="B409" s="1">
        <v>45695</v>
      </c>
      <c r="C409" s="5"/>
      <c r="D409" s="5"/>
      <c r="E409" t="s">
        <v>75</v>
      </c>
      <c r="F409" s="32"/>
      <c r="G409" s="32"/>
      <c r="H409" s="5">
        <v>1522</v>
      </c>
      <c r="I409" t="s">
        <v>434</v>
      </c>
      <c r="J409" t="s">
        <v>435</v>
      </c>
      <c r="K409" s="5"/>
      <c r="L409" s="10" t="s">
        <v>57</v>
      </c>
      <c r="M409" s="49">
        <v>0.3</v>
      </c>
      <c r="N409" s="34">
        <f>PLANPRODUCCION[[#This Row],[PIEZAS PLANEADAS]]*PLANPRODUCCION[[#This Row],[PRECIO MAQUILAS]]</f>
        <v>0</v>
      </c>
      <c r="O409" s="5">
        <v>1</v>
      </c>
      <c r="P409" s="2">
        <v>0.875</v>
      </c>
      <c r="Q409" s="2">
        <v>0.25</v>
      </c>
      <c r="R409" s="24">
        <v>1720</v>
      </c>
      <c r="S409" s="35">
        <f>PLANPRODUCCION[[#This Row],[PRECIO MAQUILAS]]*PLANPRODUCCION[[#This Row],[PIEZAS REAL]]</f>
        <v>516</v>
      </c>
      <c r="T40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0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0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750</v>
      </c>
      <c r="W40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-234</v>
      </c>
      <c r="X409" s="8"/>
      <c r="Y40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0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0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09" s="13" t="e">
        <f>IF(PLANPRODUCCION[[#This Row],[PIEZAS REAL]]&gt;0,PLANPRODUCCION[[#This Row],[PIEZAS REAL]]/PLANPRODUCCION[[#This Row],[PIEZAS ACTUALIZADO]],)</f>
        <v>#DIV/0!</v>
      </c>
      <c r="AC409" s="10" t="b">
        <f>PLANPRODUCCION[[#This Row],[INGRESO PLANEADO]]&lt;PLANPRODUCCION[[#This Row],[COSTO PLANEADO]]</f>
        <v>0</v>
      </c>
      <c r="AD409" s="46" t="s">
        <v>537</v>
      </c>
      <c r="AE409" s="10"/>
      <c r="AF409" s="10" t="b">
        <f>IF(COUNTIF(PLANPRODUCCION[[#This Row],[OBSERVACIONES]],"NO APLICA BONO*")&gt;0,TRUE,FALSE)</f>
        <v>0</v>
      </c>
    </row>
    <row r="410" spans="1:32" x14ac:dyDescent="0.25">
      <c r="A410" s="46" t="str">
        <f>UPPER(IF(PLANPRODUCCION[[#This Row],[FECHA]]&lt;=45701,_xlfn.CONCAT(TEXT(B410,"MMM"),"-",IF(ROW(A410)&lt;11,"000"&amp;ROW(A410)-1,IF(ROW(A410)&lt;101,"00"&amp;ROW(A410)-1,IF(ROW(A410)&lt;1001,"0"&amp;ROW(A410)-1,ROW(A410)-1))),"-OLD"),_xlfn.CONCAT(TEXT(B410,"MMM"),"-",IF(ROW(A410)&lt;473,"000"&amp;ROW(A410)-463,IF(ROW(A410)&lt;563,"00"&amp;ROW(A410)-463,IF(ROW(A410)&lt;1001,"0"&amp;ROW(A410)-463,ROW(A410)-463))))))</f>
        <v>FEB-0409-OLD</v>
      </c>
      <c r="B410" s="1">
        <v>45696</v>
      </c>
      <c r="C410" s="5"/>
      <c r="D410" s="5"/>
      <c r="E410" t="s">
        <v>54</v>
      </c>
      <c r="F410" s="32"/>
      <c r="G410" s="32"/>
      <c r="H410" s="5">
        <v>1522</v>
      </c>
      <c r="I410" t="s">
        <v>434</v>
      </c>
      <c r="J410" t="s">
        <v>441</v>
      </c>
      <c r="K410" s="5"/>
      <c r="L410" s="10" t="s">
        <v>283</v>
      </c>
      <c r="M410" s="49">
        <v>15</v>
      </c>
      <c r="N410" s="34">
        <f>PLANPRODUCCION[[#This Row],[PIEZAS PLANEADAS]]*PLANPRODUCCION[[#This Row],[PRECIO MAQUILAS]]</f>
        <v>0</v>
      </c>
      <c r="O410" s="5">
        <v>4</v>
      </c>
      <c r="P410" s="2">
        <v>0.25</v>
      </c>
      <c r="Q410" s="2">
        <v>0.58333333333333337</v>
      </c>
      <c r="R410" s="24">
        <v>107</v>
      </c>
      <c r="S410" s="35">
        <f>PLANPRODUCCION[[#This Row],[PRECIO MAQUILAS]]*PLANPRODUCCION[[#This Row],[PIEZAS REAL]]</f>
        <v>1605</v>
      </c>
      <c r="T41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1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1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1984</v>
      </c>
      <c r="W41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-379</v>
      </c>
      <c r="X410" s="8"/>
      <c r="Y41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1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1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10" s="13" t="e">
        <f>IF(PLANPRODUCCION[[#This Row],[PIEZAS REAL]]&gt;0,PLANPRODUCCION[[#This Row],[PIEZAS REAL]]/PLANPRODUCCION[[#This Row],[PIEZAS ACTUALIZADO]],)</f>
        <v>#DIV/0!</v>
      </c>
      <c r="AC410" s="10" t="b">
        <f>PLANPRODUCCION[[#This Row],[INGRESO PLANEADO]]&lt;PLANPRODUCCION[[#This Row],[COSTO PLANEADO]]</f>
        <v>0</v>
      </c>
      <c r="AD410" s="46" t="s">
        <v>538</v>
      </c>
      <c r="AE410" s="10"/>
      <c r="AF410" s="10" t="b">
        <f>IF(COUNTIF(PLANPRODUCCION[[#This Row],[OBSERVACIONES]],"NO APLICA BONO*")&gt;0,TRUE,FALSE)</f>
        <v>0</v>
      </c>
    </row>
    <row r="411" spans="1:32" x14ac:dyDescent="0.25">
      <c r="A411" s="46" t="str">
        <f>UPPER(IF(PLANPRODUCCION[[#This Row],[FECHA]]&lt;=45701,_xlfn.CONCAT(TEXT(B411,"MMM"),"-",IF(ROW(A411)&lt;11,"000"&amp;ROW(A411)-1,IF(ROW(A411)&lt;101,"00"&amp;ROW(A411)-1,IF(ROW(A411)&lt;1001,"0"&amp;ROW(A411)-1,ROW(A411)-1))),"-OLD"),_xlfn.CONCAT(TEXT(B411,"MMM"),"-",IF(ROW(A411)&lt;473,"000"&amp;ROW(A411)-463,IF(ROW(A411)&lt;563,"00"&amp;ROW(A411)-463,IF(ROW(A411)&lt;1001,"0"&amp;ROW(A411)-463,ROW(A411)-463))))))</f>
        <v>FEB-0410-OLD</v>
      </c>
      <c r="B411" s="1">
        <v>45697</v>
      </c>
      <c r="C411" s="5"/>
      <c r="D411" s="5"/>
      <c r="E411" t="s">
        <v>54</v>
      </c>
      <c r="F411" s="32"/>
      <c r="G411" s="32"/>
      <c r="H411" s="5">
        <v>1522</v>
      </c>
      <c r="I411" t="s">
        <v>434</v>
      </c>
      <c r="J411" t="s">
        <v>441</v>
      </c>
      <c r="K411" s="5"/>
      <c r="L411" s="10" t="s">
        <v>283</v>
      </c>
      <c r="M411" s="49">
        <v>15</v>
      </c>
      <c r="N411" s="34">
        <f>PLANPRODUCCION[[#This Row],[PIEZAS PLANEADAS]]*PLANPRODUCCION[[#This Row],[PRECIO MAQUILAS]]</f>
        <v>0</v>
      </c>
      <c r="O411" s="5">
        <v>6</v>
      </c>
      <c r="P411" s="2">
        <v>0.25</v>
      </c>
      <c r="Q411" s="2">
        <v>0.66666666666666663</v>
      </c>
      <c r="R411" s="24">
        <v>251</v>
      </c>
      <c r="S411" s="35">
        <f>PLANPRODUCCION[[#This Row],[PRECIO MAQUILAS]]*PLANPRODUCCION[[#This Row],[PIEZAS REAL]]</f>
        <v>3765</v>
      </c>
      <c r="T41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1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1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3720</v>
      </c>
      <c r="W41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45</v>
      </c>
      <c r="X411" s="8"/>
      <c r="Y41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1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1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11" s="13" t="e">
        <f>IF(PLANPRODUCCION[[#This Row],[PIEZAS REAL]]&gt;0,PLANPRODUCCION[[#This Row],[PIEZAS REAL]]/PLANPRODUCCION[[#This Row],[PIEZAS ACTUALIZADO]],)</f>
        <v>#DIV/0!</v>
      </c>
      <c r="AC411" s="10" t="b">
        <f>PLANPRODUCCION[[#This Row],[INGRESO PLANEADO]]&lt;PLANPRODUCCION[[#This Row],[COSTO PLANEADO]]</f>
        <v>0</v>
      </c>
      <c r="AD411" s="46" t="s">
        <v>539</v>
      </c>
      <c r="AE411" s="10"/>
      <c r="AF411" s="10" t="b">
        <f>IF(COUNTIF(PLANPRODUCCION[[#This Row],[OBSERVACIONES]],"NO APLICA BONO*")&gt;0,TRUE,FALSE)</f>
        <v>0</v>
      </c>
    </row>
    <row r="412" spans="1:32" x14ac:dyDescent="0.25">
      <c r="A412" s="46" t="str">
        <f>UPPER(IF(PLANPRODUCCION[[#This Row],[FECHA]]&lt;=45701,_xlfn.CONCAT(TEXT(B412,"MMM"),"-",IF(ROW(A412)&lt;11,"000"&amp;ROW(A412)-1,IF(ROW(A412)&lt;101,"00"&amp;ROW(A412)-1,IF(ROW(A412)&lt;1001,"0"&amp;ROW(A412)-1,ROW(A412)-1))),"-OLD"),_xlfn.CONCAT(TEXT(B412,"MMM"),"-",IF(ROW(A412)&lt;473,"000"&amp;ROW(A412)-463,IF(ROW(A412)&lt;563,"00"&amp;ROW(A412)-463,IF(ROW(A412)&lt;1001,"0"&amp;ROW(A412)-463,ROW(A412)-463))))))</f>
        <v>FEB-0411-OLD</v>
      </c>
      <c r="B412" s="1">
        <v>45697</v>
      </c>
      <c r="C412" s="5"/>
      <c r="D412" s="5"/>
      <c r="E412" t="s">
        <v>75</v>
      </c>
      <c r="F412" s="32"/>
      <c r="G412" s="32"/>
      <c r="H412" s="5">
        <v>1522</v>
      </c>
      <c r="I412" t="s">
        <v>434</v>
      </c>
      <c r="J412" t="s">
        <v>441</v>
      </c>
      <c r="K412" s="5"/>
      <c r="L412" s="10" t="s">
        <v>283</v>
      </c>
      <c r="M412" s="49">
        <v>15</v>
      </c>
      <c r="N412" s="34">
        <f>PLANPRODUCCION[[#This Row],[PIEZAS PLANEADAS]]*PLANPRODUCCION[[#This Row],[PRECIO MAQUILAS]]</f>
        <v>0</v>
      </c>
      <c r="O412" s="5">
        <v>8</v>
      </c>
      <c r="P412" s="2">
        <v>0.875</v>
      </c>
      <c r="Q412" s="2">
        <v>0.25</v>
      </c>
      <c r="R412" s="24">
        <v>301</v>
      </c>
      <c r="S412" s="35">
        <f>PLANPRODUCCION[[#This Row],[PRECIO MAQUILAS]]*PLANPRODUCCION[[#This Row],[PIEZAS REAL]]</f>
        <v>4515</v>
      </c>
      <c r="T41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1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1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6000</v>
      </c>
      <c r="W41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-1485</v>
      </c>
      <c r="X412" s="8"/>
      <c r="Y41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1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1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12" s="13" t="e">
        <f>IF(PLANPRODUCCION[[#This Row],[PIEZAS REAL]]&gt;0,PLANPRODUCCION[[#This Row],[PIEZAS REAL]]/PLANPRODUCCION[[#This Row],[PIEZAS ACTUALIZADO]],)</f>
        <v>#DIV/0!</v>
      </c>
      <c r="AC412" s="10" t="b">
        <f>PLANPRODUCCION[[#This Row],[INGRESO PLANEADO]]&lt;PLANPRODUCCION[[#This Row],[COSTO PLANEADO]]</f>
        <v>0</v>
      </c>
      <c r="AD412" s="46" t="s">
        <v>540</v>
      </c>
      <c r="AE412" s="10"/>
      <c r="AF412" s="10" t="b">
        <f>IF(COUNTIF(PLANPRODUCCION[[#This Row],[OBSERVACIONES]],"NO APLICA BONO*")&gt;0,TRUE,FALSE)</f>
        <v>0</v>
      </c>
    </row>
    <row r="413" spans="1:32" x14ac:dyDescent="0.25">
      <c r="A413" s="46" t="str">
        <f>UPPER(IF(PLANPRODUCCION[[#This Row],[FECHA]]&lt;=45701,_xlfn.CONCAT(TEXT(B413,"MMM"),"-",IF(ROW(A413)&lt;11,"000"&amp;ROW(A413)-1,IF(ROW(A413)&lt;101,"00"&amp;ROW(A413)-1,IF(ROW(A413)&lt;1001,"0"&amp;ROW(A413)-1,ROW(A413)-1))),"-OLD"),_xlfn.CONCAT(TEXT(B413,"MMM"),"-",IF(ROW(A413)&lt;473,"000"&amp;ROW(A413)-463,IF(ROW(A413)&lt;563,"00"&amp;ROW(A413)-463,IF(ROW(A413)&lt;1001,"0"&amp;ROW(A413)-463,ROW(A413)-463))))))</f>
        <v>FEB-0412-OLD</v>
      </c>
      <c r="B413" s="1">
        <v>45697</v>
      </c>
      <c r="C413" s="5"/>
      <c r="D413" s="5"/>
      <c r="E413" t="s">
        <v>75</v>
      </c>
      <c r="F413" s="32"/>
      <c r="G413" s="32"/>
      <c r="H413" s="5">
        <v>1522</v>
      </c>
      <c r="I413" t="s">
        <v>434</v>
      </c>
      <c r="J413" t="s">
        <v>435</v>
      </c>
      <c r="K413" s="5"/>
      <c r="L413" s="10" t="s">
        <v>57</v>
      </c>
      <c r="M413" s="49">
        <v>0.3</v>
      </c>
      <c r="N413" s="34">
        <f>PLANPRODUCCION[[#This Row],[PIEZAS PLANEADAS]]*PLANPRODUCCION[[#This Row],[PRECIO MAQUILAS]]</f>
        <v>0</v>
      </c>
      <c r="O413" s="5">
        <v>1</v>
      </c>
      <c r="P413" s="2">
        <v>0.875</v>
      </c>
      <c r="Q413" s="2">
        <v>0.25</v>
      </c>
      <c r="R413" s="24">
        <v>1917</v>
      </c>
      <c r="S413" s="35">
        <f>PLANPRODUCCION[[#This Row],[PRECIO MAQUILAS]]*PLANPRODUCCION[[#This Row],[PIEZAS REAL]]</f>
        <v>575.1</v>
      </c>
      <c r="T41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1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1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750</v>
      </c>
      <c r="W41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-174.89999999999998</v>
      </c>
      <c r="X413" s="8"/>
      <c r="Y41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1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1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13" s="13" t="e">
        <f>IF(PLANPRODUCCION[[#This Row],[PIEZAS REAL]]&gt;0,PLANPRODUCCION[[#This Row],[PIEZAS REAL]]/PLANPRODUCCION[[#This Row],[PIEZAS ACTUALIZADO]],)</f>
        <v>#DIV/0!</v>
      </c>
      <c r="AC413" s="10" t="b">
        <f>PLANPRODUCCION[[#This Row],[INGRESO PLANEADO]]&lt;PLANPRODUCCION[[#This Row],[COSTO PLANEADO]]</f>
        <v>0</v>
      </c>
      <c r="AD413" s="46" t="s">
        <v>541</v>
      </c>
      <c r="AE413" s="10"/>
      <c r="AF413" s="10" t="b">
        <f>IF(COUNTIF(PLANPRODUCCION[[#This Row],[OBSERVACIONES]],"NO APLICA BONO*")&gt;0,TRUE,FALSE)</f>
        <v>0</v>
      </c>
    </row>
    <row r="414" spans="1:32" x14ac:dyDescent="0.25">
      <c r="A414" s="46" t="str">
        <f>UPPER(IF(PLANPRODUCCION[[#This Row],[FECHA]]&lt;=45701,_xlfn.CONCAT(TEXT(B414,"MMM"),"-",IF(ROW(A414)&lt;11,"000"&amp;ROW(A414)-1,IF(ROW(A414)&lt;101,"00"&amp;ROW(A414)-1,IF(ROW(A414)&lt;1001,"0"&amp;ROW(A414)-1,ROW(A414)-1))),"-OLD"),_xlfn.CONCAT(TEXT(B414,"MMM"),"-",IF(ROW(A414)&lt;473,"000"&amp;ROW(A414)-463,IF(ROW(A414)&lt;563,"00"&amp;ROW(A414)-463,IF(ROW(A414)&lt;1001,"0"&amp;ROW(A414)-463,ROW(A414)-463))))))</f>
        <v>FEB-0413-OLD</v>
      </c>
      <c r="B414" s="1">
        <v>45698</v>
      </c>
      <c r="C414" s="5"/>
      <c r="D414" s="5"/>
      <c r="E414" t="s">
        <v>54</v>
      </c>
      <c r="F414" s="32"/>
      <c r="G414" s="32"/>
      <c r="H414" s="5">
        <v>1522</v>
      </c>
      <c r="I414" t="s">
        <v>434</v>
      </c>
      <c r="J414" t="s">
        <v>441</v>
      </c>
      <c r="K414" s="5"/>
      <c r="L414" s="10" t="s">
        <v>283</v>
      </c>
      <c r="M414" s="49">
        <v>15</v>
      </c>
      <c r="N414" s="34">
        <f>PLANPRODUCCION[[#This Row],[PIEZAS PLANEADAS]]*PLANPRODUCCION[[#This Row],[PRECIO MAQUILAS]]</f>
        <v>0</v>
      </c>
      <c r="O414" s="5">
        <v>6</v>
      </c>
      <c r="P414" s="2">
        <v>0.25</v>
      </c>
      <c r="Q414" s="2">
        <v>0.66666666666666663</v>
      </c>
      <c r="R414" s="24">
        <v>310</v>
      </c>
      <c r="S414" s="35">
        <f>PLANPRODUCCION[[#This Row],[PRECIO MAQUILAS]]*PLANPRODUCCION[[#This Row],[PIEZAS REAL]]</f>
        <v>4650</v>
      </c>
      <c r="T41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1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1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3720</v>
      </c>
      <c r="W41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930</v>
      </c>
      <c r="X414" s="8"/>
      <c r="Y41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1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1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14" s="13" t="e">
        <f>IF(PLANPRODUCCION[[#This Row],[PIEZAS REAL]]&gt;0,PLANPRODUCCION[[#This Row],[PIEZAS REAL]]/PLANPRODUCCION[[#This Row],[PIEZAS ACTUALIZADO]],)</f>
        <v>#DIV/0!</v>
      </c>
      <c r="AC414" s="10" t="b">
        <f>PLANPRODUCCION[[#This Row],[INGRESO PLANEADO]]&lt;PLANPRODUCCION[[#This Row],[COSTO PLANEADO]]</f>
        <v>0</v>
      </c>
      <c r="AD414" s="46" t="s">
        <v>542</v>
      </c>
      <c r="AE414" s="10"/>
      <c r="AF414" s="10" t="b">
        <f>IF(COUNTIF(PLANPRODUCCION[[#This Row],[OBSERVACIONES]],"NO APLICA BONO*")&gt;0,TRUE,FALSE)</f>
        <v>0</v>
      </c>
    </row>
    <row r="415" spans="1:32" x14ac:dyDescent="0.25">
      <c r="A415" s="46" t="str">
        <f>UPPER(IF(PLANPRODUCCION[[#This Row],[FECHA]]&lt;=45701,_xlfn.CONCAT(TEXT(B415,"MMM"),"-",IF(ROW(A415)&lt;11,"000"&amp;ROW(A415)-1,IF(ROW(A415)&lt;101,"00"&amp;ROW(A415)-1,IF(ROW(A415)&lt;1001,"0"&amp;ROW(A415)-1,ROW(A415)-1))),"-OLD"),_xlfn.CONCAT(TEXT(B415,"MMM"),"-",IF(ROW(A415)&lt;473,"000"&amp;ROW(A415)-463,IF(ROW(A415)&lt;563,"00"&amp;ROW(A415)-463,IF(ROW(A415)&lt;1001,"0"&amp;ROW(A415)-463,ROW(A415)-463))))))</f>
        <v>FEB-0414-OLD</v>
      </c>
      <c r="B415" s="1">
        <v>45698</v>
      </c>
      <c r="C415" s="5"/>
      <c r="D415" s="5"/>
      <c r="E415" t="s">
        <v>54</v>
      </c>
      <c r="F415" s="32"/>
      <c r="G415" s="32"/>
      <c r="H415" s="5">
        <v>1540</v>
      </c>
      <c r="I415" t="s">
        <v>543</v>
      </c>
      <c r="J415" t="s">
        <v>544</v>
      </c>
      <c r="K415" s="5"/>
      <c r="L415" s="10" t="s">
        <v>545</v>
      </c>
      <c r="M415" s="49">
        <v>10</v>
      </c>
      <c r="N415" s="34">
        <f>PLANPRODUCCION[[#This Row],[PIEZAS PLANEADAS]]*PLANPRODUCCION[[#This Row],[PRECIO MAQUILAS]]</f>
        <v>0</v>
      </c>
      <c r="O415" s="5">
        <v>3</v>
      </c>
      <c r="P415" s="2">
        <v>0.375</v>
      </c>
      <c r="Q415" s="2">
        <v>0.66666666666666663</v>
      </c>
      <c r="R415" s="24">
        <v>30</v>
      </c>
      <c r="S415" s="35">
        <f>PLANPRODUCCION[[#This Row],[PRECIO MAQUILAS]]*PLANPRODUCCION[[#This Row],[PIEZAS REAL]]</f>
        <v>300</v>
      </c>
      <c r="T41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1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1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1302</v>
      </c>
      <c r="W41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-1002</v>
      </c>
      <c r="X415" s="8"/>
      <c r="Y41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1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1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15" s="13" t="e">
        <f>IF(PLANPRODUCCION[[#This Row],[PIEZAS REAL]]&gt;0,PLANPRODUCCION[[#This Row],[PIEZAS REAL]]/PLANPRODUCCION[[#This Row],[PIEZAS ACTUALIZADO]],)</f>
        <v>#DIV/0!</v>
      </c>
      <c r="AC415" s="10" t="b">
        <f>PLANPRODUCCION[[#This Row],[INGRESO PLANEADO]]&lt;PLANPRODUCCION[[#This Row],[COSTO PLANEADO]]</f>
        <v>0</v>
      </c>
      <c r="AD415" s="46" t="s">
        <v>546</v>
      </c>
      <c r="AE415" s="10"/>
      <c r="AF415" s="10" t="b">
        <f>IF(COUNTIF(PLANPRODUCCION[[#This Row],[OBSERVACIONES]],"NO APLICA BONO*")&gt;0,TRUE,FALSE)</f>
        <v>0</v>
      </c>
    </row>
    <row r="416" spans="1:32" x14ac:dyDescent="0.25">
      <c r="A416" s="46" t="str">
        <f>UPPER(IF(PLANPRODUCCION[[#This Row],[FECHA]]&lt;=45701,_xlfn.CONCAT(TEXT(B416,"MMM"),"-",IF(ROW(A416)&lt;11,"000"&amp;ROW(A416)-1,IF(ROW(A416)&lt;101,"00"&amp;ROW(A416)-1,IF(ROW(A416)&lt;1001,"0"&amp;ROW(A416)-1,ROW(A416)-1))),"-OLD"),_xlfn.CONCAT(TEXT(B416,"MMM"),"-",IF(ROW(A416)&lt;473,"000"&amp;ROW(A416)-463,IF(ROW(A416)&lt;563,"00"&amp;ROW(A416)-463,IF(ROW(A416)&lt;1001,"0"&amp;ROW(A416)-463,ROW(A416)-463))))))</f>
        <v>FEB-0415-OLD</v>
      </c>
      <c r="B416" s="1">
        <v>45698</v>
      </c>
      <c r="C416" s="5"/>
      <c r="D416" s="5"/>
      <c r="E416" t="s">
        <v>67</v>
      </c>
      <c r="F416" s="32"/>
      <c r="G416" s="32"/>
      <c r="H416" s="5">
        <v>1540</v>
      </c>
      <c r="I416" t="s">
        <v>543</v>
      </c>
      <c r="J416" t="s">
        <v>544</v>
      </c>
      <c r="K416" s="5"/>
      <c r="L416" s="10" t="s">
        <v>545</v>
      </c>
      <c r="M416" s="49">
        <v>10</v>
      </c>
      <c r="N416" s="34">
        <f>PLANPRODUCCION[[#This Row],[PIEZAS PLANEADAS]]*PLANPRODUCCION[[#This Row],[PRECIO MAQUILAS]]</f>
        <v>0</v>
      </c>
      <c r="O416" s="5">
        <v>4</v>
      </c>
      <c r="P416" s="2">
        <v>0.33333333333333331</v>
      </c>
      <c r="Q416" s="2">
        <v>0.75</v>
      </c>
      <c r="R416" s="24">
        <v>50</v>
      </c>
      <c r="S416" s="35">
        <f>PLANPRODUCCION[[#This Row],[PRECIO MAQUILAS]]*PLANPRODUCCION[[#This Row],[PIEZAS REAL]]</f>
        <v>500</v>
      </c>
      <c r="T41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1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1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41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-1980</v>
      </c>
      <c r="X416" s="8"/>
      <c r="Y41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1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1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16" s="13" t="e">
        <f>IF(PLANPRODUCCION[[#This Row],[PIEZAS REAL]]&gt;0,PLANPRODUCCION[[#This Row],[PIEZAS REAL]]/PLANPRODUCCION[[#This Row],[PIEZAS ACTUALIZADO]],)</f>
        <v>#DIV/0!</v>
      </c>
      <c r="AC416" s="10" t="b">
        <f>PLANPRODUCCION[[#This Row],[INGRESO PLANEADO]]&lt;PLANPRODUCCION[[#This Row],[COSTO PLANEADO]]</f>
        <v>0</v>
      </c>
      <c r="AD416" s="46" t="s">
        <v>547</v>
      </c>
      <c r="AE416" s="10"/>
      <c r="AF416" s="10" t="b">
        <f>IF(COUNTIF(PLANPRODUCCION[[#This Row],[OBSERVACIONES]],"NO APLICA BONO*")&gt;0,TRUE,FALSE)</f>
        <v>0</v>
      </c>
    </row>
    <row r="417" spans="1:35" x14ac:dyDescent="0.25">
      <c r="A417" s="46" t="str">
        <f>UPPER(IF(PLANPRODUCCION[[#This Row],[FECHA]]&lt;=45701,_xlfn.CONCAT(TEXT(B417,"MMM"),"-",IF(ROW(A417)&lt;11,"000"&amp;ROW(A417)-1,IF(ROW(A417)&lt;101,"00"&amp;ROW(A417)-1,IF(ROW(A417)&lt;1001,"0"&amp;ROW(A417)-1,ROW(A417)-1))),"-OLD"),_xlfn.CONCAT(TEXT(B417,"MMM"),"-",IF(ROW(A417)&lt;473,"000"&amp;ROW(A417)-463,IF(ROW(A417)&lt;563,"00"&amp;ROW(A417)-463,IF(ROW(A417)&lt;1001,"0"&amp;ROW(A417)-463,ROW(A417)-463))))))</f>
        <v>FEB-0416-OLD</v>
      </c>
      <c r="B417" s="1">
        <v>45698</v>
      </c>
      <c r="C417" s="5"/>
      <c r="D417" s="5"/>
      <c r="E417" t="s">
        <v>110</v>
      </c>
      <c r="F417" s="32"/>
      <c r="G417" s="32"/>
      <c r="H417" s="5">
        <v>1540</v>
      </c>
      <c r="I417" t="s">
        <v>543</v>
      </c>
      <c r="J417" t="s">
        <v>544</v>
      </c>
      <c r="K417" s="5"/>
      <c r="L417" s="10" t="s">
        <v>545</v>
      </c>
      <c r="M417" s="49">
        <v>10</v>
      </c>
      <c r="N417" s="34">
        <f>PLANPRODUCCION[[#This Row],[PIEZAS PLANEADAS]]*PLANPRODUCCION[[#This Row],[PRECIO MAQUILAS]]</f>
        <v>0</v>
      </c>
      <c r="O417" s="5">
        <v>3</v>
      </c>
      <c r="P417" s="2">
        <v>0.54166666666666663</v>
      </c>
      <c r="Q417" s="2">
        <v>0.875</v>
      </c>
      <c r="R417" s="24">
        <v>47</v>
      </c>
      <c r="S417" s="35">
        <f>PLANPRODUCCION[[#This Row],[PRECIO MAQUILAS]]*PLANPRODUCCION[[#This Row],[PIEZAS REAL]]</f>
        <v>470</v>
      </c>
      <c r="T41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1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1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41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-1390</v>
      </c>
      <c r="X417" s="8"/>
      <c r="Y41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1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1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17" s="13" t="e">
        <f>IF(PLANPRODUCCION[[#This Row],[PIEZAS REAL]]&gt;0,PLANPRODUCCION[[#This Row],[PIEZAS REAL]]/PLANPRODUCCION[[#This Row],[PIEZAS ACTUALIZADO]],)</f>
        <v>#DIV/0!</v>
      </c>
      <c r="AC417" s="10" t="b">
        <f>PLANPRODUCCION[[#This Row],[INGRESO PLANEADO]]&lt;PLANPRODUCCION[[#This Row],[COSTO PLANEADO]]</f>
        <v>0</v>
      </c>
      <c r="AD417" s="46" t="s">
        <v>548</v>
      </c>
      <c r="AE417" s="10"/>
      <c r="AF417" s="10" t="b">
        <f>IF(COUNTIF(PLANPRODUCCION[[#This Row],[OBSERVACIONES]],"NO APLICA BONO*")&gt;0,TRUE,FALSE)</f>
        <v>0</v>
      </c>
    </row>
    <row r="418" spans="1:35" x14ac:dyDescent="0.25">
      <c r="A418" s="46" t="str">
        <f>UPPER(IF(PLANPRODUCCION[[#This Row],[FECHA]]&lt;=45701,_xlfn.CONCAT(TEXT(B418,"MMM"),"-",IF(ROW(A418)&lt;11,"000"&amp;ROW(A418)-1,IF(ROW(A418)&lt;101,"00"&amp;ROW(A418)-1,IF(ROW(A418)&lt;1001,"0"&amp;ROW(A418)-1,ROW(A418)-1))),"-OLD"),_xlfn.CONCAT(TEXT(B418,"MMM"),"-",IF(ROW(A418)&lt;473,"000"&amp;ROW(A418)-463,IF(ROW(A418)&lt;563,"00"&amp;ROW(A418)-463,IF(ROW(A418)&lt;1001,"0"&amp;ROW(A418)-463,ROW(A418)-463))))))</f>
        <v>FEB-0417-OLD</v>
      </c>
      <c r="B418" s="1">
        <v>45698</v>
      </c>
      <c r="C418" s="5"/>
      <c r="D418" s="5"/>
      <c r="E418" t="s">
        <v>72</v>
      </c>
      <c r="F418" s="32"/>
      <c r="G418" s="32"/>
      <c r="H418" s="5">
        <v>1540</v>
      </c>
      <c r="I418" t="s">
        <v>543</v>
      </c>
      <c r="J418" t="s">
        <v>544</v>
      </c>
      <c r="K418" s="5"/>
      <c r="L418" s="10" t="s">
        <v>545</v>
      </c>
      <c r="M418" s="49">
        <v>10</v>
      </c>
      <c r="N418" s="34">
        <f>PLANPRODUCCION[[#This Row],[PIEZAS PLANEADAS]]*PLANPRODUCCION[[#This Row],[PRECIO MAQUILAS]]</f>
        <v>0</v>
      </c>
      <c r="O418" s="5">
        <v>6</v>
      </c>
      <c r="P418" s="2">
        <v>0.66666666666666663</v>
      </c>
      <c r="Q418" s="2">
        <v>0.875</v>
      </c>
      <c r="R418" s="24">
        <v>14</v>
      </c>
      <c r="S418" s="35">
        <f>PLANPRODUCCION[[#This Row],[PRECIO MAQUILAS]]*PLANPRODUCCION[[#This Row],[PIEZAS REAL]]</f>
        <v>140</v>
      </c>
      <c r="T41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1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1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41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-1720</v>
      </c>
      <c r="X418" s="8"/>
      <c r="Y41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1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1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18" s="13" t="e">
        <f>IF(PLANPRODUCCION[[#This Row],[PIEZAS REAL]]&gt;0,PLANPRODUCCION[[#This Row],[PIEZAS REAL]]/PLANPRODUCCION[[#This Row],[PIEZAS ACTUALIZADO]],)</f>
        <v>#DIV/0!</v>
      </c>
      <c r="AC418" s="10" t="b">
        <f>PLANPRODUCCION[[#This Row],[INGRESO PLANEADO]]&lt;PLANPRODUCCION[[#This Row],[COSTO PLANEADO]]</f>
        <v>0</v>
      </c>
      <c r="AD418" s="46" t="s">
        <v>549</v>
      </c>
      <c r="AE418" s="10"/>
      <c r="AF418" s="10" t="b">
        <f>IF(COUNTIF(PLANPRODUCCION[[#This Row],[OBSERVACIONES]],"NO APLICA BONO*")&gt;0,TRUE,FALSE)</f>
        <v>0</v>
      </c>
    </row>
    <row r="419" spans="1:35" x14ac:dyDescent="0.25">
      <c r="A419" s="46" t="str">
        <f>UPPER(IF(PLANPRODUCCION[[#This Row],[FECHA]]&lt;=45701,_xlfn.CONCAT(TEXT(B419,"MMM"),"-",IF(ROW(A419)&lt;11,"000"&amp;ROW(A419)-1,IF(ROW(A419)&lt;101,"00"&amp;ROW(A419)-1,IF(ROW(A419)&lt;1001,"0"&amp;ROW(A419)-1,ROW(A419)-1))),"-OLD"),_xlfn.CONCAT(TEXT(B419,"MMM"),"-",IF(ROW(A419)&lt;473,"000"&amp;ROW(A419)-463,IF(ROW(A419)&lt;563,"00"&amp;ROW(A419)-463,IF(ROW(A419)&lt;1001,"0"&amp;ROW(A419)-463,ROW(A419)-463))))))</f>
        <v>FEB-0418-OLD</v>
      </c>
      <c r="B419" s="1">
        <v>45698</v>
      </c>
      <c r="C419" s="5"/>
      <c r="D419" s="5"/>
      <c r="E419" t="s">
        <v>75</v>
      </c>
      <c r="F419" s="32"/>
      <c r="G419" s="32"/>
      <c r="H419" s="5">
        <v>1522</v>
      </c>
      <c r="I419" t="s">
        <v>434</v>
      </c>
      <c r="J419" t="s">
        <v>441</v>
      </c>
      <c r="K419" s="5"/>
      <c r="L419" s="10" t="s">
        <v>283</v>
      </c>
      <c r="M419" s="49">
        <v>15</v>
      </c>
      <c r="N419" s="34">
        <f>PLANPRODUCCION[[#This Row],[PIEZAS PLANEADAS]]*PLANPRODUCCION[[#This Row],[PRECIO MAQUILAS]]</f>
        <v>0</v>
      </c>
      <c r="O419" s="5">
        <v>8</v>
      </c>
      <c r="P419" s="2">
        <v>0.875</v>
      </c>
      <c r="Q419" s="2">
        <v>0.25</v>
      </c>
      <c r="R419" s="24">
        <v>270</v>
      </c>
      <c r="S419" s="35">
        <f>PLANPRODUCCION[[#This Row],[PRECIO MAQUILAS]]*PLANPRODUCCION[[#This Row],[PIEZAS REAL]]</f>
        <v>4050</v>
      </c>
      <c r="T41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1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1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6000</v>
      </c>
      <c r="W41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-1950</v>
      </c>
      <c r="X419" s="8"/>
      <c r="Y41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1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1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19" s="13" t="e">
        <f>IF(PLANPRODUCCION[[#This Row],[PIEZAS REAL]]&gt;0,PLANPRODUCCION[[#This Row],[PIEZAS REAL]]/PLANPRODUCCION[[#This Row],[PIEZAS ACTUALIZADO]],)</f>
        <v>#DIV/0!</v>
      </c>
      <c r="AC419" s="10" t="b">
        <f>PLANPRODUCCION[[#This Row],[INGRESO PLANEADO]]&lt;PLANPRODUCCION[[#This Row],[COSTO PLANEADO]]</f>
        <v>0</v>
      </c>
      <c r="AD419" s="46" t="s">
        <v>550</v>
      </c>
      <c r="AE419" s="10"/>
      <c r="AF419" s="10" t="b">
        <f>IF(COUNTIF(PLANPRODUCCION[[#This Row],[OBSERVACIONES]],"NO APLICA BONO*")&gt;0,TRUE,FALSE)</f>
        <v>0</v>
      </c>
    </row>
    <row r="420" spans="1:35" x14ac:dyDescent="0.25">
      <c r="A420" s="46" t="str">
        <f>UPPER(IF(PLANPRODUCCION[[#This Row],[FECHA]]&lt;=45701,_xlfn.CONCAT(TEXT(B420,"MMM"),"-",IF(ROW(A420)&lt;11,"000"&amp;ROW(A420)-1,IF(ROW(A420)&lt;101,"00"&amp;ROW(A420)-1,IF(ROW(A420)&lt;1001,"0"&amp;ROW(A420)-1,ROW(A420)-1))),"-OLD"),_xlfn.CONCAT(TEXT(B420,"MMM"),"-",IF(ROW(A420)&lt;473,"000"&amp;ROW(A420)-463,IF(ROW(A420)&lt;563,"00"&amp;ROW(A420)-463,IF(ROW(A420)&lt;1001,"0"&amp;ROW(A420)-463,ROW(A420)-463))))))</f>
        <v>FEB-0419-OLD</v>
      </c>
      <c r="B420" s="1">
        <v>45698</v>
      </c>
      <c r="C420" s="5"/>
      <c r="D420" s="5"/>
      <c r="E420" t="s">
        <v>75</v>
      </c>
      <c r="F420" s="32"/>
      <c r="G420" s="32"/>
      <c r="H420" s="5">
        <v>1522</v>
      </c>
      <c r="I420" t="s">
        <v>434</v>
      </c>
      <c r="J420" t="s">
        <v>435</v>
      </c>
      <c r="K420" s="5"/>
      <c r="L420" s="10" t="s">
        <v>57</v>
      </c>
      <c r="M420" s="49">
        <v>0.3</v>
      </c>
      <c r="N420" s="34">
        <f>PLANPRODUCCION[[#This Row],[PIEZAS PLANEADAS]]*PLANPRODUCCION[[#This Row],[PRECIO MAQUILAS]]</f>
        <v>0</v>
      </c>
      <c r="O420" s="5">
        <v>1</v>
      </c>
      <c r="P420" s="2">
        <v>0.875</v>
      </c>
      <c r="Q420" s="2">
        <v>0.25</v>
      </c>
      <c r="R420" s="24">
        <v>1727</v>
      </c>
      <c r="S420" s="35">
        <f>PLANPRODUCCION[[#This Row],[PRECIO MAQUILAS]]*PLANPRODUCCION[[#This Row],[PIEZAS REAL]]</f>
        <v>518.1</v>
      </c>
      <c r="T42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2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2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750</v>
      </c>
      <c r="W42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-231.89999999999998</v>
      </c>
      <c r="X420" s="8"/>
      <c r="Y42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2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2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20" s="13" t="e">
        <f>IF(PLANPRODUCCION[[#This Row],[PIEZAS REAL]]&gt;0,PLANPRODUCCION[[#This Row],[PIEZAS REAL]]/PLANPRODUCCION[[#This Row],[PIEZAS ACTUALIZADO]],)</f>
        <v>#DIV/0!</v>
      </c>
      <c r="AC420" s="10" t="b">
        <f>PLANPRODUCCION[[#This Row],[INGRESO PLANEADO]]&lt;PLANPRODUCCION[[#This Row],[COSTO PLANEADO]]</f>
        <v>0</v>
      </c>
      <c r="AD420" s="46" t="s">
        <v>551</v>
      </c>
      <c r="AE420" s="10"/>
      <c r="AF420" s="10" t="b">
        <f>IF(COUNTIF(PLANPRODUCCION[[#This Row],[OBSERVACIONES]],"NO APLICA BONO*")&gt;0,TRUE,FALSE)</f>
        <v>0</v>
      </c>
    </row>
    <row r="421" spans="1:35" x14ac:dyDescent="0.25">
      <c r="A421" s="46" t="str">
        <f>UPPER(IF(PLANPRODUCCION[[#This Row],[FECHA]]&lt;=45701,_xlfn.CONCAT(TEXT(B421,"MMM"),"-",IF(ROW(A421)&lt;11,"000"&amp;ROW(A421)-1,IF(ROW(A421)&lt;101,"00"&amp;ROW(A421)-1,IF(ROW(A421)&lt;1001,"0"&amp;ROW(A421)-1,ROW(A421)-1))),"-OLD"),_xlfn.CONCAT(TEXT(B421,"MMM"),"-",IF(ROW(A421)&lt;473,"000"&amp;ROW(A421)-463,IF(ROW(A421)&lt;563,"00"&amp;ROW(A421)-463,IF(ROW(A421)&lt;1001,"0"&amp;ROW(A421)-463,ROW(A421)-463))))))</f>
        <v>FEB-0420-OLD</v>
      </c>
      <c r="B421" s="1">
        <v>45699</v>
      </c>
      <c r="C421" s="5"/>
      <c r="D421" s="5"/>
      <c r="E421" t="s">
        <v>54</v>
      </c>
      <c r="F421" s="32"/>
      <c r="G421" s="32"/>
      <c r="H421" s="5">
        <v>1522</v>
      </c>
      <c r="I421" t="s">
        <v>434</v>
      </c>
      <c r="J421" t="s">
        <v>435</v>
      </c>
      <c r="K421" s="5"/>
      <c r="L421" s="10" t="s">
        <v>57</v>
      </c>
      <c r="M421" s="49">
        <v>0.3</v>
      </c>
      <c r="N421" s="34">
        <f>PLANPRODUCCION[[#This Row],[PIEZAS PLANEADAS]]*PLANPRODUCCION[[#This Row],[PRECIO MAQUILAS]]</f>
        <v>0</v>
      </c>
      <c r="O421" s="5">
        <v>2</v>
      </c>
      <c r="P421" s="2">
        <v>0.25</v>
      </c>
      <c r="Q421" s="2">
        <v>0.58333333333333337</v>
      </c>
      <c r="R421" s="24">
        <v>1176</v>
      </c>
      <c r="S421" s="35">
        <f>PLANPRODUCCION[[#This Row],[PRECIO MAQUILAS]]*PLANPRODUCCION[[#This Row],[PIEZAS REAL]]</f>
        <v>352.8</v>
      </c>
      <c r="T42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2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2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992</v>
      </c>
      <c r="W42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-639.20000000000005</v>
      </c>
      <c r="X421" s="8"/>
      <c r="Y42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2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2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21" s="13" t="e">
        <f>IF(PLANPRODUCCION[[#This Row],[PIEZAS REAL]]&gt;0,PLANPRODUCCION[[#This Row],[PIEZAS REAL]]/PLANPRODUCCION[[#This Row],[PIEZAS ACTUALIZADO]],)</f>
        <v>#DIV/0!</v>
      </c>
      <c r="AC421" s="10" t="b">
        <f>PLANPRODUCCION[[#This Row],[INGRESO PLANEADO]]&lt;PLANPRODUCCION[[#This Row],[COSTO PLANEADO]]</f>
        <v>0</v>
      </c>
      <c r="AD421" s="46" t="s">
        <v>552</v>
      </c>
      <c r="AE421" s="10"/>
      <c r="AF421" s="10" t="b">
        <f>IF(COUNTIF(PLANPRODUCCION[[#This Row],[OBSERVACIONES]],"NO APLICA BONO*")&gt;0,TRUE,FALSE)</f>
        <v>0</v>
      </c>
    </row>
    <row r="422" spans="1:35" x14ac:dyDescent="0.25">
      <c r="A422" s="46" t="str">
        <f>UPPER(IF(PLANPRODUCCION[[#This Row],[FECHA]]&lt;=45701,_xlfn.CONCAT(TEXT(B422,"MMM"),"-",IF(ROW(A422)&lt;11,"000"&amp;ROW(A422)-1,IF(ROW(A422)&lt;101,"00"&amp;ROW(A422)-1,IF(ROW(A422)&lt;1001,"0"&amp;ROW(A422)-1,ROW(A422)-1))),"-OLD"),_xlfn.CONCAT(TEXT(B422,"MMM"),"-",IF(ROW(A422)&lt;473,"000"&amp;ROW(A422)-463,IF(ROW(A422)&lt;563,"00"&amp;ROW(A422)-463,IF(ROW(A422)&lt;1001,"0"&amp;ROW(A422)-463,ROW(A422)-463))))))</f>
        <v>FEB-0421-OLD</v>
      </c>
      <c r="B422" s="1">
        <v>45699</v>
      </c>
      <c r="C422" s="5"/>
      <c r="D422" s="5"/>
      <c r="E422" t="s">
        <v>54</v>
      </c>
      <c r="F422" s="32"/>
      <c r="G422" s="32"/>
      <c r="H422" s="5">
        <v>1522</v>
      </c>
      <c r="I422" t="s">
        <v>434</v>
      </c>
      <c r="J422" t="s">
        <v>441</v>
      </c>
      <c r="K422" s="5"/>
      <c r="L422" s="10" t="s">
        <v>283</v>
      </c>
      <c r="M422" s="49">
        <v>15</v>
      </c>
      <c r="N422" s="34">
        <f>PLANPRODUCCION[[#This Row],[PIEZAS PLANEADAS]]*PLANPRODUCCION[[#This Row],[PRECIO MAQUILAS]]</f>
        <v>0</v>
      </c>
      <c r="O422" s="5">
        <v>6</v>
      </c>
      <c r="P422" s="2">
        <v>0.25</v>
      </c>
      <c r="Q422" s="2">
        <v>0.66666666666666663</v>
      </c>
      <c r="R422" s="24">
        <v>324</v>
      </c>
      <c r="S422" s="35">
        <f>PLANPRODUCCION[[#This Row],[PRECIO MAQUILAS]]*PLANPRODUCCION[[#This Row],[PIEZAS REAL]]</f>
        <v>4860</v>
      </c>
      <c r="T42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2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2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3720</v>
      </c>
      <c r="W42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1140</v>
      </c>
      <c r="X422" s="8"/>
      <c r="Y42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2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2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22" s="13" t="e">
        <f>IF(PLANPRODUCCION[[#This Row],[PIEZAS REAL]]&gt;0,PLANPRODUCCION[[#This Row],[PIEZAS REAL]]/PLANPRODUCCION[[#This Row],[PIEZAS ACTUALIZADO]],)</f>
        <v>#DIV/0!</v>
      </c>
      <c r="AC422" s="10" t="b">
        <f>PLANPRODUCCION[[#This Row],[INGRESO PLANEADO]]&lt;PLANPRODUCCION[[#This Row],[COSTO PLANEADO]]</f>
        <v>0</v>
      </c>
      <c r="AD422" s="46" t="s">
        <v>553</v>
      </c>
      <c r="AE422" s="10"/>
      <c r="AF422" s="10" t="b">
        <f>IF(COUNTIF(PLANPRODUCCION[[#This Row],[OBSERVACIONES]],"NO APLICA BONO*")&gt;0,TRUE,FALSE)</f>
        <v>0</v>
      </c>
    </row>
    <row r="423" spans="1:35" x14ac:dyDescent="0.25">
      <c r="A423" s="46" t="str">
        <f>UPPER(IF(PLANPRODUCCION[[#This Row],[FECHA]]&lt;=45701,_xlfn.CONCAT(TEXT(B423,"MMM"),"-",IF(ROW(A423)&lt;11,"000"&amp;ROW(A423)-1,IF(ROW(A423)&lt;101,"00"&amp;ROW(A423)-1,IF(ROW(A423)&lt;1001,"0"&amp;ROW(A423)-1,ROW(A423)-1))),"-OLD"),_xlfn.CONCAT(TEXT(B423,"MMM"),"-",IF(ROW(A423)&lt;473,"000"&amp;ROW(A423)-463,IF(ROW(A423)&lt;563,"00"&amp;ROW(A423)-463,IF(ROW(A423)&lt;1001,"0"&amp;ROW(A423)-463,ROW(A423)-463))))))</f>
        <v>FEB-0422-OLD</v>
      </c>
      <c r="B423" s="1">
        <v>45699</v>
      </c>
      <c r="C423" s="5"/>
      <c r="D423" s="5"/>
      <c r="E423" t="s">
        <v>54</v>
      </c>
      <c r="F423" s="32"/>
      <c r="G423" s="32"/>
      <c r="H423" s="5">
        <v>1522</v>
      </c>
      <c r="I423" t="s">
        <v>434</v>
      </c>
      <c r="J423" t="s">
        <v>441</v>
      </c>
      <c r="K423" s="5"/>
      <c r="L423" s="10" t="s">
        <v>283</v>
      </c>
      <c r="M423" s="49">
        <v>15</v>
      </c>
      <c r="N423" s="34">
        <f>PLANPRODUCCION[[#This Row],[PIEZAS PLANEADAS]]*PLANPRODUCCION[[#This Row],[PRECIO MAQUILAS]]</f>
        <v>0</v>
      </c>
      <c r="O423" s="5">
        <v>6</v>
      </c>
      <c r="P423" s="2">
        <v>0.25</v>
      </c>
      <c r="Q423" s="2">
        <v>0.66666666666666663</v>
      </c>
      <c r="R423" s="24">
        <v>367</v>
      </c>
      <c r="S423" s="35">
        <f>PLANPRODUCCION[[#This Row],[PRECIO MAQUILAS]]*PLANPRODUCCION[[#This Row],[PIEZAS REAL]]</f>
        <v>5505</v>
      </c>
      <c r="T42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2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2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3720</v>
      </c>
      <c r="W42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1785</v>
      </c>
      <c r="X423" s="8"/>
      <c r="Y42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2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2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23" s="13" t="e">
        <f>IF(PLANPRODUCCION[[#This Row],[PIEZAS REAL]]&gt;0,PLANPRODUCCION[[#This Row],[PIEZAS REAL]]/PLANPRODUCCION[[#This Row],[PIEZAS ACTUALIZADO]],)</f>
        <v>#DIV/0!</v>
      </c>
      <c r="AC423" s="10" t="b">
        <f>PLANPRODUCCION[[#This Row],[INGRESO PLANEADO]]&lt;PLANPRODUCCION[[#This Row],[COSTO PLANEADO]]</f>
        <v>0</v>
      </c>
      <c r="AD423" s="46" t="s">
        <v>554</v>
      </c>
      <c r="AE423" s="10"/>
      <c r="AF423" s="10" t="b">
        <f>IF(COUNTIF(PLANPRODUCCION[[#This Row],[OBSERVACIONES]],"NO APLICA BONO*")&gt;0,TRUE,FALSE)</f>
        <v>0</v>
      </c>
    </row>
    <row r="424" spans="1:35" x14ac:dyDescent="0.25">
      <c r="A424" s="46" t="str">
        <f>UPPER(IF(PLANPRODUCCION[[#This Row],[FECHA]]&lt;=45701,_xlfn.CONCAT(TEXT(B424,"MMM"),"-",IF(ROW(A424)&lt;11,"000"&amp;ROW(A424)-1,IF(ROW(A424)&lt;101,"00"&amp;ROW(A424)-1,IF(ROW(A424)&lt;1001,"0"&amp;ROW(A424)-1,ROW(A424)-1))),"-OLD"),_xlfn.CONCAT(TEXT(B424,"MMM"),"-",IF(ROW(A424)&lt;473,"000"&amp;ROW(A424)-463,IF(ROW(A424)&lt;563,"00"&amp;ROW(A424)-463,IF(ROW(A424)&lt;1001,"0"&amp;ROW(A424)-463,ROW(A424)-463))))))</f>
        <v>FEB-0423-OLD</v>
      </c>
      <c r="B424" s="1">
        <v>45699</v>
      </c>
      <c r="C424" s="5"/>
      <c r="D424" s="5"/>
      <c r="E424" t="s">
        <v>54</v>
      </c>
      <c r="F424" s="32"/>
      <c r="G424" s="32"/>
      <c r="H424" s="5">
        <v>1522</v>
      </c>
      <c r="I424" t="s">
        <v>434</v>
      </c>
      <c r="J424" t="s">
        <v>555</v>
      </c>
      <c r="K424" s="5"/>
      <c r="L424" s="10" t="s">
        <v>57</v>
      </c>
      <c r="M424" s="49">
        <v>0.3</v>
      </c>
      <c r="N424" s="34">
        <f>PLANPRODUCCION[[#This Row],[PIEZAS PLANEADAS]]*PLANPRODUCCION[[#This Row],[PRECIO MAQUILAS]]</f>
        <v>0</v>
      </c>
      <c r="O424" s="5">
        <v>1</v>
      </c>
      <c r="P424" s="2">
        <v>0.25</v>
      </c>
      <c r="Q424" s="2">
        <v>0.66666666666666663</v>
      </c>
      <c r="R424" s="24">
        <v>2696</v>
      </c>
      <c r="S424" s="35">
        <f>PLANPRODUCCION[[#This Row],[PRECIO MAQUILAS]]*PLANPRODUCCION[[#This Row],[PIEZAS REAL]]</f>
        <v>808.8</v>
      </c>
      <c r="T42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2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2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42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188.79999999999995</v>
      </c>
      <c r="X424" s="8"/>
      <c r="Y42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2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2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24" s="13" t="e">
        <f>IF(PLANPRODUCCION[[#This Row],[PIEZAS REAL]]&gt;0,PLANPRODUCCION[[#This Row],[PIEZAS REAL]]/PLANPRODUCCION[[#This Row],[PIEZAS ACTUALIZADO]],)</f>
        <v>#DIV/0!</v>
      </c>
      <c r="AC424" s="10" t="b">
        <f>PLANPRODUCCION[[#This Row],[INGRESO PLANEADO]]&lt;PLANPRODUCCION[[#This Row],[COSTO PLANEADO]]</f>
        <v>0</v>
      </c>
      <c r="AD424" s="46" t="s">
        <v>556</v>
      </c>
      <c r="AE424" s="10"/>
      <c r="AF424" s="10" t="b">
        <f>IF(COUNTIF(PLANPRODUCCION[[#This Row],[OBSERVACIONES]],"NO APLICA BONO*")&gt;0,TRUE,FALSE)</f>
        <v>0</v>
      </c>
    </row>
    <row r="425" spans="1:35" x14ac:dyDescent="0.25">
      <c r="A425" s="46" t="str">
        <f>UPPER(IF(PLANPRODUCCION[[#This Row],[FECHA]]&lt;=45701,_xlfn.CONCAT(TEXT(B425,"MMM"),"-",IF(ROW(A425)&lt;11,"000"&amp;ROW(A425)-1,IF(ROW(A425)&lt;101,"00"&amp;ROW(A425)-1,IF(ROW(A425)&lt;1001,"0"&amp;ROW(A425)-1,ROW(A425)-1))),"-OLD"),_xlfn.CONCAT(TEXT(B425,"MMM"),"-",IF(ROW(A425)&lt;473,"000"&amp;ROW(A425)-463,IF(ROW(A425)&lt;563,"00"&amp;ROW(A425)-463,IF(ROW(A425)&lt;1001,"0"&amp;ROW(A425)-463,ROW(A425)-463))))))</f>
        <v>FEB-0424-OLD</v>
      </c>
      <c r="B425" s="1">
        <v>45699</v>
      </c>
      <c r="C425" s="5"/>
      <c r="D425" s="5"/>
      <c r="E425" t="s">
        <v>54</v>
      </c>
      <c r="F425" s="32"/>
      <c r="G425" s="32"/>
      <c r="H425" s="5">
        <v>1540</v>
      </c>
      <c r="I425" t="s">
        <v>543</v>
      </c>
      <c r="J425" t="s">
        <v>557</v>
      </c>
      <c r="K425" s="5"/>
      <c r="L425" s="10" t="s">
        <v>545</v>
      </c>
      <c r="M425" s="49">
        <v>10</v>
      </c>
      <c r="N425" s="34">
        <f>PLANPRODUCCION[[#This Row],[PIEZAS PLANEADAS]]*PLANPRODUCCION[[#This Row],[PRECIO MAQUILAS]]</f>
        <v>0</v>
      </c>
      <c r="O425" s="5">
        <v>2</v>
      </c>
      <c r="P425" s="2">
        <v>0.25</v>
      </c>
      <c r="Q425" s="2">
        <v>0.66666666666666663</v>
      </c>
      <c r="R425" s="24">
        <v>91</v>
      </c>
      <c r="S425" s="35">
        <f>PLANPRODUCCION[[#This Row],[PRECIO MAQUILAS]]*PLANPRODUCCION[[#This Row],[PIEZAS REAL]]</f>
        <v>910</v>
      </c>
      <c r="T42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2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2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42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-330</v>
      </c>
      <c r="X425" s="8"/>
      <c r="Y42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2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2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25" s="13" t="e">
        <f>IF(PLANPRODUCCION[[#This Row],[PIEZAS REAL]]&gt;0,PLANPRODUCCION[[#This Row],[PIEZAS REAL]]/PLANPRODUCCION[[#This Row],[PIEZAS ACTUALIZADO]],)</f>
        <v>#DIV/0!</v>
      </c>
      <c r="AC425" s="10" t="b">
        <f>PLANPRODUCCION[[#This Row],[INGRESO PLANEADO]]&lt;PLANPRODUCCION[[#This Row],[COSTO PLANEADO]]</f>
        <v>0</v>
      </c>
      <c r="AD425" s="46" t="s">
        <v>558</v>
      </c>
      <c r="AE425" s="10"/>
      <c r="AF425" s="10" t="b">
        <f>IF(COUNTIF(PLANPRODUCCION[[#This Row],[OBSERVACIONES]],"NO APLICA BONO*")&gt;0,TRUE,FALSE)</f>
        <v>0</v>
      </c>
    </row>
    <row r="426" spans="1:35" x14ac:dyDescent="0.25">
      <c r="A426" s="46" t="str">
        <f>UPPER(IF(PLANPRODUCCION[[#This Row],[FECHA]]&lt;=45701,_xlfn.CONCAT(TEXT(B426,"MMM"),"-",IF(ROW(A426)&lt;11,"000"&amp;ROW(A426)-1,IF(ROW(A426)&lt;101,"00"&amp;ROW(A426)-1,IF(ROW(A426)&lt;1001,"0"&amp;ROW(A426)-1,ROW(A426)-1))),"-OLD"),_xlfn.CONCAT(TEXT(B426,"MMM"),"-",IF(ROW(A426)&lt;473,"000"&amp;ROW(A426)-463,IF(ROW(A426)&lt;563,"00"&amp;ROW(A426)-463,IF(ROW(A426)&lt;1001,"0"&amp;ROW(A426)-463,ROW(A426)-463))))))</f>
        <v>FEB-0425-OLD</v>
      </c>
      <c r="B426" s="1">
        <v>45699</v>
      </c>
      <c r="C426" s="5"/>
      <c r="D426" s="5"/>
      <c r="E426" t="s">
        <v>54</v>
      </c>
      <c r="F426" s="32"/>
      <c r="G426" s="32"/>
      <c r="H426" s="5">
        <v>1540</v>
      </c>
      <c r="I426" t="s">
        <v>543</v>
      </c>
      <c r="J426" t="s">
        <v>557</v>
      </c>
      <c r="K426" s="5"/>
      <c r="L426" s="10" t="s">
        <v>545</v>
      </c>
      <c r="M426" s="49">
        <v>10</v>
      </c>
      <c r="N426" s="34">
        <f>PLANPRODUCCION[[#This Row],[PIEZAS PLANEADAS]]*PLANPRODUCCION[[#This Row],[PRECIO MAQUILAS]]</f>
        <v>0</v>
      </c>
      <c r="O426" s="5">
        <v>2</v>
      </c>
      <c r="P426" s="2">
        <v>0.25</v>
      </c>
      <c r="Q426" s="2">
        <v>0.66666666666666663</v>
      </c>
      <c r="R426" s="24">
        <v>91</v>
      </c>
      <c r="S426" s="35">
        <f>PLANPRODUCCION[[#This Row],[PRECIO MAQUILAS]]*PLANPRODUCCION[[#This Row],[PIEZAS REAL]]</f>
        <v>910</v>
      </c>
      <c r="T42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2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2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42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-330</v>
      </c>
      <c r="X426" s="8"/>
      <c r="Y42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2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2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26" s="13" t="e">
        <f>IF(PLANPRODUCCION[[#This Row],[PIEZAS REAL]]&gt;0,PLANPRODUCCION[[#This Row],[PIEZAS REAL]]/PLANPRODUCCION[[#This Row],[PIEZAS ACTUALIZADO]],)</f>
        <v>#DIV/0!</v>
      </c>
      <c r="AC426" s="10" t="b">
        <f>PLANPRODUCCION[[#This Row],[INGRESO PLANEADO]]&lt;PLANPRODUCCION[[#This Row],[COSTO PLANEADO]]</f>
        <v>0</v>
      </c>
      <c r="AD426" s="46" t="s">
        <v>559</v>
      </c>
      <c r="AE426" s="10"/>
      <c r="AF426" s="10" t="b">
        <f>IF(COUNTIF(PLANPRODUCCION[[#This Row],[OBSERVACIONES]],"NO APLICA BONO*")&gt;0,TRUE,FALSE)</f>
        <v>0</v>
      </c>
    </row>
    <row r="427" spans="1:35" x14ac:dyDescent="0.25">
      <c r="A427" s="46" t="str">
        <f>UPPER(IF(PLANPRODUCCION[[#This Row],[FECHA]]&lt;=45701,_xlfn.CONCAT(TEXT(B427,"MMM"),"-",IF(ROW(A427)&lt;11,"000"&amp;ROW(A427)-1,IF(ROW(A427)&lt;101,"00"&amp;ROW(A427)-1,IF(ROW(A427)&lt;1001,"0"&amp;ROW(A427)-1,ROW(A427)-1))),"-OLD"),_xlfn.CONCAT(TEXT(B427,"MMM"),"-",IF(ROW(A427)&lt;473,"000"&amp;ROW(A427)-463,IF(ROW(A427)&lt;563,"00"&amp;ROW(A427)-463,IF(ROW(A427)&lt;1001,"0"&amp;ROW(A427)-463,ROW(A427)-463))))))</f>
        <v>FEB-0426-OLD</v>
      </c>
      <c r="B427" s="1">
        <v>45699</v>
      </c>
      <c r="C427" s="5"/>
      <c r="D427" s="5"/>
      <c r="E427" t="s">
        <v>54</v>
      </c>
      <c r="F427" s="32"/>
      <c r="G427" s="32"/>
      <c r="H427" s="5">
        <v>1540</v>
      </c>
      <c r="I427" t="s">
        <v>543</v>
      </c>
      <c r="J427" t="s">
        <v>544</v>
      </c>
      <c r="K427" s="5"/>
      <c r="L427" s="10" t="s">
        <v>545</v>
      </c>
      <c r="M427" s="49">
        <v>10</v>
      </c>
      <c r="N427" s="34">
        <f>PLANPRODUCCION[[#This Row],[PIEZAS PLANEADAS]]*PLANPRODUCCION[[#This Row],[PRECIO MAQUILAS]]</f>
        <v>0</v>
      </c>
      <c r="O427" s="5">
        <v>5</v>
      </c>
      <c r="P427" s="2">
        <v>0.25</v>
      </c>
      <c r="Q427" s="2">
        <v>0.41666666666666669</v>
      </c>
      <c r="R427" s="24">
        <v>226</v>
      </c>
      <c r="S427" s="35">
        <f>PLANPRODUCCION[[#This Row],[PRECIO MAQUILAS]]*PLANPRODUCCION[[#This Row],[PIEZAS REAL]]</f>
        <v>2260</v>
      </c>
      <c r="T42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2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2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42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1020</v>
      </c>
      <c r="X427" s="8"/>
      <c r="Y42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2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2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27" s="13" t="e">
        <f>IF(PLANPRODUCCION[[#This Row],[PIEZAS REAL]]&gt;0,PLANPRODUCCION[[#This Row],[PIEZAS REAL]]/PLANPRODUCCION[[#This Row],[PIEZAS ACTUALIZADO]],)</f>
        <v>#DIV/0!</v>
      </c>
      <c r="AC427" s="10" t="b">
        <f>PLANPRODUCCION[[#This Row],[INGRESO PLANEADO]]&lt;PLANPRODUCCION[[#This Row],[COSTO PLANEADO]]</f>
        <v>0</v>
      </c>
      <c r="AD427" s="46" t="s">
        <v>560</v>
      </c>
      <c r="AE427" s="10"/>
      <c r="AF427" s="10" t="b">
        <f>IF(COUNTIF(PLANPRODUCCION[[#This Row],[OBSERVACIONES]],"NO APLICA BONO*")&gt;0,TRUE,FALSE)</f>
        <v>0</v>
      </c>
    </row>
    <row r="428" spans="1:35" x14ac:dyDescent="0.25">
      <c r="A428" s="46" t="str">
        <f>UPPER(IF(PLANPRODUCCION[[#This Row],[FECHA]]&lt;=45701,_xlfn.CONCAT(TEXT(B428,"MMM"),"-",IF(ROW(A428)&lt;11,"000"&amp;ROW(A428)-1,IF(ROW(A428)&lt;101,"00"&amp;ROW(A428)-1,IF(ROW(A428)&lt;1001,"0"&amp;ROW(A428)-1,ROW(A428)-1))),"-OLD"),_xlfn.CONCAT(TEXT(B428,"MMM"),"-",IF(ROW(A428)&lt;473,"000"&amp;ROW(A428)-463,IF(ROW(A428)&lt;563,"00"&amp;ROW(A428)-463,IF(ROW(A428)&lt;1001,"0"&amp;ROW(A428)-463,ROW(A428)-463))))))</f>
        <v>FEB-0427-OLD</v>
      </c>
      <c r="B428" s="1">
        <v>45699</v>
      </c>
      <c r="C428" s="5"/>
      <c r="D428" s="5"/>
      <c r="E428" t="s">
        <v>54</v>
      </c>
      <c r="F428" s="32"/>
      <c r="G428" s="32"/>
      <c r="H428" s="5">
        <v>1540</v>
      </c>
      <c r="I428" t="s">
        <v>543</v>
      </c>
      <c r="J428" t="s">
        <v>544</v>
      </c>
      <c r="K428" s="5"/>
      <c r="L428" s="10" t="s">
        <v>545</v>
      </c>
      <c r="M428" s="49">
        <v>10</v>
      </c>
      <c r="N428" s="34">
        <f>PLANPRODUCCION[[#This Row],[PIEZAS PLANEADAS]]*PLANPRODUCCION[[#This Row],[PRECIO MAQUILAS]]</f>
        <v>0</v>
      </c>
      <c r="O428" s="5">
        <v>6</v>
      </c>
      <c r="P428" s="2">
        <v>0.25</v>
      </c>
      <c r="Q428" s="2">
        <v>0.41666666666666669</v>
      </c>
      <c r="R428" s="24">
        <v>207</v>
      </c>
      <c r="S428" s="35">
        <f>PLANPRODUCCION[[#This Row],[PRECIO MAQUILAS]]*PLANPRODUCCION[[#This Row],[PIEZAS REAL]]</f>
        <v>2070</v>
      </c>
      <c r="T42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2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2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42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582</v>
      </c>
      <c r="X428" s="8"/>
      <c r="Y42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2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2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28" s="13" t="e">
        <f>IF(PLANPRODUCCION[[#This Row],[PIEZAS REAL]]&gt;0,PLANPRODUCCION[[#This Row],[PIEZAS REAL]]/PLANPRODUCCION[[#This Row],[PIEZAS ACTUALIZADO]],)</f>
        <v>#DIV/0!</v>
      </c>
      <c r="AC428" s="10" t="b">
        <f>PLANPRODUCCION[[#This Row],[INGRESO PLANEADO]]&lt;PLANPRODUCCION[[#This Row],[COSTO PLANEADO]]</f>
        <v>0</v>
      </c>
      <c r="AD428" s="46" t="s">
        <v>561</v>
      </c>
      <c r="AE428" s="10"/>
      <c r="AF428" s="10" t="b">
        <f>IF(COUNTIF(PLANPRODUCCION[[#This Row],[OBSERVACIONES]],"NO APLICA BONO*")&gt;0,TRUE,FALSE)</f>
        <v>0</v>
      </c>
    </row>
    <row r="429" spans="1:35" x14ac:dyDescent="0.25">
      <c r="A429" s="46" t="str">
        <f>UPPER(IF(PLANPRODUCCION[[#This Row],[FECHA]]&lt;=45701,_xlfn.CONCAT(TEXT(B429,"MMM"),"-",IF(ROW(A429)&lt;11,"000"&amp;ROW(A429)-1,IF(ROW(A429)&lt;101,"00"&amp;ROW(A429)-1,IF(ROW(A429)&lt;1001,"0"&amp;ROW(A429)-1,ROW(A429)-1))),"-OLD"),_xlfn.CONCAT(TEXT(B429,"MMM"),"-",IF(ROW(A429)&lt;473,"000"&amp;ROW(A429)-463,IF(ROW(A429)&lt;563,"00"&amp;ROW(A429)-463,IF(ROW(A429)&lt;1001,"0"&amp;ROW(A429)-463,ROW(A429)-463))))))</f>
        <v>FEB-0428-OLD</v>
      </c>
      <c r="B429" s="1">
        <v>45699</v>
      </c>
      <c r="C429" s="5"/>
      <c r="D429" s="5"/>
      <c r="E429" t="s">
        <v>67</v>
      </c>
      <c r="F429" s="32"/>
      <c r="G429" s="32"/>
      <c r="H429" s="5">
        <v>1540</v>
      </c>
      <c r="I429" t="s">
        <v>543</v>
      </c>
      <c r="J429" t="s">
        <v>544</v>
      </c>
      <c r="K429" s="5"/>
      <c r="L429" s="10" t="s">
        <v>545</v>
      </c>
      <c r="M429" s="49">
        <v>10</v>
      </c>
      <c r="N429" s="34">
        <f>PLANPRODUCCION[[#This Row],[PIEZAS PLANEADAS]]*PLANPRODUCCION[[#This Row],[PRECIO MAQUILAS]]</f>
        <v>0</v>
      </c>
      <c r="O429" s="5">
        <v>3</v>
      </c>
      <c r="P429" s="2">
        <v>0.33333333333333331</v>
      </c>
      <c r="Q429" s="2">
        <v>0.75</v>
      </c>
      <c r="R429" s="24">
        <v>114</v>
      </c>
      <c r="S429" s="35">
        <f>PLANPRODUCCION[[#This Row],[PRECIO MAQUILAS]]*PLANPRODUCCION[[#This Row],[PIEZAS REAL]]</f>
        <v>1140</v>
      </c>
      <c r="T42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2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2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42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-720</v>
      </c>
      <c r="X429" s="8"/>
      <c r="Y42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2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2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29" s="13" t="e">
        <f>IF(PLANPRODUCCION[[#This Row],[PIEZAS REAL]]&gt;0,PLANPRODUCCION[[#This Row],[PIEZAS REAL]]/PLANPRODUCCION[[#This Row],[PIEZAS ACTUALIZADO]],)</f>
        <v>#DIV/0!</v>
      </c>
      <c r="AC429" s="10" t="b">
        <f>PLANPRODUCCION[[#This Row],[INGRESO PLANEADO]]&lt;PLANPRODUCCION[[#This Row],[COSTO PLANEADO]]</f>
        <v>0</v>
      </c>
      <c r="AD429" s="46" t="s">
        <v>562</v>
      </c>
      <c r="AE429" s="10"/>
      <c r="AF429" s="10" t="b">
        <f>IF(COUNTIF(PLANPRODUCCION[[#This Row],[OBSERVACIONES]],"NO APLICA BONO*")&gt;0,TRUE,FALSE)</f>
        <v>0</v>
      </c>
      <c r="AI429">
        <v>-10</v>
      </c>
    </row>
    <row r="430" spans="1:35" x14ac:dyDescent="0.25">
      <c r="A430" s="46" t="str">
        <f>UPPER(IF(PLANPRODUCCION[[#This Row],[FECHA]]&lt;=45701,_xlfn.CONCAT(TEXT(B430,"MMM"),"-",IF(ROW(A430)&lt;11,"000"&amp;ROW(A430)-1,IF(ROW(A430)&lt;101,"00"&amp;ROW(A430)-1,IF(ROW(A430)&lt;1001,"0"&amp;ROW(A430)-1,ROW(A430)-1))),"-OLD"),_xlfn.CONCAT(TEXT(B430,"MMM"),"-",IF(ROW(A430)&lt;473,"000"&amp;ROW(A430)-463,IF(ROW(A430)&lt;563,"00"&amp;ROW(A430)-463,IF(ROW(A430)&lt;1001,"0"&amp;ROW(A430)-463,ROW(A430)-463))))))</f>
        <v>FEB-0429-OLD</v>
      </c>
      <c r="B430" s="1">
        <v>45699</v>
      </c>
      <c r="C430" s="5"/>
      <c r="D430" s="5"/>
      <c r="E430" t="s">
        <v>67</v>
      </c>
      <c r="F430" s="32"/>
      <c r="G430" s="32"/>
      <c r="H430" s="5">
        <v>1540</v>
      </c>
      <c r="I430" t="s">
        <v>543</v>
      </c>
      <c r="J430" t="s">
        <v>557</v>
      </c>
      <c r="K430" s="5"/>
      <c r="L430" s="10" t="s">
        <v>545</v>
      </c>
      <c r="M430" s="49">
        <v>10</v>
      </c>
      <c r="N430" s="34">
        <f>PLANPRODUCCION[[#This Row],[PIEZAS PLANEADAS]]*PLANPRODUCCION[[#This Row],[PRECIO MAQUILAS]]</f>
        <v>0</v>
      </c>
      <c r="O430" s="5">
        <v>3</v>
      </c>
      <c r="P430" s="2">
        <v>0.33333333333333331</v>
      </c>
      <c r="Q430" s="2">
        <v>0.75</v>
      </c>
      <c r="R430" s="24">
        <v>163</v>
      </c>
      <c r="S430" s="35">
        <f>PLANPRODUCCION[[#This Row],[PRECIO MAQUILAS]]*PLANPRODUCCION[[#This Row],[PIEZAS REAL]]</f>
        <v>1630</v>
      </c>
      <c r="T43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3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3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43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-230</v>
      </c>
      <c r="X430" s="8"/>
      <c r="Y43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3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3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30" s="13" t="e">
        <f>IF(PLANPRODUCCION[[#This Row],[PIEZAS REAL]]&gt;0,PLANPRODUCCION[[#This Row],[PIEZAS REAL]]/PLANPRODUCCION[[#This Row],[PIEZAS ACTUALIZADO]],)</f>
        <v>#DIV/0!</v>
      </c>
      <c r="AC430" s="10" t="b">
        <f>PLANPRODUCCION[[#This Row],[INGRESO PLANEADO]]&lt;PLANPRODUCCION[[#This Row],[COSTO PLANEADO]]</f>
        <v>0</v>
      </c>
      <c r="AD430" s="46" t="s">
        <v>563</v>
      </c>
      <c r="AE430" s="10"/>
      <c r="AF430" s="10" t="b">
        <f>IF(COUNTIF(PLANPRODUCCION[[#This Row],[OBSERVACIONES]],"NO APLICA BONO*")&gt;0,TRUE,FALSE)</f>
        <v>0</v>
      </c>
      <c r="AI430">
        <v>-3</v>
      </c>
    </row>
    <row r="431" spans="1:35" x14ac:dyDescent="0.25">
      <c r="A431" s="46" t="str">
        <f>UPPER(IF(PLANPRODUCCION[[#This Row],[FECHA]]&lt;=45701,_xlfn.CONCAT(TEXT(B431,"MMM"),"-",IF(ROW(A431)&lt;11,"000"&amp;ROW(A431)-1,IF(ROW(A431)&lt;101,"00"&amp;ROW(A431)-1,IF(ROW(A431)&lt;1001,"0"&amp;ROW(A431)-1,ROW(A431)-1))),"-OLD"),_xlfn.CONCAT(TEXT(B431,"MMM"),"-",IF(ROW(A431)&lt;473,"000"&amp;ROW(A431)-463,IF(ROW(A431)&lt;563,"00"&amp;ROW(A431)-463,IF(ROW(A431)&lt;1001,"0"&amp;ROW(A431)-463,ROW(A431)-463))))))</f>
        <v>FEB-0430-OLD</v>
      </c>
      <c r="B431" s="1">
        <v>45699</v>
      </c>
      <c r="C431" s="5"/>
      <c r="D431" s="5"/>
      <c r="E431" t="s">
        <v>67</v>
      </c>
      <c r="F431" s="32"/>
      <c r="G431" s="32"/>
      <c r="H431" s="5">
        <v>1540</v>
      </c>
      <c r="I431" t="s">
        <v>543</v>
      </c>
      <c r="J431" t="s">
        <v>557</v>
      </c>
      <c r="K431" s="5"/>
      <c r="L431" s="10" t="s">
        <v>545</v>
      </c>
      <c r="M431" s="49">
        <v>10</v>
      </c>
      <c r="N431" s="34">
        <f>PLANPRODUCCION[[#This Row],[PIEZAS PLANEADAS]]*PLANPRODUCCION[[#This Row],[PRECIO MAQUILAS]]</f>
        <v>0</v>
      </c>
      <c r="O431" s="5">
        <v>2</v>
      </c>
      <c r="P431" s="2">
        <v>0.33333333333333331</v>
      </c>
      <c r="Q431" s="2">
        <v>0.41666666666666669</v>
      </c>
      <c r="R431" s="24">
        <v>43</v>
      </c>
      <c r="S431" s="35">
        <f>PLANPRODUCCION[[#This Row],[PRECIO MAQUILAS]]*PLANPRODUCCION[[#This Row],[PIEZAS REAL]]</f>
        <v>430</v>
      </c>
      <c r="T43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3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3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43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182</v>
      </c>
      <c r="X431" s="8"/>
      <c r="Y43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3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3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31" s="13" t="e">
        <f>IF(PLANPRODUCCION[[#This Row],[PIEZAS REAL]]&gt;0,PLANPRODUCCION[[#This Row],[PIEZAS REAL]]/PLANPRODUCCION[[#This Row],[PIEZAS ACTUALIZADO]],)</f>
        <v>#DIV/0!</v>
      </c>
      <c r="AC431" s="10" t="b">
        <f>PLANPRODUCCION[[#This Row],[INGRESO PLANEADO]]&lt;PLANPRODUCCION[[#This Row],[COSTO PLANEADO]]</f>
        <v>0</v>
      </c>
      <c r="AD431" s="46" t="s">
        <v>564</v>
      </c>
      <c r="AE431" s="10"/>
      <c r="AF431" s="10" t="b">
        <f>IF(COUNTIF(PLANPRODUCCION[[#This Row],[OBSERVACIONES]],"NO APLICA BONO*")&gt;0,TRUE,FALSE)</f>
        <v>0</v>
      </c>
      <c r="AI431">
        <f>AI430+AI429</f>
        <v>-13</v>
      </c>
    </row>
    <row r="432" spans="1:35" x14ac:dyDescent="0.25">
      <c r="A432" s="46" t="str">
        <f>UPPER(IF(PLANPRODUCCION[[#This Row],[FECHA]]&lt;=45701,_xlfn.CONCAT(TEXT(B432,"MMM"),"-",IF(ROW(A432)&lt;11,"000"&amp;ROW(A432)-1,IF(ROW(A432)&lt;101,"00"&amp;ROW(A432)-1,IF(ROW(A432)&lt;1001,"0"&amp;ROW(A432)-1,ROW(A432)-1))),"-OLD"),_xlfn.CONCAT(TEXT(B432,"MMM"),"-",IF(ROW(A432)&lt;473,"000"&amp;ROW(A432)-463,IF(ROW(A432)&lt;563,"00"&amp;ROW(A432)-463,IF(ROW(A432)&lt;1001,"0"&amp;ROW(A432)-463,ROW(A432)-463))))))</f>
        <v>FEB-0431-OLD</v>
      </c>
      <c r="B432" s="1">
        <v>45699</v>
      </c>
      <c r="C432" s="5"/>
      <c r="D432" s="5"/>
      <c r="E432" t="s">
        <v>67</v>
      </c>
      <c r="F432" s="32"/>
      <c r="G432" s="32"/>
      <c r="H432" s="5">
        <v>1540</v>
      </c>
      <c r="I432" t="s">
        <v>543</v>
      </c>
      <c r="J432" t="s">
        <v>557</v>
      </c>
      <c r="K432" s="5"/>
      <c r="L432" s="10" t="s">
        <v>545</v>
      </c>
      <c r="M432" s="49">
        <v>10</v>
      </c>
      <c r="N432" s="34">
        <f>PLANPRODUCCION[[#This Row],[PIEZAS PLANEADAS]]*PLANPRODUCCION[[#This Row],[PRECIO MAQUILAS]]</f>
        <v>0</v>
      </c>
      <c r="O432" s="5">
        <v>3</v>
      </c>
      <c r="P432" s="2">
        <v>0.33333333333333331</v>
      </c>
      <c r="Q432" s="2">
        <v>0.41666666666666669</v>
      </c>
      <c r="R432" s="24">
        <v>120</v>
      </c>
      <c r="S432" s="35">
        <f>PLANPRODUCCION[[#This Row],[PRECIO MAQUILAS]]*PLANPRODUCCION[[#This Row],[PIEZAS REAL]]</f>
        <v>1200</v>
      </c>
      <c r="T43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3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3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43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828</v>
      </c>
      <c r="X432" s="8"/>
      <c r="Y43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3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3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32" s="13" t="e">
        <f>IF(PLANPRODUCCION[[#This Row],[PIEZAS REAL]]&gt;0,PLANPRODUCCION[[#This Row],[PIEZAS REAL]]/PLANPRODUCCION[[#This Row],[PIEZAS ACTUALIZADO]],)</f>
        <v>#DIV/0!</v>
      </c>
      <c r="AC432" s="10" t="b">
        <f>PLANPRODUCCION[[#This Row],[INGRESO PLANEADO]]&lt;PLANPRODUCCION[[#This Row],[COSTO PLANEADO]]</f>
        <v>0</v>
      </c>
      <c r="AD432" s="46" t="s">
        <v>565</v>
      </c>
      <c r="AE432" s="10"/>
      <c r="AF432" s="10" t="b">
        <f>IF(COUNTIF(PLANPRODUCCION[[#This Row],[OBSERVACIONES]],"NO APLICA BONO*")&gt;0,TRUE,FALSE)</f>
        <v>0</v>
      </c>
    </row>
    <row r="433" spans="1:32" x14ac:dyDescent="0.25">
      <c r="A433" s="46" t="str">
        <f>UPPER(IF(PLANPRODUCCION[[#This Row],[FECHA]]&lt;=45701,_xlfn.CONCAT(TEXT(B433,"MMM"),"-",IF(ROW(A433)&lt;11,"000"&amp;ROW(A433)-1,IF(ROW(A433)&lt;101,"00"&amp;ROW(A433)-1,IF(ROW(A433)&lt;1001,"0"&amp;ROW(A433)-1,ROW(A433)-1))),"-OLD"),_xlfn.CONCAT(TEXT(B433,"MMM"),"-",IF(ROW(A433)&lt;473,"000"&amp;ROW(A433)-463,IF(ROW(A433)&lt;563,"00"&amp;ROW(A433)-463,IF(ROW(A433)&lt;1001,"0"&amp;ROW(A433)-463,ROW(A433)-463))))))</f>
        <v>FEB-0432-OLD</v>
      </c>
      <c r="B433" s="1">
        <v>45699</v>
      </c>
      <c r="C433" s="5"/>
      <c r="D433" s="5"/>
      <c r="E433" t="s">
        <v>110</v>
      </c>
      <c r="F433" s="32"/>
      <c r="G433" s="32"/>
      <c r="H433" s="5">
        <v>1540</v>
      </c>
      <c r="I433" t="s">
        <v>543</v>
      </c>
      <c r="J433" t="s">
        <v>557</v>
      </c>
      <c r="K433" s="5"/>
      <c r="L433" s="10" t="s">
        <v>545</v>
      </c>
      <c r="M433" s="49">
        <v>10</v>
      </c>
      <c r="N433" s="34">
        <f>PLANPRODUCCION[[#This Row],[PIEZAS PLANEADAS]]*PLANPRODUCCION[[#This Row],[PRECIO MAQUILAS]]</f>
        <v>0</v>
      </c>
      <c r="O433" s="5">
        <v>3</v>
      </c>
      <c r="P433" s="2">
        <v>0.54166666666666663</v>
      </c>
      <c r="Q433" s="2">
        <v>0.66666666666666663</v>
      </c>
      <c r="R433" s="24">
        <v>0</v>
      </c>
      <c r="S433" s="35">
        <f>PLANPRODUCCION[[#This Row],[PRECIO MAQUILAS]]*PLANPRODUCCION[[#This Row],[PIEZAS REAL]]</f>
        <v>0</v>
      </c>
      <c r="T43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3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3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697.5</v>
      </c>
      <c r="W43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-697.5</v>
      </c>
      <c r="X433" s="8"/>
      <c r="Y43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3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33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433" s="13">
        <f>IF(PLANPRODUCCION[[#This Row],[PIEZAS REAL]]&gt;0,PLANPRODUCCION[[#This Row],[PIEZAS REAL]]/PLANPRODUCCION[[#This Row],[PIEZAS ACTUALIZADO]],)</f>
        <v>0</v>
      </c>
      <c r="AC433" s="10" t="b">
        <f>PLANPRODUCCION[[#This Row],[INGRESO PLANEADO]]&lt;PLANPRODUCCION[[#This Row],[COSTO PLANEADO]]</f>
        <v>0</v>
      </c>
      <c r="AD433" s="46" t="s">
        <v>566</v>
      </c>
      <c r="AE433" s="10"/>
      <c r="AF433" s="10" t="b">
        <f>IF(COUNTIF(PLANPRODUCCION[[#This Row],[OBSERVACIONES]],"NO APLICA BONO*")&gt;0,TRUE,FALSE)</f>
        <v>0</v>
      </c>
    </row>
    <row r="434" spans="1:32" x14ac:dyDescent="0.25">
      <c r="A434" s="46" t="str">
        <f>UPPER(IF(PLANPRODUCCION[[#This Row],[FECHA]]&lt;=45701,_xlfn.CONCAT(TEXT(B434,"MMM"),"-",IF(ROW(A434)&lt;11,"000"&amp;ROW(A434)-1,IF(ROW(A434)&lt;101,"00"&amp;ROW(A434)-1,IF(ROW(A434)&lt;1001,"0"&amp;ROW(A434)-1,ROW(A434)-1))),"-OLD"),_xlfn.CONCAT(TEXT(B434,"MMM"),"-",IF(ROW(A434)&lt;473,"000"&amp;ROW(A434)-463,IF(ROW(A434)&lt;563,"00"&amp;ROW(A434)-463,IF(ROW(A434)&lt;1001,"0"&amp;ROW(A434)-463,ROW(A434)-463))))))</f>
        <v>FEB-0433-OLD</v>
      </c>
      <c r="B434" s="1">
        <v>45699</v>
      </c>
      <c r="C434" s="5"/>
      <c r="D434" s="5"/>
      <c r="E434" t="s">
        <v>72</v>
      </c>
      <c r="F434" s="32"/>
      <c r="G434" s="32"/>
      <c r="H434" s="5">
        <v>1522</v>
      </c>
      <c r="I434" t="s">
        <v>434</v>
      </c>
      <c r="J434" t="s">
        <v>441</v>
      </c>
      <c r="K434" s="5"/>
      <c r="L434" s="10" t="s">
        <v>283</v>
      </c>
      <c r="M434" s="49">
        <v>15</v>
      </c>
      <c r="N434" s="34">
        <f>PLANPRODUCCION[[#This Row],[PIEZAS PLANEADAS]]*PLANPRODUCCION[[#This Row],[PRECIO MAQUILAS]]</f>
        <v>0</v>
      </c>
      <c r="O434" s="5">
        <v>8</v>
      </c>
      <c r="P434" s="2">
        <v>0.66666666666666663</v>
      </c>
      <c r="Q434" s="2">
        <v>0.83333333333333337</v>
      </c>
      <c r="R434" s="24">
        <v>218</v>
      </c>
      <c r="S434" s="35">
        <f>PLANPRODUCCION[[#This Row],[PRECIO MAQUILAS]]*PLANPRODUCCION[[#This Row],[PIEZAS REAL]]</f>
        <v>3270</v>
      </c>
      <c r="T43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3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3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1984</v>
      </c>
      <c r="W43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1286</v>
      </c>
      <c r="X434" s="8"/>
      <c r="Y43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3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3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34" s="13" t="e">
        <f>IF(PLANPRODUCCION[[#This Row],[PIEZAS REAL]]&gt;0,PLANPRODUCCION[[#This Row],[PIEZAS REAL]]/PLANPRODUCCION[[#This Row],[PIEZAS ACTUALIZADO]],)</f>
        <v>#DIV/0!</v>
      </c>
      <c r="AC434" s="10" t="b">
        <f>PLANPRODUCCION[[#This Row],[INGRESO PLANEADO]]&lt;PLANPRODUCCION[[#This Row],[COSTO PLANEADO]]</f>
        <v>0</v>
      </c>
      <c r="AD434" s="46" t="s">
        <v>567</v>
      </c>
      <c r="AE434" s="10"/>
      <c r="AF434" s="10" t="b">
        <f>IF(COUNTIF(PLANPRODUCCION[[#This Row],[OBSERVACIONES]],"NO APLICA BONO*")&gt;0,TRUE,FALSE)</f>
        <v>0</v>
      </c>
    </row>
    <row r="435" spans="1:32" x14ac:dyDescent="0.25">
      <c r="A435" s="46" t="str">
        <f>UPPER(IF(PLANPRODUCCION[[#This Row],[FECHA]]&lt;=45701,_xlfn.CONCAT(TEXT(B435,"MMM"),"-",IF(ROW(A435)&lt;11,"000"&amp;ROW(A435)-1,IF(ROW(A435)&lt;101,"00"&amp;ROW(A435)-1,IF(ROW(A435)&lt;1001,"0"&amp;ROW(A435)-1,ROW(A435)-1))),"-OLD"),_xlfn.CONCAT(TEXT(B435,"MMM"),"-",IF(ROW(A435)&lt;473,"000"&amp;ROW(A435)-463,IF(ROW(A435)&lt;563,"00"&amp;ROW(A435)-463,IF(ROW(A435)&lt;1001,"0"&amp;ROW(A435)-463,ROW(A435)-463))))))</f>
        <v>FEB-0434-OLD</v>
      </c>
      <c r="B435" s="1">
        <v>45699</v>
      </c>
      <c r="C435" s="5"/>
      <c r="D435" s="5"/>
      <c r="E435" t="s">
        <v>72</v>
      </c>
      <c r="F435" s="32"/>
      <c r="G435" s="32"/>
      <c r="H435" s="5">
        <v>1522</v>
      </c>
      <c r="I435" t="s">
        <v>434</v>
      </c>
      <c r="J435" t="s">
        <v>435</v>
      </c>
      <c r="K435" s="5"/>
      <c r="L435" s="10" t="s">
        <v>57</v>
      </c>
      <c r="M435" s="49">
        <v>0.3</v>
      </c>
      <c r="N435" s="34">
        <f>PLANPRODUCCION[[#This Row],[PIEZAS PLANEADAS]]*PLANPRODUCCION[[#This Row],[PRECIO MAQUILAS]]</f>
        <v>0</v>
      </c>
      <c r="O435" s="5">
        <v>1</v>
      </c>
      <c r="P435" s="2">
        <v>0.66666666666666663</v>
      </c>
      <c r="Q435" s="2">
        <v>0.875</v>
      </c>
      <c r="R435" s="24">
        <v>1152</v>
      </c>
      <c r="S435" s="35">
        <f>PLANPRODUCCION[[#This Row],[PRECIO MAQUILAS]]*PLANPRODUCCION[[#This Row],[PIEZAS REAL]]</f>
        <v>345.59999999999997</v>
      </c>
      <c r="T43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3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3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43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35.599999999999966</v>
      </c>
      <c r="X435" s="8"/>
      <c r="Y43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3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3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35" s="13" t="e">
        <f>IF(PLANPRODUCCION[[#This Row],[PIEZAS REAL]]&gt;0,PLANPRODUCCION[[#This Row],[PIEZAS REAL]]/PLANPRODUCCION[[#This Row],[PIEZAS ACTUALIZADO]],)</f>
        <v>#DIV/0!</v>
      </c>
      <c r="AC435" s="10" t="b">
        <f>PLANPRODUCCION[[#This Row],[INGRESO PLANEADO]]&lt;PLANPRODUCCION[[#This Row],[COSTO PLANEADO]]</f>
        <v>0</v>
      </c>
      <c r="AD435" s="46" t="s">
        <v>568</v>
      </c>
      <c r="AE435" s="10"/>
      <c r="AF435" s="10" t="b">
        <f>IF(COUNTIF(PLANPRODUCCION[[#This Row],[OBSERVACIONES]],"NO APLICA BONO*")&gt;0,TRUE,FALSE)</f>
        <v>0</v>
      </c>
    </row>
    <row r="436" spans="1:32" x14ac:dyDescent="0.25">
      <c r="A436" s="46" t="str">
        <f>UPPER(IF(PLANPRODUCCION[[#This Row],[FECHA]]&lt;=45701,_xlfn.CONCAT(TEXT(B436,"MMM"),"-",IF(ROW(A436)&lt;11,"000"&amp;ROW(A436)-1,IF(ROW(A436)&lt;101,"00"&amp;ROW(A436)-1,IF(ROW(A436)&lt;1001,"0"&amp;ROW(A436)-1,ROW(A436)-1))),"-OLD"),_xlfn.CONCAT(TEXT(B436,"MMM"),"-",IF(ROW(A436)&lt;473,"000"&amp;ROW(A436)-463,IF(ROW(A436)&lt;563,"00"&amp;ROW(A436)-463,IF(ROW(A436)&lt;1001,"0"&amp;ROW(A436)-463,ROW(A436)-463))))))</f>
        <v>FEB-0435-OLD</v>
      </c>
      <c r="B436" s="1">
        <v>45699</v>
      </c>
      <c r="C436" s="5"/>
      <c r="D436" s="5"/>
      <c r="E436" t="s">
        <v>75</v>
      </c>
      <c r="F436" s="32"/>
      <c r="G436" s="32"/>
      <c r="H436" s="5">
        <v>1522</v>
      </c>
      <c r="I436" t="s">
        <v>434</v>
      </c>
      <c r="J436" t="s">
        <v>441</v>
      </c>
      <c r="K436" s="5"/>
      <c r="L436" s="10" t="s">
        <v>283</v>
      </c>
      <c r="M436" s="49">
        <v>15</v>
      </c>
      <c r="N436" s="34">
        <f>PLANPRODUCCION[[#This Row],[PIEZAS PLANEADAS]]*PLANPRODUCCION[[#This Row],[PRECIO MAQUILAS]]</f>
        <v>0</v>
      </c>
      <c r="O436" s="5">
        <v>10</v>
      </c>
      <c r="P436" s="2">
        <v>0.875</v>
      </c>
      <c r="Q436" s="2">
        <v>0.25</v>
      </c>
      <c r="R436" s="24">
        <v>340</v>
      </c>
      <c r="S436" s="35">
        <f>PLANPRODUCCION[[#This Row],[PRECIO MAQUILAS]]*PLANPRODUCCION[[#This Row],[PIEZAS REAL]]</f>
        <v>5100</v>
      </c>
      <c r="T43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3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3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7500</v>
      </c>
      <c r="W43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-2400</v>
      </c>
      <c r="X436" s="8"/>
      <c r="Y43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3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3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36" s="13" t="e">
        <f>IF(PLANPRODUCCION[[#This Row],[PIEZAS REAL]]&gt;0,PLANPRODUCCION[[#This Row],[PIEZAS REAL]]/PLANPRODUCCION[[#This Row],[PIEZAS ACTUALIZADO]],)</f>
        <v>#DIV/0!</v>
      </c>
      <c r="AC436" s="10" t="b">
        <f>PLANPRODUCCION[[#This Row],[INGRESO PLANEADO]]&lt;PLANPRODUCCION[[#This Row],[COSTO PLANEADO]]</f>
        <v>0</v>
      </c>
      <c r="AD436" s="46" t="s">
        <v>569</v>
      </c>
      <c r="AE436" s="10"/>
      <c r="AF436" s="10" t="b">
        <f>IF(COUNTIF(PLANPRODUCCION[[#This Row],[OBSERVACIONES]],"NO APLICA BONO*")&gt;0,TRUE,FALSE)</f>
        <v>0</v>
      </c>
    </row>
    <row r="437" spans="1:32" x14ac:dyDescent="0.25">
      <c r="A437" s="46" t="str">
        <f>UPPER(IF(PLANPRODUCCION[[#This Row],[FECHA]]&lt;=45701,_xlfn.CONCAT(TEXT(B437,"MMM"),"-",IF(ROW(A437)&lt;11,"000"&amp;ROW(A437)-1,IF(ROW(A437)&lt;101,"00"&amp;ROW(A437)-1,IF(ROW(A437)&lt;1001,"0"&amp;ROW(A437)-1,ROW(A437)-1))),"-OLD"),_xlfn.CONCAT(TEXT(B437,"MMM"),"-",IF(ROW(A437)&lt;473,"000"&amp;ROW(A437)-463,IF(ROW(A437)&lt;563,"00"&amp;ROW(A437)-463,IF(ROW(A437)&lt;1001,"0"&amp;ROW(A437)-463,ROW(A437)-463))))))</f>
        <v>FEB-0436-OLD</v>
      </c>
      <c r="B437" s="1">
        <v>45699</v>
      </c>
      <c r="C437" s="5"/>
      <c r="D437" s="5"/>
      <c r="E437" t="s">
        <v>75</v>
      </c>
      <c r="F437" s="32"/>
      <c r="G437" s="32"/>
      <c r="H437" s="5">
        <v>1522</v>
      </c>
      <c r="I437" t="s">
        <v>434</v>
      </c>
      <c r="J437" t="s">
        <v>435</v>
      </c>
      <c r="K437" s="5"/>
      <c r="L437" s="10" t="s">
        <v>57</v>
      </c>
      <c r="M437" s="49">
        <v>0.3</v>
      </c>
      <c r="N437" s="34">
        <f>PLANPRODUCCION[[#This Row],[PIEZAS PLANEADAS]]*PLANPRODUCCION[[#This Row],[PRECIO MAQUILAS]]</f>
        <v>0</v>
      </c>
      <c r="O437" s="5">
        <v>1</v>
      </c>
      <c r="P437" s="2">
        <v>0.875</v>
      </c>
      <c r="Q437" s="2">
        <v>0.25</v>
      </c>
      <c r="R437" s="24">
        <v>757</v>
      </c>
      <c r="S437" s="35">
        <f>PLANPRODUCCION[[#This Row],[PRECIO MAQUILAS]]*PLANPRODUCCION[[#This Row],[PIEZAS REAL]]</f>
        <v>227.1</v>
      </c>
      <c r="T43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3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3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750</v>
      </c>
      <c r="W43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-522.9</v>
      </c>
      <c r="X437" s="8"/>
      <c r="Y43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3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3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37" s="13" t="e">
        <f>IF(PLANPRODUCCION[[#This Row],[PIEZAS REAL]]&gt;0,PLANPRODUCCION[[#This Row],[PIEZAS REAL]]/PLANPRODUCCION[[#This Row],[PIEZAS ACTUALIZADO]],)</f>
        <v>#DIV/0!</v>
      </c>
      <c r="AC437" s="10" t="b">
        <f>PLANPRODUCCION[[#This Row],[INGRESO PLANEADO]]&lt;PLANPRODUCCION[[#This Row],[COSTO PLANEADO]]</f>
        <v>0</v>
      </c>
      <c r="AD437" s="46" t="s">
        <v>570</v>
      </c>
      <c r="AE437" s="10"/>
      <c r="AF437" s="10" t="b">
        <f>IF(COUNTIF(PLANPRODUCCION[[#This Row],[OBSERVACIONES]],"NO APLICA BONO*")&gt;0,TRUE,FALSE)</f>
        <v>0</v>
      </c>
    </row>
    <row r="438" spans="1:32" x14ac:dyDescent="0.25">
      <c r="A438" s="46" t="str">
        <f>UPPER(IF(PLANPRODUCCION[[#This Row],[FECHA]]&lt;=45701,_xlfn.CONCAT(TEXT(B438,"MMM"),"-",IF(ROW(A438)&lt;11,"000"&amp;ROW(A438)-1,IF(ROW(A438)&lt;101,"00"&amp;ROW(A438)-1,IF(ROW(A438)&lt;1001,"0"&amp;ROW(A438)-1,ROW(A438)-1))),"-OLD"),_xlfn.CONCAT(TEXT(B438,"MMM"),"-",IF(ROW(A438)&lt;473,"000"&amp;ROW(A438)-463,IF(ROW(A438)&lt;563,"00"&amp;ROW(A438)-463,IF(ROW(A438)&lt;1001,"0"&amp;ROW(A438)-463,ROW(A438)-463))))))</f>
        <v>FEB-0437-OLD</v>
      </c>
      <c r="B438" s="1">
        <v>45700</v>
      </c>
      <c r="C438" s="5"/>
      <c r="D438" s="5"/>
      <c r="E438" t="s">
        <v>54</v>
      </c>
      <c r="F438" s="32"/>
      <c r="G438" s="32"/>
      <c r="H438" s="5">
        <v>1540</v>
      </c>
      <c r="I438" t="s">
        <v>543</v>
      </c>
      <c r="J438" t="s">
        <v>557</v>
      </c>
      <c r="K438" s="5"/>
      <c r="L438" s="10" t="s">
        <v>545</v>
      </c>
      <c r="M438" s="49">
        <v>10</v>
      </c>
      <c r="N438" s="34">
        <f>PLANPRODUCCION[[#This Row],[PIEZAS PLANEADAS]]*PLANPRODUCCION[[#This Row],[PRECIO MAQUILAS]]</f>
        <v>0</v>
      </c>
      <c r="O438" s="5">
        <v>3</v>
      </c>
      <c r="P438" s="2">
        <v>0.25</v>
      </c>
      <c r="Q438" s="2">
        <v>0.41666666666666669</v>
      </c>
      <c r="R438" s="24">
        <v>63</v>
      </c>
      <c r="S438" s="35">
        <f>PLANPRODUCCION[[#This Row],[PRECIO MAQUILAS]]*PLANPRODUCCION[[#This Row],[PIEZAS REAL]]</f>
        <v>630</v>
      </c>
      <c r="T43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3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3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43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-114</v>
      </c>
      <c r="X438" s="8"/>
      <c r="Y43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3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3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38" s="13" t="e">
        <f>IF(PLANPRODUCCION[[#This Row],[PIEZAS REAL]]&gt;0,PLANPRODUCCION[[#This Row],[PIEZAS REAL]]/PLANPRODUCCION[[#This Row],[PIEZAS ACTUALIZADO]],)</f>
        <v>#DIV/0!</v>
      </c>
      <c r="AC438" s="10" t="b">
        <f>PLANPRODUCCION[[#This Row],[INGRESO PLANEADO]]&lt;PLANPRODUCCION[[#This Row],[COSTO PLANEADO]]</f>
        <v>0</v>
      </c>
      <c r="AD438" s="46" t="s">
        <v>571</v>
      </c>
      <c r="AE438" s="10"/>
      <c r="AF438" s="10" t="b">
        <f>IF(COUNTIF(PLANPRODUCCION[[#This Row],[OBSERVACIONES]],"NO APLICA BONO*")&gt;0,TRUE,FALSE)</f>
        <v>0</v>
      </c>
    </row>
    <row r="439" spans="1:32" x14ac:dyDescent="0.25">
      <c r="A439" s="46" t="str">
        <f>UPPER(IF(PLANPRODUCCION[[#This Row],[FECHA]]&lt;=45701,_xlfn.CONCAT(TEXT(B439,"MMM"),"-",IF(ROW(A439)&lt;11,"000"&amp;ROW(A439)-1,IF(ROW(A439)&lt;101,"00"&amp;ROW(A439)-1,IF(ROW(A439)&lt;1001,"0"&amp;ROW(A439)-1,ROW(A439)-1))),"-OLD"),_xlfn.CONCAT(TEXT(B439,"MMM"),"-",IF(ROW(A439)&lt;473,"000"&amp;ROW(A439)-463,IF(ROW(A439)&lt;563,"00"&amp;ROW(A439)-463,IF(ROW(A439)&lt;1001,"0"&amp;ROW(A439)-463,ROW(A439)-463))))))</f>
        <v>FEB-0438-OLD</v>
      </c>
      <c r="B439" s="1">
        <v>45700</v>
      </c>
      <c r="C439" s="5"/>
      <c r="D439" s="5"/>
      <c r="E439" t="s">
        <v>54</v>
      </c>
      <c r="F439" s="32"/>
      <c r="G439" s="32"/>
      <c r="H439" s="5">
        <v>1540</v>
      </c>
      <c r="I439" t="s">
        <v>543</v>
      </c>
      <c r="J439" t="s">
        <v>557</v>
      </c>
      <c r="K439" s="5"/>
      <c r="L439" s="10" t="s">
        <v>545</v>
      </c>
      <c r="M439" s="49">
        <v>10</v>
      </c>
      <c r="N439" s="34">
        <f>PLANPRODUCCION[[#This Row],[PIEZAS PLANEADAS]]*PLANPRODUCCION[[#This Row],[PRECIO MAQUILAS]]</f>
        <v>0</v>
      </c>
      <c r="O439" s="5">
        <v>2</v>
      </c>
      <c r="P439" s="2">
        <v>0.25</v>
      </c>
      <c r="Q439" s="2">
        <v>0.41666666666666669</v>
      </c>
      <c r="R439" s="24">
        <v>68</v>
      </c>
      <c r="S439" s="35">
        <f>PLANPRODUCCION[[#This Row],[PRECIO MAQUILAS]]*PLANPRODUCCION[[#This Row],[PIEZAS REAL]]</f>
        <v>680</v>
      </c>
      <c r="T43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3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3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496</v>
      </c>
      <c r="W43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184</v>
      </c>
      <c r="X439" s="8"/>
      <c r="Y43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3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3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39" s="13" t="e">
        <f>IF(PLANPRODUCCION[[#This Row],[PIEZAS REAL]]&gt;0,PLANPRODUCCION[[#This Row],[PIEZAS REAL]]/PLANPRODUCCION[[#This Row],[PIEZAS ACTUALIZADO]],)</f>
        <v>#DIV/0!</v>
      </c>
      <c r="AC439" s="10" t="b">
        <f>PLANPRODUCCION[[#This Row],[INGRESO PLANEADO]]&lt;PLANPRODUCCION[[#This Row],[COSTO PLANEADO]]</f>
        <v>0</v>
      </c>
      <c r="AD439" s="46" t="s">
        <v>572</v>
      </c>
      <c r="AE439" s="10"/>
      <c r="AF439" s="10" t="b">
        <f>IF(COUNTIF(PLANPRODUCCION[[#This Row],[OBSERVACIONES]],"NO APLICA BONO*")&gt;0,TRUE,FALSE)</f>
        <v>0</v>
      </c>
    </row>
    <row r="440" spans="1:32" x14ac:dyDescent="0.25">
      <c r="A440" s="46" t="str">
        <f>UPPER(IF(PLANPRODUCCION[[#This Row],[FECHA]]&lt;=45701,_xlfn.CONCAT(TEXT(B440,"MMM"),"-",IF(ROW(A440)&lt;11,"000"&amp;ROW(A440)-1,IF(ROW(A440)&lt;101,"00"&amp;ROW(A440)-1,IF(ROW(A440)&lt;1001,"0"&amp;ROW(A440)-1,ROW(A440)-1))),"-OLD"),_xlfn.CONCAT(TEXT(B440,"MMM"),"-",IF(ROW(A440)&lt;473,"000"&amp;ROW(A440)-463,IF(ROW(A440)&lt;563,"00"&amp;ROW(A440)-463,IF(ROW(A440)&lt;1001,"0"&amp;ROW(A440)-463,ROW(A440)-463))))))</f>
        <v>FEB-0439-OLD</v>
      </c>
      <c r="B440" s="1">
        <v>45700</v>
      </c>
      <c r="C440" s="5"/>
      <c r="D440" s="5"/>
      <c r="E440" t="s">
        <v>54</v>
      </c>
      <c r="F440" s="32"/>
      <c r="G440" s="32"/>
      <c r="H440" s="5">
        <v>1572</v>
      </c>
      <c r="I440" t="s">
        <v>573</v>
      </c>
      <c r="J440" t="s">
        <v>574</v>
      </c>
      <c r="K440" s="5"/>
      <c r="L440" s="10" t="s">
        <v>57</v>
      </c>
      <c r="M440" s="49">
        <v>2.06</v>
      </c>
      <c r="N440" s="34">
        <f>PLANPRODUCCION[[#This Row],[PIEZAS PLANEADAS]]*PLANPRODUCCION[[#This Row],[PRECIO MAQUILAS]]</f>
        <v>0</v>
      </c>
      <c r="O440" s="5">
        <v>2</v>
      </c>
      <c r="P440" s="2">
        <v>0.25</v>
      </c>
      <c r="Q440" s="2">
        <v>0.66666666666666663</v>
      </c>
      <c r="R440" s="24">
        <v>170</v>
      </c>
      <c r="S440" s="35">
        <f>PLANPRODUCCION[[#This Row],[PRECIO MAQUILAS]]*PLANPRODUCCION[[#This Row],[PIEZAS REAL]]</f>
        <v>350.2</v>
      </c>
      <c r="T44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4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4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44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-889.8</v>
      </c>
      <c r="X440" s="8"/>
      <c r="Y44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4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4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40" s="13" t="e">
        <f>IF(PLANPRODUCCION[[#This Row],[PIEZAS REAL]]&gt;0,PLANPRODUCCION[[#This Row],[PIEZAS REAL]]/PLANPRODUCCION[[#This Row],[PIEZAS ACTUALIZADO]],)</f>
        <v>#DIV/0!</v>
      </c>
      <c r="AC440" s="10" t="b">
        <f>PLANPRODUCCION[[#This Row],[INGRESO PLANEADO]]&lt;PLANPRODUCCION[[#This Row],[COSTO PLANEADO]]</f>
        <v>0</v>
      </c>
      <c r="AD440" s="46" t="s">
        <v>575</v>
      </c>
      <c r="AE440" s="10"/>
      <c r="AF440" s="10" t="b">
        <f>IF(COUNTIF(PLANPRODUCCION[[#This Row],[OBSERVACIONES]],"NO APLICA BONO*")&gt;0,TRUE,FALSE)</f>
        <v>0</v>
      </c>
    </row>
    <row r="441" spans="1:32" x14ac:dyDescent="0.25">
      <c r="A441" s="46" t="str">
        <f>UPPER(IF(PLANPRODUCCION[[#This Row],[FECHA]]&lt;=45701,_xlfn.CONCAT(TEXT(B441,"MMM"),"-",IF(ROW(A441)&lt;11,"000"&amp;ROW(A441)-1,IF(ROW(A441)&lt;101,"00"&amp;ROW(A441)-1,IF(ROW(A441)&lt;1001,"0"&amp;ROW(A441)-1,ROW(A441)-1))),"-OLD"),_xlfn.CONCAT(TEXT(B441,"MMM"),"-",IF(ROW(A441)&lt;473,"000"&amp;ROW(A441)-463,IF(ROW(A441)&lt;563,"00"&amp;ROW(A441)-463,IF(ROW(A441)&lt;1001,"0"&amp;ROW(A441)-463,ROW(A441)-463))))))</f>
        <v>FEB-0440-OLD</v>
      </c>
      <c r="B441" s="1">
        <v>45700</v>
      </c>
      <c r="C441" s="5"/>
      <c r="D441" s="5"/>
      <c r="E441" t="s">
        <v>54</v>
      </c>
      <c r="F441" s="32"/>
      <c r="G441" s="32"/>
      <c r="H441" s="5">
        <v>1522</v>
      </c>
      <c r="I441" t="s">
        <v>434</v>
      </c>
      <c r="J441" t="s">
        <v>441</v>
      </c>
      <c r="K441" s="5"/>
      <c r="L441" s="10" t="s">
        <v>283</v>
      </c>
      <c r="M441" s="49">
        <v>15</v>
      </c>
      <c r="N441" s="34">
        <f>PLANPRODUCCION[[#This Row],[PIEZAS PLANEADAS]]*PLANPRODUCCION[[#This Row],[PRECIO MAQUILAS]]</f>
        <v>0</v>
      </c>
      <c r="O441" s="5">
        <v>6</v>
      </c>
      <c r="P441" s="2">
        <v>0.41666666666666669</v>
      </c>
      <c r="Q441" s="2">
        <v>0.66666666666666663</v>
      </c>
      <c r="R441" s="24">
        <v>107</v>
      </c>
      <c r="S441" s="35">
        <f>PLANPRODUCCION[[#This Row],[PRECIO MAQUILAS]]*PLANPRODUCCION[[#This Row],[PIEZAS REAL]]</f>
        <v>1605</v>
      </c>
      <c r="T44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4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4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2232</v>
      </c>
      <c r="W44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-627</v>
      </c>
      <c r="X441" s="8"/>
      <c r="Y44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4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4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41" s="13" t="e">
        <f>IF(PLANPRODUCCION[[#This Row],[PIEZAS REAL]]&gt;0,PLANPRODUCCION[[#This Row],[PIEZAS REAL]]/PLANPRODUCCION[[#This Row],[PIEZAS ACTUALIZADO]],)</f>
        <v>#DIV/0!</v>
      </c>
      <c r="AC441" s="10" t="b">
        <f>PLANPRODUCCION[[#This Row],[INGRESO PLANEADO]]&lt;PLANPRODUCCION[[#This Row],[COSTO PLANEADO]]</f>
        <v>0</v>
      </c>
      <c r="AD441" s="46" t="s">
        <v>576</v>
      </c>
      <c r="AE441" s="10"/>
      <c r="AF441" s="10" t="b">
        <f>IF(COUNTIF(PLANPRODUCCION[[#This Row],[OBSERVACIONES]],"NO APLICA BONO*")&gt;0,TRUE,FALSE)</f>
        <v>0</v>
      </c>
    </row>
    <row r="442" spans="1:32" x14ac:dyDescent="0.25">
      <c r="A442" s="46" t="str">
        <f>UPPER(IF(PLANPRODUCCION[[#This Row],[FECHA]]&lt;=45701,_xlfn.CONCAT(TEXT(B442,"MMM"),"-",IF(ROW(A442)&lt;11,"000"&amp;ROW(A442)-1,IF(ROW(A442)&lt;101,"00"&amp;ROW(A442)-1,IF(ROW(A442)&lt;1001,"0"&amp;ROW(A442)-1,ROW(A442)-1))),"-OLD"),_xlfn.CONCAT(TEXT(B442,"MMM"),"-",IF(ROW(A442)&lt;473,"000"&amp;ROW(A442)-463,IF(ROW(A442)&lt;563,"00"&amp;ROW(A442)-463,IF(ROW(A442)&lt;1001,"0"&amp;ROW(A442)-463,ROW(A442)-463))))))</f>
        <v>FEB-0441-OLD</v>
      </c>
      <c r="B442" s="1">
        <v>45700</v>
      </c>
      <c r="C442" s="5"/>
      <c r="D442" s="5"/>
      <c r="E442" t="s">
        <v>54</v>
      </c>
      <c r="F442" s="32"/>
      <c r="G442" s="32"/>
      <c r="H442" s="5">
        <v>1522</v>
      </c>
      <c r="I442" t="s">
        <v>434</v>
      </c>
      <c r="J442" t="s">
        <v>435</v>
      </c>
      <c r="K442" s="5"/>
      <c r="L442" s="10" t="s">
        <v>57</v>
      </c>
      <c r="M442" s="49">
        <v>0.3</v>
      </c>
      <c r="N442" s="34">
        <f>PLANPRODUCCION[[#This Row],[PIEZAS PLANEADAS]]*PLANPRODUCCION[[#This Row],[PRECIO MAQUILAS]]</f>
        <v>0</v>
      </c>
      <c r="O442" s="5">
        <v>1</v>
      </c>
      <c r="P442" s="2">
        <v>0.41666666666666669</v>
      </c>
      <c r="Q442" s="2">
        <v>0.66666666666666663</v>
      </c>
      <c r="R442" s="24">
        <v>1838</v>
      </c>
      <c r="S442" s="35">
        <f>PLANPRODUCCION[[#This Row],[PRECIO MAQUILAS]]*PLANPRODUCCION[[#This Row],[PIEZAS REAL]]</f>
        <v>551.4</v>
      </c>
      <c r="T44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4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4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44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179.39999999999998</v>
      </c>
      <c r="X442" s="8"/>
      <c r="Y44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4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4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42" s="13" t="e">
        <f>IF(PLANPRODUCCION[[#This Row],[PIEZAS REAL]]&gt;0,PLANPRODUCCION[[#This Row],[PIEZAS REAL]]/PLANPRODUCCION[[#This Row],[PIEZAS ACTUALIZADO]],)</f>
        <v>#DIV/0!</v>
      </c>
      <c r="AC442" s="10" t="b">
        <f>PLANPRODUCCION[[#This Row],[INGRESO PLANEADO]]&lt;PLANPRODUCCION[[#This Row],[COSTO PLANEADO]]</f>
        <v>0</v>
      </c>
      <c r="AD442" s="46" t="s">
        <v>577</v>
      </c>
      <c r="AE442" s="10"/>
      <c r="AF442" s="10" t="b">
        <f>IF(COUNTIF(PLANPRODUCCION[[#This Row],[OBSERVACIONES]],"NO APLICA BONO*")&gt;0,TRUE,FALSE)</f>
        <v>0</v>
      </c>
    </row>
    <row r="443" spans="1:32" x14ac:dyDescent="0.25">
      <c r="A443" s="46" t="str">
        <f>UPPER(IF(PLANPRODUCCION[[#This Row],[FECHA]]&lt;=45701,_xlfn.CONCAT(TEXT(B443,"MMM"),"-",IF(ROW(A443)&lt;11,"000"&amp;ROW(A443)-1,IF(ROW(A443)&lt;101,"00"&amp;ROW(A443)-1,IF(ROW(A443)&lt;1001,"0"&amp;ROW(A443)-1,ROW(A443)-1))),"-OLD"),_xlfn.CONCAT(TEXT(B443,"MMM"),"-",IF(ROW(A443)&lt;473,"000"&amp;ROW(A443)-463,IF(ROW(A443)&lt;563,"00"&amp;ROW(A443)-463,IF(ROW(A443)&lt;1001,"0"&amp;ROW(A443)-463,ROW(A443)-463))))))</f>
        <v>FEB-0442-OLD</v>
      </c>
      <c r="B443" s="1">
        <v>45700</v>
      </c>
      <c r="C443" s="5"/>
      <c r="D443" s="5"/>
      <c r="E443" t="s">
        <v>54</v>
      </c>
      <c r="F443" s="32"/>
      <c r="G443" s="32"/>
      <c r="H443" s="5">
        <v>1522</v>
      </c>
      <c r="I443" t="s">
        <v>434</v>
      </c>
      <c r="J443" t="s">
        <v>441</v>
      </c>
      <c r="K443" s="5"/>
      <c r="L443" s="10" t="s">
        <v>283</v>
      </c>
      <c r="M443" s="49">
        <v>15</v>
      </c>
      <c r="N443" s="34">
        <f>PLANPRODUCCION[[#This Row],[PIEZAS PLANEADAS]]*PLANPRODUCCION[[#This Row],[PRECIO MAQUILAS]]</f>
        <v>0</v>
      </c>
      <c r="O443" s="5">
        <v>6</v>
      </c>
      <c r="P443" s="2">
        <v>0.5</v>
      </c>
      <c r="Q443" s="2">
        <v>0.66666666666666663</v>
      </c>
      <c r="R443" s="24">
        <v>145</v>
      </c>
      <c r="S443" s="35">
        <f>PLANPRODUCCION[[#This Row],[PRECIO MAQUILAS]]*PLANPRODUCCION[[#This Row],[PIEZAS REAL]]</f>
        <v>2175</v>
      </c>
      <c r="T44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4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4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44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687</v>
      </c>
      <c r="X443" s="8"/>
      <c r="Y44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4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4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43" s="13" t="e">
        <f>IF(PLANPRODUCCION[[#This Row],[PIEZAS REAL]]&gt;0,PLANPRODUCCION[[#This Row],[PIEZAS REAL]]/PLANPRODUCCION[[#This Row],[PIEZAS ACTUALIZADO]],)</f>
        <v>#DIV/0!</v>
      </c>
      <c r="AC443" s="10" t="b">
        <f>PLANPRODUCCION[[#This Row],[INGRESO PLANEADO]]&lt;PLANPRODUCCION[[#This Row],[COSTO PLANEADO]]</f>
        <v>0</v>
      </c>
      <c r="AD443" s="46" t="s">
        <v>578</v>
      </c>
      <c r="AE443" s="10"/>
      <c r="AF443" s="10" t="b">
        <f>IF(COUNTIF(PLANPRODUCCION[[#This Row],[OBSERVACIONES]],"NO APLICA BONO*")&gt;0,TRUE,FALSE)</f>
        <v>0</v>
      </c>
    </row>
    <row r="444" spans="1:32" x14ac:dyDescent="0.25">
      <c r="A444" s="46" t="str">
        <f>UPPER(IF(PLANPRODUCCION[[#This Row],[FECHA]]&lt;=45701,_xlfn.CONCAT(TEXT(B444,"MMM"),"-",IF(ROW(A444)&lt;11,"000"&amp;ROW(A444)-1,IF(ROW(A444)&lt;101,"00"&amp;ROW(A444)-1,IF(ROW(A444)&lt;1001,"0"&amp;ROW(A444)-1,ROW(A444)-1))),"-OLD"),_xlfn.CONCAT(TEXT(B444,"MMM"),"-",IF(ROW(A444)&lt;473,"000"&amp;ROW(A444)-463,IF(ROW(A444)&lt;563,"00"&amp;ROW(A444)-463,IF(ROW(A444)&lt;1001,"0"&amp;ROW(A444)-463,ROW(A444)-463))))))</f>
        <v>FEB-0443-OLD</v>
      </c>
      <c r="B444" s="1">
        <v>45700</v>
      </c>
      <c r="C444" s="5"/>
      <c r="D444" s="5"/>
      <c r="E444" t="s">
        <v>67</v>
      </c>
      <c r="F444" s="32"/>
      <c r="G444" s="32"/>
      <c r="H444" s="5">
        <v>1540</v>
      </c>
      <c r="I444" t="s">
        <v>543</v>
      </c>
      <c r="J444" t="s">
        <v>557</v>
      </c>
      <c r="K444" s="5"/>
      <c r="L444" s="10" t="s">
        <v>545</v>
      </c>
      <c r="M444" s="49">
        <v>10</v>
      </c>
      <c r="N444" s="34">
        <f>PLANPRODUCCION[[#This Row],[PIEZAS PLANEADAS]]*PLANPRODUCCION[[#This Row],[PRECIO MAQUILAS]]</f>
        <v>0</v>
      </c>
      <c r="O444" s="5">
        <v>2</v>
      </c>
      <c r="P444" s="2">
        <v>0.33333333333333331</v>
      </c>
      <c r="Q444" s="2">
        <v>0.41666666666666669</v>
      </c>
      <c r="R444" s="24">
        <v>70</v>
      </c>
      <c r="S444" s="35">
        <f>PLANPRODUCCION[[#This Row],[PRECIO MAQUILAS]]*PLANPRODUCCION[[#This Row],[PIEZAS REAL]]</f>
        <v>700</v>
      </c>
      <c r="T44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4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4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44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452</v>
      </c>
      <c r="X444" s="8"/>
      <c r="Y44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4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4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44" s="13" t="e">
        <f>IF(PLANPRODUCCION[[#This Row],[PIEZAS REAL]]&gt;0,PLANPRODUCCION[[#This Row],[PIEZAS REAL]]/PLANPRODUCCION[[#This Row],[PIEZAS ACTUALIZADO]],)</f>
        <v>#DIV/0!</v>
      </c>
      <c r="AC444" s="10" t="b">
        <f>PLANPRODUCCION[[#This Row],[INGRESO PLANEADO]]&lt;PLANPRODUCCION[[#This Row],[COSTO PLANEADO]]</f>
        <v>0</v>
      </c>
      <c r="AD444" s="46" t="s">
        <v>579</v>
      </c>
      <c r="AE444" s="10"/>
      <c r="AF444" s="10" t="b">
        <f>IF(COUNTIF(PLANPRODUCCION[[#This Row],[OBSERVACIONES]],"NO APLICA BONO*")&gt;0,TRUE,FALSE)</f>
        <v>0</v>
      </c>
    </row>
    <row r="445" spans="1:32" x14ac:dyDescent="0.25">
      <c r="A445" s="46" t="str">
        <f>UPPER(IF(PLANPRODUCCION[[#This Row],[FECHA]]&lt;=45701,_xlfn.CONCAT(TEXT(B445,"MMM"),"-",IF(ROW(A445)&lt;11,"000"&amp;ROW(A445)-1,IF(ROW(A445)&lt;101,"00"&amp;ROW(A445)-1,IF(ROW(A445)&lt;1001,"0"&amp;ROW(A445)-1,ROW(A445)-1))),"-OLD"),_xlfn.CONCAT(TEXT(B445,"MMM"),"-",IF(ROW(A445)&lt;473,"000"&amp;ROW(A445)-463,IF(ROW(A445)&lt;563,"00"&amp;ROW(A445)-463,IF(ROW(A445)&lt;1001,"0"&amp;ROW(A445)-463,ROW(A445)-463))))))</f>
        <v>FEB-0444-OLD</v>
      </c>
      <c r="B445" s="1">
        <v>45700</v>
      </c>
      <c r="C445" s="5"/>
      <c r="D445" s="5"/>
      <c r="E445" t="s">
        <v>67</v>
      </c>
      <c r="F445" s="32"/>
      <c r="G445" s="32"/>
      <c r="H445" s="5">
        <v>1572</v>
      </c>
      <c r="I445" t="s">
        <v>573</v>
      </c>
      <c r="J445" t="s">
        <v>574</v>
      </c>
      <c r="K445" s="5"/>
      <c r="L445" s="10" t="s">
        <v>57</v>
      </c>
      <c r="M445" s="49">
        <v>2.06</v>
      </c>
      <c r="N445" s="34">
        <f>PLANPRODUCCION[[#This Row],[PIEZAS PLANEADAS]]*PLANPRODUCCION[[#This Row],[PRECIO MAQUILAS]]</f>
        <v>0</v>
      </c>
      <c r="O445" s="5">
        <v>3</v>
      </c>
      <c r="P445" s="2">
        <v>0.33333333333333331</v>
      </c>
      <c r="Q445" s="2">
        <v>0.75</v>
      </c>
      <c r="R445" s="24">
        <v>400</v>
      </c>
      <c r="S445" s="35">
        <f>PLANPRODUCCION[[#This Row],[PRECIO MAQUILAS]]*PLANPRODUCCION[[#This Row],[PIEZAS REAL]]</f>
        <v>824</v>
      </c>
      <c r="T44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4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4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44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-1036</v>
      </c>
      <c r="X445" s="8"/>
      <c r="Y44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4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4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45" s="13" t="e">
        <f>IF(PLANPRODUCCION[[#This Row],[PIEZAS REAL]]&gt;0,PLANPRODUCCION[[#This Row],[PIEZAS REAL]]/PLANPRODUCCION[[#This Row],[PIEZAS ACTUALIZADO]],)</f>
        <v>#DIV/0!</v>
      </c>
      <c r="AC445" s="10" t="b">
        <f>PLANPRODUCCION[[#This Row],[INGRESO PLANEADO]]&lt;PLANPRODUCCION[[#This Row],[COSTO PLANEADO]]</f>
        <v>0</v>
      </c>
      <c r="AD445" s="46" t="s">
        <v>580</v>
      </c>
      <c r="AE445" s="10"/>
      <c r="AF445" s="10" t="b">
        <f>IF(COUNTIF(PLANPRODUCCION[[#This Row],[OBSERVACIONES]],"NO APLICA BONO*")&gt;0,TRUE,FALSE)</f>
        <v>0</v>
      </c>
    </row>
    <row r="446" spans="1:32" x14ac:dyDescent="0.25">
      <c r="A446" s="46" t="str">
        <f>UPPER(IF(PLANPRODUCCION[[#This Row],[FECHA]]&lt;=45701,_xlfn.CONCAT(TEXT(B446,"MMM"),"-",IF(ROW(A446)&lt;11,"000"&amp;ROW(A446)-1,IF(ROW(A446)&lt;101,"00"&amp;ROW(A446)-1,IF(ROW(A446)&lt;1001,"0"&amp;ROW(A446)-1,ROW(A446)-1))),"-OLD"),_xlfn.CONCAT(TEXT(B446,"MMM"),"-",IF(ROW(A446)&lt;473,"000"&amp;ROW(A446)-463,IF(ROW(A446)&lt;563,"00"&amp;ROW(A446)-463,IF(ROW(A446)&lt;1001,"0"&amp;ROW(A446)-463,ROW(A446)-463))))))</f>
        <v>FEB-0445-OLD</v>
      </c>
      <c r="B446" s="1">
        <v>45700</v>
      </c>
      <c r="C446" s="5"/>
      <c r="D446" s="5"/>
      <c r="E446" t="s">
        <v>67</v>
      </c>
      <c r="F446" s="32"/>
      <c r="G446" s="32"/>
      <c r="H446" s="5">
        <v>1572</v>
      </c>
      <c r="I446" t="s">
        <v>573</v>
      </c>
      <c r="J446" t="s">
        <v>574</v>
      </c>
      <c r="K446" s="5"/>
      <c r="L446" s="10" t="s">
        <v>57</v>
      </c>
      <c r="M446" s="49">
        <v>2.06</v>
      </c>
      <c r="N446" s="34">
        <f>PLANPRODUCCION[[#This Row],[PIEZAS PLANEADAS]]*PLANPRODUCCION[[#This Row],[PRECIO MAQUILAS]]</f>
        <v>0</v>
      </c>
      <c r="O446" s="5">
        <v>2</v>
      </c>
      <c r="P446" s="2">
        <v>0.33333333333333331</v>
      </c>
      <c r="Q446" s="2">
        <v>0.75</v>
      </c>
      <c r="R446" s="24">
        <v>336</v>
      </c>
      <c r="S446" s="35">
        <f>PLANPRODUCCION[[#This Row],[PRECIO MAQUILAS]]*PLANPRODUCCION[[#This Row],[PIEZAS REAL]]</f>
        <v>692.16</v>
      </c>
      <c r="T44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4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4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44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-547.84</v>
      </c>
      <c r="X446" s="8"/>
      <c r="Y44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4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4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46" s="13" t="e">
        <f>IF(PLANPRODUCCION[[#This Row],[PIEZAS REAL]]&gt;0,PLANPRODUCCION[[#This Row],[PIEZAS REAL]]/PLANPRODUCCION[[#This Row],[PIEZAS ACTUALIZADO]],)</f>
        <v>#DIV/0!</v>
      </c>
      <c r="AC446" s="10" t="b">
        <f>PLANPRODUCCION[[#This Row],[INGRESO PLANEADO]]&lt;PLANPRODUCCION[[#This Row],[COSTO PLANEADO]]</f>
        <v>0</v>
      </c>
      <c r="AD446" s="46" t="s">
        <v>581</v>
      </c>
      <c r="AE446" s="10"/>
      <c r="AF446" s="10" t="b">
        <f>IF(COUNTIF(PLANPRODUCCION[[#This Row],[OBSERVACIONES]],"NO APLICA BONO*")&gt;0,TRUE,FALSE)</f>
        <v>0</v>
      </c>
    </row>
    <row r="447" spans="1:32" x14ac:dyDescent="0.25">
      <c r="A447" s="46" t="str">
        <f>UPPER(IF(PLANPRODUCCION[[#This Row],[FECHA]]&lt;=45701,_xlfn.CONCAT(TEXT(B447,"MMM"),"-",IF(ROW(A447)&lt;11,"000"&amp;ROW(A447)-1,IF(ROW(A447)&lt;101,"00"&amp;ROW(A447)-1,IF(ROW(A447)&lt;1001,"0"&amp;ROW(A447)-1,ROW(A447)-1))),"-OLD"),_xlfn.CONCAT(TEXT(B447,"MMM"),"-",IF(ROW(A447)&lt;473,"000"&amp;ROW(A447)-463,IF(ROW(A447)&lt;563,"00"&amp;ROW(A447)-463,IF(ROW(A447)&lt;1001,"0"&amp;ROW(A447)-463,ROW(A447)-463))))))</f>
        <v>FEB-0446-OLD</v>
      </c>
      <c r="B447" s="1">
        <v>45700</v>
      </c>
      <c r="C447" s="5"/>
      <c r="D447" s="5"/>
      <c r="E447" t="s">
        <v>110</v>
      </c>
      <c r="F447" s="32"/>
      <c r="G447" s="32"/>
      <c r="H447" s="5">
        <v>1572</v>
      </c>
      <c r="I447" t="s">
        <v>573</v>
      </c>
      <c r="J447" t="s">
        <v>574</v>
      </c>
      <c r="K447" s="5"/>
      <c r="L447" s="10" t="s">
        <v>57</v>
      </c>
      <c r="M447" s="49">
        <v>2.06</v>
      </c>
      <c r="N447" s="34">
        <f>PLANPRODUCCION[[#This Row],[PIEZAS PLANEADAS]]*PLANPRODUCCION[[#This Row],[PRECIO MAQUILAS]]</f>
        <v>0</v>
      </c>
      <c r="O447" s="5">
        <v>3</v>
      </c>
      <c r="P447" s="2">
        <v>0.54166666666666663</v>
      </c>
      <c r="Q447" s="2">
        <v>0.875</v>
      </c>
      <c r="R447" s="24">
        <v>448</v>
      </c>
      <c r="S447" s="35">
        <f>PLANPRODUCCION[[#This Row],[PRECIO MAQUILAS]]*PLANPRODUCCION[[#This Row],[PIEZAS REAL]]</f>
        <v>922.88</v>
      </c>
      <c r="T44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4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4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44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-937.12</v>
      </c>
      <c r="X447" s="8"/>
      <c r="Y44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4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4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47" s="13" t="e">
        <f>IF(PLANPRODUCCION[[#This Row],[PIEZAS REAL]]&gt;0,PLANPRODUCCION[[#This Row],[PIEZAS REAL]]/PLANPRODUCCION[[#This Row],[PIEZAS ACTUALIZADO]],)</f>
        <v>#DIV/0!</v>
      </c>
      <c r="AC447" s="10" t="b">
        <f>PLANPRODUCCION[[#This Row],[INGRESO PLANEADO]]&lt;PLANPRODUCCION[[#This Row],[COSTO PLANEADO]]</f>
        <v>0</v>
      </c>
      <c r="AD447" s="46" t="s">
        <v>582</v>
      </c>
      <c r="AE447" s="10"/>
      <c r="AF447" s="10" t="b">
        <f>IF(COUNTIF(PLANPRODUCCION[[#This Row],[OBSERVACIONES]],"NO APLICA BONO*")&gt;0,TRUE,FALSE)</f>
        <v>0</v>
      </c>
    </row>
    <row r="448" spans="1:32" x14ac:dyDescent="0.25">
      <c r="A448" s="46" t="str">
        <f>UPPER(IF(PLANPRODUCCION[[#This Row],[FECHA]]&lt;=45701,_xlfn.CONCAT(TEXT(B448,"MMM"),"-",IF(ROW(A448)&lt;11,"000"&amp;ROW(A448)-1,IF(ROW(A448)&lt;101,"00"&amp;ROW(A448)-1,IF(ROW(A448)&lt;1001,"0"&amp;ROW(A448)-1,ROW(A448)-1))),"-OLD"),_xlfn.CONCAT(TEXT(B448,"MMM"),"-",IF(ROW(A448)&lt;473,"000"&amp;ROW(A448)-463,IF(ROW(A448)&lt;563,"00"&amp;ROW(A448)-463,IF(ROW(A448)&lt;1001,"0"&amp;ROW(A448)-463,ROW(A448)-463))))))</f>
        <v>FEB-0447-OLD</v>
      </c>
      <c r="B448" s="1">
        <v>45700</v>
      </c>
      <c r="C448" s="5"/>
      <c r="D448" s="5"/>
      <c r="E448" t="s">
        <v>72</v>
      </c>
      <c r="F448" s="32"/>
      <c r="G448" s="32"/>
      <c r="H448" s="5">
        <v>1522</v>
      </c>
      <c r="I448" t="s">
        <v>434</v>
      </c>
      <c r="J448" t="s">
        <v>435</v>
      </c>
      <c r="K448" s="5"/>
      <c r="L448" s="10" t="s">
        <v>57</v>
      </c>
      <c r="M448" s="49">
        <v>0.3</v>
      </c>
      <c r="N448" s="34">
        <f>PLANPRODUCCION[[#This Row],[PIEZAS PLANEADAS]]*PLANPRODUCCION[[#This Row],[PRECIO MAQUILAS]]</f>
        <v>0</v>
      </c>
      <c r="O448" s="5">
        <v>1</v>
      </c>
      <c r="P448" s="2">
        <v>0.66666666666666663</v>
      </c>
      <c r="Q448" s="2">
        <v>0.875</v>
      </c>
      <c r="R448" s="24">
        <v>1152</v>
      </c>
      <c r="S448" s="35">
        <f>PLANPRODUCCION[[#This Row],[PRECIO MAQUILAS]]*PLANPRODUCCION[[#This Row],[PIEZAS REAL]]</f>
        <v>345.59999999999997</v>
      </c>
      <c r="T44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4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4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44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35.599999999999966</v>
      </c>
      <c r="X448" s="8"/>
      <c r="Y44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4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4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48" s="13" t="e">
        <f>IF(PLANPRODUCCION[[#This Row],[PIEZAS REAL]]&gt;0,PLANPRODUCCION[[#This Row],[PIEZAS REAL]]/PLANPRODUCCION[[#This Row],[PIEZAS ACTUALIZADO]],)</f>
        <v>#DIV/0!</v>
      </c>
      <c r="AC448" s="10" t="b">
        <f>PLANPRODUCCION[[#This Row],[INGRESO PLANEADO]]&lt;PLANPRODUCCION[[#This Row],[COSTO PLANEADO]]</f>
        <v>0</v>
      </c>
      <c r="AD448" s="46" t="s">
        <v>583</v>
      </c>
      <c r="AE448" s="10"/>
      <c r="AF448" s="10" t="b">
        <f>IF(COUNTIF(PLANPRODUCCION[[#This Row],[OBSERVACIONES]],"NO APLICA BONO*")&gt;0,TRUE,FALSE)</f>
        <v>0</v>
      </c>
    </row>
    <row r="449" spans="1:32" x14ac:dyDescent="0.25">
      <c r="A449" s="46" t="str">
        <f>UPPER(IF(PLANPRODUCCION[[#This Row],[FECHA]]&lt;=45701,_xlfn.CONCAT(TEXT(B449,"MMM"),"-",IF(ROW(A449)&lt;11,"000"&amp;ROW(A449)-1,IF(ROW(A449)&lt;101,"00"&amp;ROW(A449)-1,IF(ROW(A449)&lt;1001,"0"&amp;ROW(A449)-1,ROW(A449)-1))),"-OLD"),_xlfn.CONCAT(TEXT(B449,"MMM"),"-",IF(ROW(A449)&lt;473,"000"&amp;ROW(A449)-463,IF(ROW(A449)&lt;563,"00"&amp;ROW(A449)-463,IF(ROW(A449)&lt;1001,"0"&amp;ROW(A449)-463,ROW(A449)-463))))))</f>
        <v>FEB-0448-OLD</v>
      </c>
      <c r="B449" s="1">
        <v>45700</v>
      </c>
      <c r="C449" s="5"/>
      <c r="D449" s="5"/>
      <c r="E449" t="s">
        <v>72</v>
      </c>
      <c r="F449" s="32"/>
      <c r="G449" s="32"/>
      <c r="H449" s="5">
        <v>1522</v>
      </c>
      <c r="I449" t="s">
        <v>434</v>
      </c>
      <c r="J449" t="s">
        <v>441</v>
      </c>
      <c r="K449" s="5"/>
      <c r="L449" s="10" t="s">
        <v>283</v>
      </c>
      <c r="M449" s="49">
        <v>15</v>
      </c>
      <c r="N449" s="34">
        <f>PLANPRODUCCION[[#This Row],[PIEZAS PLANEADAS]]*PLANPRODUCCION[[#This Row],[PRECIO MAQUILAS]]</f>
        <v>0</v>
      </c>
      <c r="O449" s="5">
        <v>11</v>
      </c>
      <c r="P449" s="2">
        <v>0.66666666666666663</v>
      </c>
      <c r="Q449" s="2">
        <v>0.875</v>
      </c>
      <c r="R449" s="24">
        <v>157</v>
      </c>
      <c r="S449" s="35">
        <f>PLANPRODUCCION[[#This Row],[PRECIO MAQUILAS]]*PLANPRODUCCION[[#This Row],[PIEZAS REAL]]</f>
        <v>2355</v>
      </c>
      <c r="T44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4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4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3410</v>
      </c>
      <c r="W44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-1055</v>
      </c>
      <c r="X449" s="8"/>
      <c r="Y44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4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4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49" s="13" t="e">
        <f>IF(PLANPRODUCCION[[#This Row],[PIEZAS REAL]]&gt;0,PLANPRODUCCION[[#This Row],[PIEZAS REAL]]/PLANPRODUCCION[[#This Row],[PIEZAS ACTUALIZADO]],)</f>
        <v>#DIV/0!</v>
      </c>
      <c r="AC449" s="10" t="b">
        <f>PLANPRODUCCION[[#This Row],[INGRESO PLANEADO]]&lt;PLANPRODUCCION[[#This Row],[COSTO PLANEADO]]</f>
        <v>0</v>
      </c>
      <c r="AD449" s="46" t="s">
        <v>584</v>
      </c>
      <c r="AE449" s="10"/>
      <c r="AF449" s="10" t="b">
        <f>IF(COUNTIF(PLANPRODUCCION[[#This Row],[OBSERVACIONES]],"NO APLICA BONO*")&gt;0,TRUE,FALSE)</f>
        <v>0</v>
      </c>
    </row>
    <row r="450" spans="1:32" x14ac:dyDescent="0.25">
      <c r="A450" s="46" t="str">
        <f>UPPER(IF(PLANPRODUCCION[[#This Row],[FECHA]]&lt;=45701,_xlfn.CONCAT(TEXT(B450,"MMM"),"-",IF(ROW(A450)&lt;11,"000"&amp;ROW(A450)-1,IF(ROW(A450)&lt;101,"00"&amp;ROW(A450)-1,IF(ROW(A450)&lt;1001,"0"&amp;ROW(A450)-1,ROW(A450)-1))),"-OLD"),_xlfn.CONCAT(TEXT(B450,"MMM"),"-",IF(ROW(A450)&lt;473,"000"&amp;ROW(A450)-463,IF(ROW(A450)&lt;563,"00"&amp;ROW(A450)-463,IF(ROW(A450)&lt;1001,"0"&amp;ROW(A450)-463,ROW(A450)-463))))))</f>
        <v>FEB-0449-OLD</v>
      </c>
      <c r="B450" s="1">
        <v>45700</v>
      </c>
      <c r="C450" s="5"/>
      <c r="D450" s="5"/>
      <c r="E450" t="s">
        <v>75</v>
      </c>
      <c r="F450" s="32"/>
      <c r="G450" s="32"/>
      <c r="H450" s="5">
        <v>1522</v>
      </c>
      <c r="I450" t="s">
        <v>434</v>
      </c>
      <c r="J450" t="s">
        <v>441</v>
      </c>
      <c r="K450" s="5"/>
      <c r="L450" s="10" t="s">
        <v>283</v>
      </c>
      <c r="M450" s="49">
        <v>15</v>
      </c>
      <c r="N450" s="34">
        <f>PLANPRODUCCION[[#This Row],[PIEZAS PLANEADAS]]*PLANPRODUCCION[[#This Row],[PRECIO MAQUILAS]]</f>
        <v>0</v>
      </c>
      <c r="O450" s="5">
        <v>9</v>
      </c>
      <c r="P450" s="2">
        <v>0.875</v>
      </c>
      <c r="Q450" s="2">
        <v>0.25</v>
      </c>
      <c r="R450" s="24">
        <v>304</v>
      </c>
      <c r="S450" s="35">
        <f>PLANPRODUCCION[[#This Row],[PRECIO MAQUILAS]]*PLANPRODUCCION[[#This Row],[PIEZAS REAL]]</f>
        <v>4560</v>
      </c>
      <c r="T45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5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5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6750</v>
      </c>
      <c r="W45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-2190</v>
      </c>
      <c r="X450" s="8"/>
      <c r="Y45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5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5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50" s="13" t="e">
        <f>IF(PLANPRODUCCION[[#This Row],[PIEZAS REAL]]&gt;0,PLANPRODUCCION[[#This Row],[PIEZAS REAL]]/PLANPRODUCCION[[#This Row],[PIEZAS ACTUALIZADO]],)</f>
        <v>#DIV/0!</v>
      </c>
      <c r="AC450" s="10" t="b">
        <f>PLANPRODUCCION[[#This Row],[INGRESO PLANEADO]]&lt;PLANPRODUCCION[[#This Row],[COSTO PLANEADO]]</f>
        <v>0</v>
      </c>
      <c r="AD450" s="46" t="s">
        <v>585</v>
      </c>
      <c r="AE450" s="10"/>
      <c r="AF450" s="10" t="b">
        <f>IF(COUNTIF(PLANPRODUCCION[[#This Row],[OBSERVACIONES]],"NO APLICA BONO*")&gt;0,TRUE,FALSE)</f>
        <v>0</v>
      </c>
    </row>
    <row r="451" spans="1:32" x14ac:dyDescent="0.25">
      <c r="A451" s="46" t="str">
        <f>UPPER(IF(PLANPRODUCCION[[#This Row],[FECHA]]&lt;=45701,_xlfn.CONCAT(TEXT(B451,"MMM"),"-",IF(ROW(A451)&lt;11,"000"&amp;ROW(A451)-1,IF(ROW(A451)&lt;101,"00"&amp;ROW(A451)-1,IF(ROW(A451)&lt;1001,"0"&amp;ROW(A451)-1,ROW(A451)-1))),"-OLD"),_xlfn.CONCAT(TEXT(B451,"MMM"),"-",IF(ROW(A451)&lt;473,"000"&amp;ROW(A451)-463,IF(ROW(A451)&lt;563,"00"&amp;ROW(A451)-463,IF(ROW(A451)&lt;1001,"0"&amp;ROW(A451)-463,ROW(A451)-463))))))</f>
        <v>FEB-0450-OLD</v>
      </c>
      <c r="B451" s="1">
        <v>45701</v>
      </c>
      <c r="C451" s="5"/>
      <c r="D451" s="5"/>
      <c r="E451" t="s">
        <v>54</v>
      </c>
      <c r="F451" s="32"/>
      <c r="G451" s="32"/>
      <c r="H451" s="5">
        <v>1514</v>
      </c>
      <c r="I451" t="s">
        <v>141</v>
      </c>
      <c r="J451" t="s">
        <v>144</v>
      </c>
      <c r="K451" s="5"/>
      <c r="L451" s="10" t="s">
        <v>57</v>
      </c>
      <c r="M451" s="49">
        <v>-1</v>
      </c>
      <c r="N451" s="34">
        <f>PLANPRODUCCION[[#This Row],[PIEZAS PLANEADAS]]*PLANPRODUCCION[[#This Row],[PRECIO MAQUILAS]]</f>
        <v>0</v>
      </c>
      <c r="O451" s="5">
        <v>3</v>
      </c>
      <c r="P451" s="2">
        <v>0.25</v>
      </c>
      <c r="Q451" s="2">
        <v>0.66666666666666663</v>
      </c>
      <c r="R451" s="24">
        <v>1200</v>
      </c>
      <c r="S451" s="35">
        <f>PLANPRODUCCION[[#This Row],[PRECIO MAQUILAS]]*PLANPRODUCCION[[#This Row],[PIEZAS REAL]]</f>
        <v>-1200</v>
      </c>
      <c r="T45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5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5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45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-1860</v>
      </c>
      <c r="X451" s="8"/>
      <c r="Y45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5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5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51" s="13" t="e">
        <f>IF(PLANPRODUCCION[[#This Row],[PIEZAS REAL]]&gt;0,PLANPRODUCCION[[#This Row],[PIEZAS REAL]]/PLANPRODUCCION[[#This Row],[PIEZAS ACTUALIZADO]],)</f>
        <v>#DIV/0!</v>
      </c>
      <c r="AC451" s="10" t="b">
        <f>PLANPRODUCCION[[#This Row],[INGRESO PLANEADO]]&lt;PLANPRODUCCION[[#This Row],[COSTO PLANEADO]]</f>
        <v>0</v>
      </c>
      <c r="AD451" s="46" t="s">
        <v>586</v>
      </c>
      <c r="AE451" s="10"/>
      <c r="AF451" s="10" t="b">
        <f>IF(COUNTIF(PLANPRODUCCION[[#This Row],[OBSERVACIONES]],"NO APLICA BONO*")&gt;0,TRUE,FALSE)</f>
        <v>0</v>
      </c>
    </row>
    <row r="452" spans="1:32" x14ac:dyDescent="0.25">
      <c r="A452" s="46" t="str">
        <f>UPPER(IF(PLANPRODUCCION[[#This Row],[FECHA]]&lt;=45701,_xlfn.CONCAT(TEXT(B452,"MMM"),"-",IF(ROW(A452)&lt;11,"000"&amp;ROW(A452)-1,IF(ROW(A452)&lt;101,"00"&amp;ROW(A452)-1,IF(ROW(A452)&lt;1001,"0"&amp;ROW(A452)-1,ROW(A452)-1))),"-OLD"),_xlfn.CONCAT(TEXT(B452,"MMM"),"-",IF(ROW(A452)&lt;473,"000"&amp;ROW(A452)-463,IF(ROW(A452)&lt;563,"00"&amp;ROW(A452)-463,IF(ROW(A452)&lt;1001,"0"&amp;ROW(A452)-463,ROW(A452)-463))))))</f>
        <v>FEB-0451-OLD</v>
      </c>
      <c r="B452" s="1">
        <v>45701</v>
      </c>
      <c r="C452" s="5"/>
      <c r="D452" s="5"/>
      <c r="E452" t="s">
        <v>54</v>
      </c>
      <c r="F452" s="32"/>
      <c r="G452" s="32"/>
      <c r="H452" s="5">
        <v>1514</v>
      </c>
      <c r="I452" t="s">
        <v>141</v>
      </c>
      <c r="J452" t="s">
        <v>144</v>
      </c>
      <c r="K452" s="5"/>
      <c r="L452" s="10" t="s">
        <v>57</v>
      </c>
      <c r="M452" s="49">
        <v>-1</v>
      </c>
      <c r="N452" s="34">
        <f>PLANPRODUCCION[[#This Row],[PIEZAS PLANEADAS]]*PLANPRODUCCION[[#This Row],[PRECIO MAQUILAS]]</f>
        <v>0</v>
      </c>
      <c r="O452" s="5">
        <v>5</v>
      </c>
      <c r="P452" s="2">
        <v>0.25</v>
      </c>
      <c r="Q452" s="2">
        <v>0.66666666666666663</v>
      </c>
      <c r="R452" s="24">
        <v>103</v>
      </c>
      <c r="S452" s="35">
        <f>PLANPRODUCCION[[#This Row],[PRECIO MAQUILAS]]*PLANPRODUCCION[[#This Row],[PIEZAS REAL]]</f>
        <v>-103</v>
      </c>
      <c r="T45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5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5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45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-3100</v>
      </c>
      <c r="X452" s="8"/>
      <c r="Y45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5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5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52" s="13" t="e">
        <f>IF(PLANPRODUCCION[[#This Row],[PIEZAS REAL]]&gt;0,PLANPRODUCCION[[#This Row],[PIEZAS REAL]]/PLANPRODUCCION[[#This Row],[PIEZAS ACTUALIZADO]],)</f>
        <v>#DIV/0!</v>
      </c>
      <c r="AC452" s="10" t="b">
        <f>PLANPRODUCCION[[#This Row],[INGRESO PLANEADO]]&lt;PLANPRODUCCION[[#This Row],[COSTO PLANEADO]]</f>
        <v>0</v>
      </c>
      <c r="AD452" s="46" t="s">
        <v>587</v>
      </c>
      <c r="AE452" s="10"/>
      <c r="AF452" s="10" t="b">
        <f>IF(COUNTIF(PLANPRODUCCION[[#This Row],[OBSERVACIONES]],"NO APLICA BONO*")&gt;0,TRUE,FALSE)</f>
        <v>0</v>
      </c>
    </row>
    <row r="453" spans="1:32" x14ac:dyDescent="0.25">
      <c r="A453" s="46" t="str">
        <f>UPPER(IF(PLANPRODUCCION[[#This Row],[FECHA]]&lt;=45701,_xlfn.CONCAT(TEXT(B453,"MMM"),"-",IF(ROW(A453)&lt;11,"000"&amp;ROW(A453)-1,IF(ROW(A453)&lt;101,"00"&amp;ROW(A453)-1,IF(ROW(A453)&lt;1001,"0"&amp;ROW(A453)-1,ROW(A453)-1))),"-OLD"),_xlfn.CONCAT(TEXT(B453,"MMM"),"-",IF(ROW(A453)&lt;473,"000"&amp;ROW(A453)-463,IF(ROW(A453)&lt;563,"00"&amp;ROW(A453)-463,IF(ROW(A453)&lt;1001,"0"&amp;ROW(A453)-463,ROW(A453)-463))))))</f>
        <v>FEB-0452-OLD</v>
      </c>
      <c r="B453" s="1">
        <v>45701</v>
      </c>
      <c r="C453" s="5"/>
      <c r="D453" s="5"/>
      <c r="E453" t="s">
        <v>54</v>
      </c>
      <c r="F453" s="32"/>
      <c r="G453" s="32"/>
      <c r="H453" s="5">
        <v>1522</v>
      </c>
      <c r="I453" t="s">
        <v>434</v>
      </c>
      <c r="J453" t="s">
        <v>441</v>
      </c>
      <c r="K453" s="5"/>
      <c r="L453" s="10" t="s">
        <v>283</v>
      </c>
      <c r="M453" s="49">
        <v>15</v>
      </c>
      <c r="N453" s="34">
        <f>PLANPRODUCCION[[#This Row],[PIEZAS PLANEADAS]]*PLANPRODUCCION[[#This Row],[PRECIO MAQUILAS]]</f>
        <v>0</v>
      </c>
      <c r="O453" s="5">
        <v>5</v>
      </c>
      <c r="P453" s="2">
        <v>0.25</v>
      </c>
      <c r="Q453" s="2">
        <v>0.66666666666666663</v>
      </c>
      <c r="R453" s="24">
        <v>159</v>
      </c>
      <c r="S453" s="35">
        <f>PLANPRODUCCION[[#This Row],[PRECIO MAQUILAS]]*PLANPRODUCCION[[#This Row],[PIEZAS REAL]]</f>
        <v>2385</v>
      </c>
      <c r="T45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5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5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45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-715</v>
      </c>
      <c r="X453" s="8"/>
      <c r="Y45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5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5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53" s="13" t="e">
        <f>IF(PLANPRODUCCION[[#This Row],[PIEZAS REAL]]&gt;0,PLANPRODUCCION[[#This Row],[PIEZAS REAL]]/PLANPRODUCCION[[#This Row],[PIEZAS ACTUALIZADO]],)</f>
        <v>#DIV/0!</v>
      </c>
      <c r="AC453" s="10" t="b">
        <f>PLANPRODUCCION[[#This Row],[INGRESO PLANEADO]]&lt;PLANPRODUCCION[[#This Row],[COSTO PLANEADO]]</f>
        <v>0</v>
      </c>
      <c r="AD453" s="46" t="s">
        <v>588</v>
      </c>
      <c r="AE453" s="10"/>
      <c r="AF453" s="10" t="b">
        <f>IF(COUNTIF(PLANPRODUCCION[[#This Row],[OBSERVACIONES]],"NO APLICA BONO*")&gt;0,TRUE,FALSE)</f>
        <v>0</v>
      </c>
    </row>
    <row r="454" spans="1:32" x14ac:dyDescent="0.25">
      <c r="A454" s="46" t="str">
        <f>UPPER(IF(PLANPRODUCCION[[#This Row],[FECHA]]&lt;=45701,_xlfn.CONCAT(TEXT(B454,"MMM"),"-",IF(ROW(A454)&lt;11,"000"&amp;ROW(A454)-1,IF(ROW(A454)&lt;101,"00"&amp;ROW(A454)-1,IF(ROW(A454)&lt;1001,"0"&amp;ROW(A454)-1,ROW(A454)-1))),"-OLD"),_xlfn.CONCAT(TEXT(B454,"MMM"),"-",IF(ROW(A454)&lt;473,"000"&amp;ROW(A454)-463,IF(ROW(A454)&lt;563,"00"&amp;ROW(A454)-463,IF(ROW(A454)&lt;1001,"0"&amp;ROW(A454)-463,ROW(A454)-463))))))</f>
        <v>FEB-0453-OLD</v>
      </c>
      <c r="B454" s="1">
        <v>45701</v>
      </c>
      <c r="C454" s="5"/>
      <c r="D454" s="5"/>
      <c r="E454" t="s">
        <v>54</v>
      </c>
      <c r="F454" s="32"/>
      <c r="G454" s="32"/>
      <c r="H454" s="5">
        <v>1568</v>
      </c>
      <c r="I454" t="s">
        <v>589</v>
      </c>
      <c r="J454" t="s">
        <v>131</v>
      </c>
      <c r="K454" s="5"/>
      <c r="L454" s="10" t="s">
        <v>65</v>
      </c>
      <c r="M454" s="49">
        <v>1.2</v>
      </c>
      <c r="N454" s="34">
        <f>PLANPRODUCCION[[#This Row],[PIEZAS PLANEADAS]]*PLANPRODUCCION[[#This Row],[PRECIO MAQUILAS]]</f>
        <v>0</v>
      </c>
      <c r="O454" s="5">
        <v>1</v>
      </c>
      <c r="P454" s="2">
        <v>0.25</v>
      </c>
      <c r="Q454" s="2">
        <v>0.66666666666666663</v>
      </c>
      <c r="R454" s="24">
        <v>1250</v>
      </c>
      <c r="S454" s="35">
        <f>PLANPRODUCCION[[#This Row],[PRECIO MAQUILAS]]*PLANPRODUCCION[[#This Row],[PIEZAS REAL]]</f>
        <v>1500</v>
      </c>
      <c r="T454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54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54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454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880</v>
      </c>
      <c r="X454" s="8"/>
      <c r="Y45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5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5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54" s="13" t="e">
        <f>IF(PLANPRODUCCION[[#This Row],[PIEZAS REAL]]&gt;0,PLANPRODUCCION[[#This Row],[PIEZAS REAL]]/PLANPRODUCCION[[#This Row],[PIEZAS ACTUALIZADO]],)</f>
        <v>#DIV/0!</v>
      </c>
      <c r="AC454" s="10" t="b">
        <f>PLANPRODUCCION[[#This Row],[INGRESO PLANEADO]]&lt;PLANPRODUCCION[[#This Row],[COSTO PLANEADO]]</f>
        <v>0</v>
      </c>
      <c r="AD454" s="46" t="s">
        <v>590</v>
      </c>
      <c r="AE454" s="10"/>
      <c r="AF454" s="10" t="b">
        <f>IF(COUNTIF(PLANPRODUCCION[[#This Row],[OBSERVACIONES]],"NO APLICA BONO*")&gt;0,TRUE,FALSE)</f>
        <v>0</v>
      </c>
    </row>
    <row r="455" spans="1:32" x14ac:dyDescent="0.25">
      <c r="A455" s="46" t="str">
        <f>UPPER(IF(PLANPRODUCCION[[#This Row],[FECHA]]&lt;=45701,_xlfn.CONCAT(TEXT(B455,"MMM"),"-",IF(ROW(A455)&lt;11,"000"&amp;ROW(A455)-1,IF(ROW(A455)&lt;101,"00"&amp;ROW(A455)-1,IF(ROW(A455)&lt;1001,"0"&amp;ROW(A455)-1,ROW(A455)-1))),"-OLD"),_xlfn.CONCAT(TEXT(B455,"MMM"),"-",IF(ROW(A455)&lt;473,"000"&amp;ROW(A455)-463,IF(ROW(A455)&lt;563,"00"&amp;ROW(A455)-463,IF(ROW(A455)&lt;1001,"0"&amp;ROW(A455)-463,ROW(A455)-463))))))</f>
        <v>FEB-0454-OLD</v>
      </c>
      <c r="B455" s="1">
        <v>45701</v>
      </c>
      <c r="C455" s="5"/>
      <c r="D455" s="5"/>
      <c r="E455" t="s">
        <v>54</v>
      </c>
      <c r="F455" s="32"/>
      <c r="G455" s="32"/>
      <c r="H455" s="5">
        <v>1575</v>
      </c>
      <c r="I455" t="s">
        <v>324</v>
      </c>
      <c r="J455" t="s">
        <v>325</v>
      </c>
      <c r="K455" s="5"/>
      <c r="L455" s="10" t="s">
        <v>83</v>
      </c>
      <c r="M455" s="49">
        <v>4.2</v>
      </c>
      <c r="N455" s="34">
        <f>PLANPRODUCCION[[#This Row],[PIEZAS PLANEADAS]]*PLANPRODUCCION[[#This Row],[PRECIO MAQUILAS]]</f>
        <v>0</v>
      </c>
      <c r="O455" s="5">
        <v>6</v>
      </c>
      <c r="P455" s="2">
        <v>0.25</v>
      </c>
      <c r="Q455" s="2">
        <v>0.35416666666666669</v>
      </c>
      <c r="R455" s="24">
        <v>1600</v>
      </c>
      <c r="S455" s="35">
        <f>PLANPRODUCCION[[#This Row],[PRECIO MAQUILAS]]*PLANPRODUCCION[[#This Row],[PIEZAS REAL]]</f>
        <v>6720</v>
      </c>
      <c r="T455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55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55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455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5790</v>
      </c>
      <c r="X455" s="8"/>
      <c r="Y45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5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5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55" s="13" t="e">
        <f>IF(PLANPRODUCCION[[#This Row],[PIEZAS REAL]]&gt;0,PLANPRODUCCION[[#This Row],[PIEZAS REAL]]/PLANPRODUCCION[[#This Row],[PIEZAS ACTUALIZADO]],)</f>
        <v>#DIV/0!</v>
      </c>
      <c r="AC455" s="10" t="b">
        <f>PLANPRODUCCION[[#This Row],[INGRESO PLANEADO]]&lt;PLANPRODUCCION[[#This Row],[COSTO PLANEADO]]</f>
        <v>0</v>
      </c>
      <c r="AD455" s="46" t="s">
        <v>591</v>
      </c>
      <c r="AE455" s="10"/>
      <c r="AF455" s="10" t="b">
        <f>IF(COUNTIF(PLANPRODUCCION[[#This Row],[OBSERVACIONES]],"NO APLICA BONO*")&gt;0,TRUE,FALSE)</f>
        <v>0</v>
      </c>
    </row>
    <row r="456" spans="1:32" x14ac:dyDescent="0.25">
      <c r="A456" s="46" t="str">
        <f>UPPER(IF(PLANPRODUCCION[[#This Row],[FECHA]]&lt;=45701,_xlfn.CONCAT(TEXT(B456,"MMM"),"-",IF(ROW(A456)&lt;11,"000"&amp;ROW(A456)-1,IF(ROW(A456)&lt;101,"00"&amp;ROW(A456)-1,IF(ROW(A456)&lt;1001,"0"&amp;ROW(A456)-1,ROW(A456)-1))),"-OLD"),_xlfn.CONCAT(TEXT(B456,"MMM"),"-",IF(ROW(A456)&lt;473,"000"&amp;ROW(A456)-463,IF(ROW(A456)&lt;563,"00"&amp;ROW(A456)-463,IF(ROW(A456)&lt;1001,"0"&amp;ROW(A456)-463,ROW(A456)-463))))))</f>
        <v>FEB-0455-OLD</v>
      </c>
      <c r="B456" s="1">
        <v>45701</v>
      </c>
      <c r="C456" s="5"/>
      <c r="D456" s="5"/>
      <c r="E456" t="s">
        <v>54</v>
      </c>
      <c r="F456" s="32"/>
      <c r="G456" s="32"/>
      <c r="H456" s="5">
        <v>1577</v>
      </c>
      <c r="I456" t="s">
        <v>592</v>
      </c>
      <c r="J456" t="s">
        <v>68</v>
      </c>
      <c r="K456" s="5"/>
      <c r="L456" s="10" t="s">
        <v>57</v>
      </c>
      <c r="M456" s="49">
        <v>1.2</v>
      </c>
      <c r="N456" s="34">
        <f>PLANPRODUCCION[[#This Row],[PIEZAS PLANEADAS]]*PLANPRODUCCION[[#This Row],[PRECIO MAQUILAS]]</f>
        <v>0</v>
      </c>
      <c r="O456" s="5">
        <v>3</v>
      </c>
      <c r="P456" s="2">
        <v>0.25</v>
      </c>
      <c r="Q456" s="2">
        <v>0.66666666666666663</v>
      </c>
      <c r="R456" s="24">
        <v>1250</v>
      </c>
      <c r="S456" s="35">
        <f>PLANPRODUCCION[[#This Row],[PRECIO MAQUILAS]]*PLANPRODUCCION[[#This Row],[PIEZAS REAL]]</f>
        <v>1500</v>
      </c>
      <c r="T456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56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56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456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-360</v>
      </c>
      <c r="X456" s="8"/>
      <c r="Y45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5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5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56" s="13" t="e">
        <f>IF(PLANPRODUCCION[[#This Row],[PIEZAS REAL]]&gt;0,PLANPRODUCCION[[#This Row],[PIEZAS REAL]]/PLANPRODUCCION[[#This Row],[PIEZAS ACTUALIZADO]],)</f>
        <v>#DIV/0!</v>
      </c>
      <c r="AC456" s="10" t="b">
        <f>PLANPRODUCCION[[#This Row],[INGRESO PLANEADO]]&lt;PLANPRODUCCION[[#This Row],[COSTO PLANEADO]]</f>
        <v>0</v>
      </c>
      <c r="AD456" s="46" t="s">
        <v>593</v>
      </c>
      <c r="AE456" s="10"/>
      <c r="AF456" s="10" t="b">
        <f>IF(COUNTIF(PLANPRODUCCION[[#This Row],[OBSERVACIONES]],"NO APLICA BONO*")&gt;0,TRUE,FALSE)</f>
        <v>0</v>
      </c>
    </row>
    <row r="457" spans="1:32" x14ac:dyDescent="0.25">
      <c r="A457" s="46" t="str">
        <f>UPPER(IF(PLANPRODUCCION[[#This Row],[FECHA]]&lt;=45701,_xlfn.CONCAT(TEXT(B457,"MMM"),"-",IF(ROW(A457)&lt;11,"000"&amp;ROW(A457)-1,IF(ROW(A457)&lt;101,"00"&amp;ROW(A457)-1,IF(ROW(A457)&lt;1001,"0"&amp;ROW(A457)-1,ROW(A457)-1))),"-OLD"),_xlfn.CONCAT(TEXT(B457,"MMM"),"-",IF(ROW(A457)&lt;473,"000"&amp;ROW(A457)-463,IF(ROW(A457)&lt;563,"00"&amp;ROW(A457)-463,IF(ROW(A457)&lt;1001,"0"&amp;ROW(A457)-463,ROW(A457)-463))))))</f>
        <v>FEB-0456-OLD</v>
      </c>
      <c r="B457" s="1">
        <v>45701</v>
      </c>
      <c r="C457" s="5"/>
      <c r="D457" s="5"/>
      <c r="E457" t="s">
        <v>54</v>
      </c>
      <c r="F457" s="32"/>
      <c r="G457" s="32"/>
      <c r="H457" s="5">
        <v>1572</v>
      </c>
      <c r="I457" t="s">
        <v>573</v>
      </c>
      <c r="J457" t="s">
        <v>574</v>
      </c>
      <c r="K457" s="5"/>
      <c r="L457" s="10" t="s">
        <v>57</v>
      </c>
      <c r="M457" s="49">
        <v>2.06</v>
      </c>
      <c r="N457" s="34">
        <f>PLANPRODUCCION[[#This Row],[PIEZAS PLANEADAS]]*PLANPRODUCCION[[#This Row],[PRECIO MAQUILAS]]</f>
        <v>0</v>
      </c>
      <c r="O457" s="5">
        <v>3</v>
      </c>
      <c r="P457" s="2">
        <v>0.35416666666666669</v>
      </c>
      <c r="Q457" s="2">
        <v>0.66666666666666663</v>
      </c>
      <c r="R457" s="24">
        <v>1173</v>
      </c>
      <c r="S457" s="35">
        <f>PLANPRODUCCION[[#This Row],[PRECIO MAQUILAS]]*PLANPRODUCCION[[#This Row],[PIEZAS REAL]]</f>
        <v>2416.38</v>
      </c>
      <c r="T457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57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57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1395</v>
      </c>
      <c r="W457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1021.3800000000001</v>
      </c>
      <c r="X457" s="8"/>
      <c r="Y45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5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5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57" s="13" t="e">
        <f>IF(PLANPRODUCCION[[#This Row],[PIEZAS REAL]]&gt;0,PLANPRODUCCION[[#This Row],[PIEZAS REAL]]/PLANPRODUCCION[[#This Row],[PIEZAS ACTUALIZADO]],)</f>
        <v>#DIV/0!</v>
      </c>
      <c r="AC457" s="10" t="b">
        <f>PLANPRODUCCION[[#This Row],[INGRESO PLANEADO]]&lt;PLANPRODUCCION[[#This Row],[COSTO PLANEADO]]</f>
        <v>0</v>
      </c>
      <c r="AD457" s="46" t="s">
        <v>594</v>
      </c>
      <c r="AE457" s="10"/>
      <c r="AF457" s="10" t="b">
        <f>IF(COUNTIF(PLANPRODUCCION[[#This Row],[OBSERVACIONES]],"NO APLICA BONO*")&gt;0,TRUE,FALSE)</f>
        <v>0</v>
      </c>
    </row>
    <row r="458" spans="1:32" x14ac:dyDescent="0.25">
      <c r="A458" s="46" t="str">
        <f>UPPER(IF(PLANPRODUCCION[[#This Row],[FECHA]]&lt;=45701,_xlfn.CONCAT(TEXT(B458,"MMM"),"-",IF(ROW(A458)&lt;11,"000"&amp;ROW(A458)-1,IF(ROW(A458)&lt;101,"00"&amp;ROW(A458)-1,IF(ROW(A458)&lt;1001,"0"&amp;ROW(A458)-1,ROW(A458)-1))),"-OLD"),_xlfn.CONCAT(TEXT(B458,"MMM"),"-",IF(ROW(A458)&lt;473,"000"&amp;ROW(A458)-463,IF(ROW(A458)&lt;563,"00"&amp;ROW(A458)-463,IF(ROW(A458)&lt;1001,"0"&amp;ROW(A458)-463,ROW(A458)-463))))))</f>
        <v>FEB-0457-OLD</v>
      </c>
      <c r="B458" s="1">
        <v>45701</v>
      </c>
      <c r="C458" s="5"/>
      <c r="D458" s="5"/>
      <c r="E458" t="s">
        <v>67</v>
      </c>
      <c r="F458" s="32"/>
      <c r="G458" s="32"/>
      <c r="H458" s="5">
        <v>1572</v>
      </c>
      <c r="I458" t="s">
        <v>573</v>
      </c>
      <c r="J458" t="s">
        <v>574</v>
      </c>
      <c r="K458" s="5"/>
      <c r="L458" s="10" t="s">
        <v>57</v>
      </c>
      <c r="M458" s="49">
        <v>2.06</v>
      </c>
      <c r="N458" s="34">
        <f>PLANPRODUCCION[[#This Row],[PIEZAS PLANEADAS]]*PLANPRODUCCION[[#This Row],[PRECIO MAQUILAS]]</f>
        <v>0</v>
      </c>
      <c r="O458" s="5">
        <v>2</v>
      </c>
      <c r="P458" s="2">
        <v>0.33333333333333331</v>
      </c>
      <c r="Q458" s="2">
        <v>0.75</v>
      </c>
      <c r="R458" s="24">
        <v>903</v>
      </c>
      <c r="S458" s="35">
        <f>PLANPRODUCCION[[#This Row],[PRECIO MAQUILAS]]*PLANPRODUCCION[[#This Row],[PIEZAS REAL]]</f>
        <v>1860.18</v>
      </c>
      <c r="T458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58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58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458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620.18000000000006</v>
      </c>
      <c r="X458" s="8"/>
      <c r="Y45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5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5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58" s="13" t="e">
        <f>IF(PLANPRODUCCION[[#This Row],[PIEZAS REAL]]&gt;0,PLANPRODUCCION[[#This Row],[PIEZAS REAL]]/PLANPRODUCCION[[#This Row],[PIEZAS ACTUALIZADO]],)</f>
        <v>#DIV/0!</v>
      </c>
      <c r="AC458" s="10" t="b">
        <f>PLANPRODUCCION[[#This Row],[INGRESO PLANEADO]]&lt;PLANPRODUCCION[[#This Row],[COSTO PLANEADO]]</f>
        <v>0</v>
      </c>
      <c r="AD458" s="46" t="s">
        <v>595</v>
      </c>
      <c r="AE458" s="10"/>
      <c r="AF458" s="10" t="b">
        <f>IF(COUNTIF(PLANPRODUCCION[[#This Row],[OBSERVACIONES]],"NO APLICA BONO*")&gt;0,TRUE,FALSE)</f>
        <v>0</v>
      </c>
    </row>
    <row r="459" spans="1:32" x14ac:dyDescent="0.25">
      <c r="A459" s="46" t="str">
        <f>UPPER(IF(PLANPRODUCCION[[#This Row],[FECHA]]&lt;=45701,_xlfn.CONCAT(TEXT(B459,"MMM"),"-",IF(ROW(A459)&lt;11,"000"&amp;ROW(A459)-1,IF(ROW(A459)&lt;101,"00"&amp;ROW(A459)-1,IF(ROW(A459)&lt;1001,"0"&amp;ROW(A459)-1,ROW(A459)-1))),"-OLD"),_xlfn.CONCAT(TEXT(B459,"MMM"),"-",IF(ROW(A459)&lt;473,"000"&amp;ROW(A459)-463,IF(ROW(A459)&lt;563,"00"&amp;ROW(A459)-463,IF(ROW(A459)&lt;1001,"0"&amp;ROW(A459)-463,ROW(A459)-463))))))</f>
        <v>FEB-0458-OLD</v>
      </c>
      <c r="B459" s="1">
        <v>45701</v>
      </c>
      <c r="C459" s="5"/>
      <c r="D459" s="5"/>
      <c r="E459" t="s">
        <v>67</v>
      </c>
      <c r="F459" s="32"/>
      <c r="G459" s="32"/>
      <c r="H459" s="5">
        <v>1572</v>
      </c>
      <c r="I459" t="s">
        <v>573</v>
      </c>
      <c r="J459" t="s">
        <v>574</v>
      </c>
      <c r="K459" s="5"/>
      <c r="L459" s="10" t="s">
        <v>57</v>
      </c>
      <c r="M459" s="49">
        <v>2.06</v>
      </c>
      <c r="N459" s="34">
        <f>PLANPRODUCCION[[#This Row],[PIEZAS PLANEADAS]]*PLANPRODUCCION[[#This Row],[PRECIO MAQUILAS]]</f>
        <v>0</v>
      </c>
      <c r="O459" s="5">
        <v>3</v>
      </c>
      <c r="P459" s="2">
        <v>0.33333333333333331</v>
      </c>
      <c r="Q459" s="2">
        <v>0.75</v>
      </c>
      <c r="R459" s="24">
        <v>1750</v>
      </c>
      <c r="S459" s="35">
        <f>PLANPRODUCCION[[#This Row],[PRECIO MAQUILAS]]*PLANPRODUCCION[[#This Row],[PIEZAS REAL]]</f>
        <v>3605</v>
      </c>
      <c r="T459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59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59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459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1745</v>
      </c>
      <c r="X459" s="8"/>
      <c r="Y45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5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5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59" s="13" t="e">
        <f>IF(PLANPRODUCCION[[#This Row],[PIEZAS REAL]]&gt;0,PLANPRODUCCION[[#This Row],[PIEZAS REAL]]/PLANPRODUCCION[[#This Row],[PIEZAS ACTUALIZADO]],)</f>
        <v>#DIV/0!</v>
      </c>
      <c r="AC459" s="10" t="b">
        <f>PLANPRODUCCION[[#This Row],[INGRESO PLANEADO]]&lt;PLANPRODUCCION[[#This Row],[COSTO PLANEADO]]</f>
        <v>0</v>
      </c>
      <c r="AD459" s="46" t="s">
        <v>596</v>
      </c>
      <c r="AE459" s="10"/>
      <c r="AF459" s="10" t="b">
        <f>IF(COUNTIF(PLANPRODUCCION[[#This Row],[OBSERVACIONES]],"NO APLICA BONO*")&gt;0,TRUE,FALSE)</f>
        <v>0</v>
      </c>
    </row>
    <row r="460" spans="1:32" x14ac:dyDescent="0.25">
      <c r="A460" s="46" t="str">
        <f>UPPER(IF(PLANPRODUCCION[[#This Row],[FECHA]]&lt;=45701,_xlfn.CONCAT(TEXT(B460,"MMM"),"-",IF(ROW(A460)&lt;11,"000"&amp;ROW(A460)-1,IF(ROW(A460)&lt;101,"00"&amp;ROW(A460)-1,IF(ROW(A460)&lt;1001,"0"&amp;ROW(A460)-1,ROW(A460)-1))),"-OLD"),_xlfn.CONCAT(TEXT(B460,"MMM"),"-",IF(ROW(A460)&lt;473,"000"&amp;ROW(A460)-463,IF(ROW(A460)&lt;563,"00"&amp;ROW(A460)-463,IF(ROW(A460)&lt;1001,"0"&amp;ROW(A460)-463,ROW(A460)-463))))))</f>
        <v>FEB-0459-OLD</v>
      </c>
      <c r="B460" s="1">
        <v>45701</v>
      </c>
      <c r="C460" s="5"/>
      <c r="D460" s="5"/>
      <c r="E460" t="s">
        <v>67</v>
      </c>
      <c r="F460" s="32"/>
      <c r="G460" s="32"/>
      <c r="H460" s="5">
        <v>1572</v>
      </c>
      <c r="I460" t="s">
        <v>573</v>
      </c>
      <c r="J460" t="s">
        <v>574</v>
      </c>
      <c r="K460" s="5"/>
      <c r="L460" s="10" t="s">
        <v>57</v>
      </c>
      <c r="M460" s="49">
        <v>2.06</v>
      </c>
      <c r="N460" s="34">
        <f>PLANPRODUCCION[[#This Row],[PIEZAS PLANEADAS]]*PLANPRODUCCION[[#This Row],[PRECIO MAQUILAS]]</f>
        <v>0</v>
      </c>
      <c r="O460" s="5">
        <v>3</v>
      </c>
      <c r="P460" s="2">
        <v>0.35416666666666669</v>
      </c>
      <c r="Q460" s="2">
        <v>0.66666666666666663</v>
      </c>
      <c r="R460" s="24">
        <v>1050</v>
      </c>
      <c r="S460" s="35">
        <f>PLANPRODUCCION[[#This Row],[PRECIO MAQUILAS]]*PLANPRODUCCION[[#This Row],[PIEZAS REAL]]</f>
        <v>2163</v>
      </c>
      <c r="T460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60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60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1395</v>
      </c>
      <c r="W460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768</v>
      </c>
      <c r="X460" s="8"/>
      <c r="Y46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6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6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60" s="13" t="e">
        <f>IF(PLANPRODUCCION[[#This Row],[PIEZAS REAL]]&gt;0,PLANPRODUCCION[[#This Row],[PIEZAS REAL]]/PLANPRODUCCION[[#This Row],[PIEZAS ACTUALIZADO]],)</f>
        <v>#DIV/0!</v>
      </c>
      <c r="AC460" s="10" t="b">
        <f>PLANPRODUCCION[[#This Row],[INGRESO PLANEADO]]&lt;PLANPRODUCCION[[#This Row],[COSTO PLANEADO]]</f>
        <v>0</v>
      </c>
      <c r="AD460" s="46" t="s">
        <v>597</v>
      </c>
      <c r="AE460" s="10"/>
      <c r="AF460" s="10" t="b">
        <f>IF(COUNTIF(PLANPRODUCCION[[#This Row],[OBSERVACIONES]],"NO APLICA BONO*")&gt;0,TRUE,FALSE)</f>
        <v>0</v>
      </c>
    </row>
    <row r="461" spans="1:32" x14ac:dyDescent="0.25">
      <c r="A461" s="46" t="str">
        <f>UPPER(IF(PLANPRODUCCION[[#This Row],[FECHA]]&lt;=45701,_xlfn.CONCAT(TEXT(B461,"MMM"),"-",IF(ROW(A461)&lt;11,"000"&amp;ROW(A461)-1,IF(ROW(A461)&lt;101,"00"&amp;ROW(A461)-1,IF(ROW(A461)&lt;1001,"0"&amp;ROW(A461)-1,ROW(A461)-1))),"-OLD"),_xlfn.CONCAT(TEXT(B461,"MMM"),"-",IF(ROW(A461)&lt;473,"000"&amp;ROW(A461)-463,IF(ROW(A461)&lt;563,"00"&amp;ROW(A461)-463,IF(ROW(A461)&lt;1001,"0"&amp;ROW(A461)-463,ROW(A461)-463))))))</f>
        <v>FEB-0460-OLD</v>
      </c>
      <c r="B461" s="1">
        <v>45701</v>
      </c>
      <c r="C461" s="5"/>
      <c r="D461" s="5"/>
      <c r="E461" t="s">
        <v>110</v>
      </c>
      <c r="F461" s="32"/>
      <c r="G461" s="32"/>
      <c r="H461" s="5">
        <v>1572</v>
      </c>
      <c r="I461" t="s">
        <v>573</v>
      </c>
      <c r="J461" t="s">
        <v>574</v>
      </c>
      <c r="K461" s="5"/>
      <c r="L461" s="10" t="s">
        <v>57</v>
      </c>
      <c r="M461" s="49">
        <v>2.06</v>
      </c>
      <c r="N461" s="34">
        <f>PLANPRODUCCION[[#This Row],[PIEZAS PLANEADAS]]*PLANPRODUCCION[[#This Row],[PRECIO MAQUILAS]]</f>
        <v>0</v>
      </c>
      <c r="O461" s="5">
        <v>3</v>
      </c>
      <c r="P461" s="2">
        <v>0.54166666666666663</v>
      </c>
      <c r="Q461" s="2">
        <v>0.875</v>
      </c>
      <c r="R461" s="24">
        <v>1696</v>
      </c>
      <c r="S461" s="35">
        <f>PLANPRODUCCION[[#This Row],[PRECIO MAQUILAS]]*PLANPRODUCCION[[#This Row],[PIEZAS REAL]]</f>
        <v>3493.76</v>
      </c>
      <c r="T461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61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61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461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1633.7600000000002</v>
      </c>
      <c r="X461" s="8"/>
      <c r="Y46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6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6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61" s="13" t="e">
        <f>IF(PLANPRODUCCION[[#This Row],[PIEZAS REAL]]&gt;0,PLANPRODUCCION[[#This Row],[PIEZAS REAL]]/PLANPRODUCCION[[#This Row],[PIEZAS ACTUALIZADO]],)</f>
        <v>#DIV/0!</v>
      </c>
      <c r="AC461" s="10" t="b">
        <f>PLANPRODUCCION[[#This Row],[INGRESO PLANEADO]]&lt;PLANPRODUCCION[[#This Row],[COSTO PLANEADO]]</f>
        <v>0</v>
      </c>
      <c r="AD461" s="46" t="s">
        <v>598</v>
      </c>
      <c r="AE461" s="10"/>
      <c r="AF461" s="10" t="b">
        <f>IF(COUNTIF(PLANPRODUCCION[[#This Row],[OBSERVACIONES]],"NO APLICA BONO*")&gt;0,TRUE,FALSE)</f>
        <v>0</v>
      </c>
    </row>
    <row r="462" spans="1:32" x14ac:dyDescent="0.25">
      <c r="A462" s="46" t="str">
        <f>UPPER(IF(PLANPRODUCCION[[#This Row],[FECHA]]&lt;=45701,_xlfn.CONCAT(TEXT(B462,"MMM"),"-",IF(ROW(A462)&lt;11,"000"&amp;ROW(A462)-1,IF(ROW(A462)&lt;101,"00"&amp;ROW(A462)-1,IF(ROW(A462)&lt;1001,"0"&amp;ROW(A462)-1,ROW(A462)-1))),"-OLD"),_xlfn.CONCAT(TEXT(B462,"MMM"),"-",IF(ROW(A462)&lt;473,"000"&amp;ROW(A462)-463,IF(ROW(A462)&lt;563,"00"&amp;ROW(A462)-463,IF(ROW(A462)&lt;1001,"0"&amp;ROW(A462)-463,ROW(A462)-463))))))</f>
        <v>FEB-0461-OLD</v>
      </c>
      <c r="B462" s="1">
        <v>45701</v>
      </c>
      <c r="C462" s="5"/>
      <c r="D462" s="5"/>
      <c r="E462" t="s">
        <v>72</v>
      </c>
      <c r="F462" s="32"/>
      <c r="G462" s="32"/>
      <c r="H462" s="5">
        <v>1514</v>
      </c>
      <c r="I462" t="s">
        <v>141</v>
      </c>
      <c r="J462" t="s">
        <v>144</v>
      </c>
      <c r="K462" s="5"/>
      <c r="L462" s="10" t="s">
        <v>57</v>
      </c>
      <c r="M462" s="49">
        <v>-1</v>
      </c>
      <c r="N462" s="34">
        <f>PLANPRODUCCION[[#This Row],[PIEZAS PLANEADAS]]*PLANPRODUCCION[[#This Row],[PRECIO MAQUILAS]]</f>
        <v>0</v>
      </c>
      <c r="O462" s="5">
        <v>3</v>
      </c>
      <c r="P462" s="2">
        <v>0.66666666666666663</v>
      </c>
      <c r="Q462" s="2">
        <v>0.875</v>
      </c>
      <c r="R462" s="24">
        <v>1050</v>
      </c>
      <c r="S462" s="35">
        <f>PLANPRODUCCION[[#This Row],[PRECIO MAQUILAS]]*PLANPRODUCCION[[#This Row],[PIEZAS REAL]]</f>
        <v>-1050</v>
      </c>
      <c r="T462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62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62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462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-1050</v>
      </c>
      <c r="X462" s="8"/>
      <c r="Y46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6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6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62" s="13" t="e">
        <f>IF(PLANPRODUCCION[[#This Row],[PIEZAS REAL]]&gt;0,PLANPRODUCCION[[#This Row],[PIEZAS REAL]]/PLANPRODUCCION[[#This Row],[PIEZAS ACTUALIZADO]],)</f>
        <v>#DIV/0!</v>
      </c>
      <c r="AC462" s="10" t="b">
        <f>PLANPRODUCCION[[#This Row],[INGRESO PLANEADO]]&lt;PLANPRODUCCION[[#This Row],[COSTO PLANEADO]]</f>
        <v>0</v>
      </c>
      <c r="AD462" s="46" t="s">
        <v>599</v>
      </c>
      <c r="AE462" s="10"/>
      <c r="AF462" s="10" t="b">
        <f>IF(COUNTIF(PLANPRODUCCION[[#This Row],[OBSERVACIONES]],"NO APLICA BONO*")&gt;0,TRUE,FALSE)</f>
        <v>0</v>
      </c>
    </row>
    <row r="463" spans="1:32" x14ac:dyDescent="0.25">
      <c r="A463" s="46" t="str">
        <f>UPPER(IF(PLANPRODUCCION[[#This Row],[FECHA]]&lt;=45701,_xlfn.CONCAT(TEXT(B463,"MMM"),"-",IF(ROW(A463)&lt;11,"000"&amp;ROW(A463)-1,IF(ROW(A463)&lt;101,"00"&amp;ROW(A463)-1,IF(ROW(A463)&lt;1001,"0"&amp;ROW(A463)-1,ROW(A463)-1))),"-OLD"),_xlfn.CONCAT(TEXT(B463,"MMM"),"-",IF(ROW(A463)&lt;473,"000"&amp;ROW(A463)-463,IF(ROW(A463)&lt;563,"00"&amp;ROW(A463)-463,IF(ROW(A463)&lt;1001,"0"&amp;ROW(A463)-463,ROW(A463)-463))))))</f>
        <v>FEB-0462-OLD</v>
      </c>
      <c r="B463" s="1">
        <v>45701</v>
      </c>
      <c r="C463" s="5"/>
      <c r="D463" s="5"/>
      <c r="E463" t="s">
        <v>72</v>
      </c>
      <c r="F463" s="32"/>
      <c r="G463" s="32"/>
      <c r="H463" s="5">
        <v>1514</v>
      </c>
      <c r="I463" t="s">
        <v>141</v>
      </c>
      <c r="J463" t="s">
        <v>144</v>
      </c>
      <c r="K463" s="5"/>
      <c r="L463" s="10" t="s">
        <v>57</v>
      </c>
      <c r="M463" s="49">
        <v>-1</v>
      </c>
      <c r="N463" s="34">
        <f>PLANPRODUCCION[[#This Row],[PIEZAS PLANEADAS]]*PLANPRODUCCION[[#This Row],[PRECIO MAQUILAS]]</f>
        <v>0</v>
      </c>
      <c r="O463" s="5">
        <v>3</v>
      </c>
      <c r="P463" s="2">
        <v>0.66666666666666663</v>
      </c>
      <c r="Q463" s="2">
        <v>0.875</v>
      </c>
      <c r="R463" s="24">
        <v>1000</v>
      </c>
      <c r="S463" s="35">
        <f>PLANPRODUCCION[[#This Row],[PRECIO MAQUILAS]]*PLANPRODUCCION[[#This Row],[PIEZAS REAL]]</f>
        <v>-1000</v>
      </c>
      <c r="T463" s="5" t="e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#DIV/0!</v>
      </c>
      <c r="U463" s="33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63" s="36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463" s="37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-1000</v>
      </c>
      <c r="X463" s="8"/>
      <c r="Y46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6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6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63" s="13" t="e">
        <f>IF(PLANPRODUCCION[[#This Row],[PIEZAS REAL]]&gt;0,PLANPRODUCCION[[#This Row],[PIEZAS REAL]]/PLANPRODUCCION[[#This Row],[PIEZAS ACTUALIZADO]],)</f>
        <v>#DIV/0!</v>
      </c>
      <c r="AC463" s="10" t="b">
        <f>PLANPRODUCCION[[#This Row],[INGRESO PLANEADO]]&lt;PLANPRODUCCION[[#This Row],[COSTO PLANEADO]]</f>
        <v>0</v>
      </c>
      <c r="AD463" s="46" t="s">
        <v>600</v>
      </c>
      <c r="AE463" s="10"/>
      <c r="AF463" s="10" t="b">
        <f>IF(COUNTIF(PLANPRODUCCION[[#This Row],[OBSERVACIONES]],"NO APLICA BONO*")&gt;0,TRUE,FALSE)</f>
        <v>0</v>
      </c>
    </row>
    <row r="464" spans="1:32" x14ac:dyDescent="0.25">
      <c r="A464" s="46" t="str">
        <f>UPPER(IF(PLANPRODUCCION[[#This Row],[FECHA]]&lt;=45701,_xlfn.CONCAT(TEXT(B464,"MMM"),"-",IF(ROW(A464)&lt;11,"000"&amp;ROW(A464)-1,IF(ROW(A464)&lt;101,"00"&amp;ROW(A464)-1,IF(ROW(A464)&lt;1001,"0"&amp;ROW(A464)-1,ROW(A464)-1))),"-OLD"),_xlfn.CONCAT(TEXT(B464,"MMM"),"-",IF(ROW(A464)&lt;473,"000"&amp;ROW(A464)-463,IF(ROW(A464)&lt;563,"00"&amp;ROW(A464)-463,IF(ROW(A464)&lt;1001,"0"&amp;ROW(A464)-463,ROW(A464)-463))))))</f>
        <v>FEB-0463-OLD</v>
      </c>
      <c r="B464" s="39">
        <v>45701</v>
      </c>
      <c r="C464" s="5">
        <v>4</v>
      </c>
      <c r="D464" s="5" t="s">
        <v>601</v>
      </c>
      <c r="E464" t="s">
        <v>75</v>
      </c>
      <c r="F464" s="2">
        <v>0.875</v>
      </c>
      <c r="G464" s="2">
        <v>0.25</v>
      </c>
      <c r="H464" s="5">
        <v>1514</v>
      </c>
      <c r="I464" t="s">
        <v>141</v>
      </c>
      <c r="J464" t="s">
        <v>148</v>
      </c>
      <c r="K464" s="5">
        <v>150</v>
      </c>
      <c r="L464" s="10" t="s">
        <v>83</v>
      </c>
      <c r="M464" s="48">
        <v>-30</v>
      </c>
      <c r="N464" s="6">
        <f>PLANPRODUCCION[[#This Row],[PIEZAS PLANEADAS]]*PLANPRODUCCION[[#This Row],[PRECIO MAQUILAS]]</f>
        <v>-4500</v>
      </c>
      <c r="O464" s="5">
        <v>7</v>
      </c>
      <c r="P464" s="2">
        <v>0.875</v>
      </c>
      <c r="Q464" s="2">
        <v>0.25</v>
      </c>
      <c r="R464" s="5">
        <v>233</v>
      </c>
      <c r="S464" s="7">
        <f>PLANPRODUCCION[[#This Row],[PRECIO MAQUILAS]]*PLANPRODUCCION[[#This Row],[PIEZAS REAL]]</f>
        <v>-6990</v>
      </c>
      <c r="T46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263</v>
      </c>
      <c r="U46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3000</v>
      </c>
      <c r="V46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5250</v>
      </c>
      <c r="W46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-6990</v>
      </c>
      <c r="X464" s="8" t="s">
        <v>602</v>
      </c>
      <c r="Y46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6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6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64" s="13">
        <f>IF(PLANPRODUCCION[[#This Row],[PIEZAS REAL]]&gt;0,TRUNC(PLANPRODUCCION[[#This Row],[PIEZAS REAL]]/PLANPRODUCCION[[#This Row],[PIEZAS ACTUALIZADO]],0),)</f>
        <v>0</v>
      </c>
      <c r="AC464" t="b">
        <f>PLANPRODUCCION[[#This Row],[INGRESO PLANEADO]]&lt;PLANPRODUCCION[[#This Row],[COSTO PLANEADO]]</f>
        <v>1</v>
      </c>
      <c r="AD464" s="46" t="s">
        <v>603</v>
      </c>
      <c r="AF464" t="b">
        <f>IF(COUNTIF(PLANPRODUCCION[[#This Row],[OBSERVACIONES]],"NO APLICA BONO*")&gt;0,TRUE,FALSE)</f>
        <v>0</v>
      </c>
    </row>
    <row r="465" spans="1:32" x14ac:dyDescent="0.25">
      <c r="A465" s="46" t="str">
        <f>UPPER(IF(PLANPRODUCCION[[#This Row],[FECHA]]&lt;=45701,_xlfn.CONCAT(TEXT(B465,"MMM"),"-",IF(ROW(A465)&lt;11,"000"&amp;ROW(A465)-1,IF(ROW(A465)&lt;101,"00"&amp;ROW(A465)-1,IF(ROW(A465)&lt;1001,"0"&amp;ROW(A465)-1,ROW(A465)-1))),"-OLD"),_xlfn.CONCAT(TEXT(B465,"MMM"),"-",IF(ROW(A465)&lt;473,"000"&amp;ROW(A465)-463,IF(ROW(A465)&lt;563,"00"&amp;ROW(A465)-463,IF(ROW(A465)&lt;1001,"0"&amp;ROW(A465)-463,ROW(A465)-463))))))</f>
        <v>FEB-0464-OLD</v>
      </c>
      <c r="B465" s="39">
        <v>45701</v>
      </c>
      <c r="C465" s="5">
        <v>3</v>
      </c>
      <c r="D465" s="5">
        <v>2</v>
      </c>
      <c r="E465" t="s">
        <v>75</v>
      </c>
      <c r="F465" s="2">
        <v>0.875</v>
      </c>
      <c r="G465" s="2">
        <v>0.25</v>
      </c>
      <c r="H465" s="5">
        <v>1514</v>
      </c>
      <c r="I465" t="s">
        <v>141</v>
      </c>
      <c r="J465" t="s">
        <v>144</v>
      </c>
      <c r="K465" s="5">
        <v>1900</v>
      </c>
      <c r="L465" s="10" t="s">
        <v>57</v>
      </c>
      <c r="M465" s="48">
        <v>-1</v>
      </c>
      <c r="N465" s="6">
        <f>PLANPRODUCCION[[#This Row],[PIEZAS PLANEADAS]]*PLANPRODUCCION[[#This Row],[PRECIO MAQUILAS]]</f>
        <v>-1900</v>
      </c>
      <c r="O465" s="5">
        <v>3</v>
      </c>
      <c r="P465" s="2">
        <v>0.875</v>
      </c>
      <c r="Q465" s="2">
        <v>0.25</v>
      </c>
      <c r="R465" s="5">
        <v>1390</v>
      </c>
      <c r="S465" s="7">
        <f>PLANPRODUCCION[[#This Row],[PRECIO MAQUILAS]]*PLANPRODUCCION[[#This Row],[PIEZAS REAL]]</f>
        <v>-1390</v>
      </c>
      <c r="T46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1900</v>
      </c>
      <c r="U46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2250</v>
      </c>
      <c r="V46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2250</v>
      </c>
      <c r="W46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-2250</v>
      </c>
      <c r="X465" s="8" t="s">
        <v>602</v>
      </c>
      <c r="Y46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46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6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65" s="13">
        <f>IF(PLANPRODUCCION[[#This Row],[PIEZAS REAL]]&gt;0,PLANPRODUCCION[[#This Row],[PIEZAS REAL]]/PLANPRODUCCION[[#This Row],[PIEZAS ACTUALIZADO]],)</f>
        <v>0.73157894736842111</v>
      </c>
      <c r="AC465" t="b">
        <f>PLANPRODUCCION[[#This Row],[INGRESO PLANEADO]]&lt;PLANPRODUCCION[[#This Row],[COSTO PLANEADO]]</f>
        <v>1</v>
      </c>
      <c r="AD465" s="46" t="s">
        <v>604</v>
      </c>
      <c r="AF465" t="b">
        <f>IF(COUNTIF(PLANPRODUCCION[[#This Row],[OBSERVACIONES]],"NO APLICA BONO*")&gt;0,TRUE,FALSE)</f>
        <v>0</v>
      </c>
    </row>
    <row r="466" spans="1:32" x14ac:dyDescent="0.25">
      <c r="A466" s="46" t="str">
        <f>UPPER(IF(PLANPRODUCCION[[#This Row],[FECHA]]&lt;=45701,_xlfn.CONCAT(TEXT(B466,"MMM"),"-",IF(ROW(A466)&lt;11,"000"&amp;ROW(A466)-1,IF(ROW(A466)&lt;101,"00"&amp;ROW(A466)-1,IF(ROW(A466)&lt;1001,"0"&amp;ROW(A466)-1,ROW(A466)-1))),"-OLD"),_xlfn.CONCAT(TEXT(B466,"MMM"),"-",IF(ROW(A466)&lt;473,"000"&amp;ROW(A466)-463,IF(ROW(A466)&lt;563,"00"&amp;ROW(A466)-463,IF(ROW(A466)&lt;1001,"0"&amp;ROW(A466)-463,ROW(A466)-463))))))</f>
        <v>FEB-0003</v>
      </c>
      <c r="B466" s="39">
        <v>45702</v>
      </c>
      <c r="C466" s="5">
        <v>1</v>
      </c>
      <c r="D466" s="5">
        <v>1</v>
      </c>
      <c r="E466" t="s">
        <v>54</v>
      </c>
      <c r="F466" s="2">
        <v>0.25</v>
      </c>
      <c r="G466" s="2">
        <v>0.66666666666666663</v>
      </c>
      <c r="H466" s="5">
        <v>1568</v>
      </c>
      <c r="I466" t="s">
        <v>589</v>
      </c>
      <c r="J466" t="s">
        <v>68</v>
      </c>
      <c r="K466" s="5">
        <v>3000</v>
      </c>
      <c r="L466" s="5" t="s">
        <v>65</v>
      </c>
      <c r="M466" s="48">
        <v>1.2</v>
      </c>
      <c r="N466" s="6">
        <f>PLANPRODUCCION[[#This Row],[PIEZAS PLANEADAS]]*PLANPRODUCCION[[#This Row],[PRECIO MAQUILAS]]</f>
        <v>3600</v>
      </c>
      <c r="O466" s="5">
        <v>1</v>
      </c>
      <c r="P466" s="2">
        <v>0.25</v>
      </c>
      <c r="Q466" s="2">
        <v>0.54166666666666663</v>
      </c>
      <c r="R466" s="5">
        <v>2472</v>
      </c>
      <c r="S466" s="7">
        <f>PLANPRODUCCION[[#This Row],[PRECIO MAQUILAS]]*PLANPRODUCCION[[#This Row],[PIEZAS REAL]]</f>
        <v>2966.4</v>
      </c>
      <c r="T46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2100</v>
      </c>
      <c r="U46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46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434</v>
      </c>
      <c r="W46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2532.4</v>
      </c>
      <c r="X466" s="8" t="s">
        <v>602</v>
      </c>
      <c r="Y466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46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6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66" s="13">
        <f>IF(PLANPRODUCCION[[#This Row],[PIEZAS REAL]]&gt;0,PLANPRODUCCION[[#This Row],[PIEZAS REAL]]/PLANPRODUCCION[[#This Row],[PIEZAS ACTUALIZADO]],)</f>
        <v>1.177142857142857</v>
      </c>
      <c r="AC466" t="b">
        <f>PLANPRODUCCION[[#This Row],[INGRESO PLANEADO]]&lt;PLANPRODUCCION[[#This Row],[COSTO PLANEADO]]</f>
        <v>0</v>
      </c>
      <c r="AD466" s="46" t="s">
        <v>605</v>
      </c>
      <c r="AF466" t="b">
        <f>IF(COUNTIF(PLANPRODUCCION[[#This Row],[OBSERVACIONES]],"NO APLICA BONO*")&gt;0,TRUE,FALSE)</f>
        <v>0</v>
      </c>
    </row>
    <row r="467" spans="1:32" x14ac:dyDescent="0.25">
      <c r="A467" s="46" t="str">
        <f>UPPER(IF(PLANPRODUCCION[[#This Row],[FECHA]]&lt;=45701,_xlfn.CONCAT(TEXT(B467,"MMM"),"-",IF(ROW(A467)&lt;11,"000"&amp;ROW(A467)-1,IF(ROW(A467)&lt;101,"00"&amp;ROW(A467)-1,IF(ROW(A467)&lt;1001,"0"&amp;ROW(A467)-1,ROW(A467)-1))),"-OLD"),_xlfn.CONCAT(TEXT(B467,"MMM"),"-",IF(ROW(A467)&lt;473,"000"&amp;ROW(A467)-463,IF(ROW(A467)&lt;563,"00"&amp;ROW(A467)-463,IF(ROW(A467)&lt;1001,"0"&amp;ROW(A467)-463,ROW(A467)-463))))))</f>
        <v>FEB-0004</v>
      </c>
      <c r="B467" s="39">
        <v>45702</v>
      </c>
      <c r="C467" s="5">
        <v>1</v>
      </c>
      <c r="D467" s="5">
        <v>1</v>
      </c>
      <c r="E467" t="s">
        <v>54</v>
      </c>
      <c r="F467" s="2">
        <v>0.54166666666666663</v>
      </c>
      <c r="G467" s="2">
        <v>0.66666666666666663</v>
      </c>
      <c r="H467" s="5">
        <v>1572</v>
      </c>
      <c r="I467" t="s">
        <v>573</v>
      </c>
      <c r="J467" t="s">
        <v>574</v>
      </c>
      <c r="K467" s="5">
        <v>300</v>
      </c>
      <c r="L467" s="5" t="s">
        <v>57</v>
      </c>
      <c r="M467" s="48">
        <v>2.06</v>
      </c>
      <c r="N467" s="6">
        <f>PLANPRODUCCION[[#This Row],[PIEZAS PLANEADAS]]*PLANPRODUCCION[[#This Row],[PRECIO MAQUILAS]]</f>
        <v>618</v>
      </c>
      <c r="O467" s="5">
        <v>1</v>
      </c>
      <c r="P467" s="2">
        <v>0.54166666666666663</v>
      </c>
      <c r="Q467" s="2">
        <v>0.66666666666666663</v>
      </c>
      <c r="R467" s="5">
        <v>115</v>
      </c>
      <c r="S467" s="7">
        <f>PLANPRODUCCION[[#This Row],[PRECIO MAQUILAS]]*PLANPRODUCCION[[#This Row],[PIEZAS REAL]]</f>
        <v>236.9</v>
      </c>
      <c r="T46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300</v>
      </c>
      <c r="U46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</v>
      </c>
      <c r="V46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</v>
      </c>
      <c r="W46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50.900000000000006</v>
      </c>
      <c r="X467" s="8" t="s">
        <v>606</v>
      </c>
      <c r="Y46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6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6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67" s="13">
        <f>IF(PLANPRODUCCION[[#This Row],[PIEZAS REAL]]&gt;0,PLANPRODUCCION[[#This Row],[PIEZAS REAL]]/PLANPRODUCCION[[#This Row],[PIEZAS ACTUALIZADO]],)</f>
        <v>0.38333333333333336</v>
      </c>
      <c r="AC467" t="b">
        <f>PLANPRODUCCION[[#This Row],[INGRESO PLANEADO]]&lt;PLANPRODUCCION[[#This Row],[COSTO PLANEADO]]</f>
        <v>0</v>
      </c>
      <c r="AD467" s="46" t="s">
        <v>607</v>
      </c>
      <c r="AF467" t="b">
        <f>IF(COUNTIF(PLANPRODUCCION[[#This Row],[OBSERVACIONES]],"NO APLICA BONO*")&gt;0,TRUE,FALSE)</f>
        <v>0</v>
      </c>
    </row>
    <row r="468" spans="1:32" x14ac:dyDescent="0.25">
      <c r="A468" s="46" t="str">
        <f>UPPER(IF(PLANPRODUCCION[[#This Row],[FECHA]]&lt;=45701,_xlfn.CONCAT(TEXT(B468,"MMM"),"-",IF(ROW(A468)&lt;11,"000"&amp;ROW(A468)-1,IF(ROW(A468)&lt;101,"00"&amp;ROW(A468)-1,IF(ROW(A468)&lt;1001,"0"&amp;ROW(A468)-1,ROW(A468)-1))),"-OLD"),_xlfn.CONCAT(TEXT(B468,"MMM"),"-",IF(ROW(A468)&lt;473,"000"&amp;ROW(A468)-463,IF(ROW(A468)&lt;563,"00"&amp;ROW(A468)-463,IF(ROW(A468)&lt;1001,"0"&amp;ROW(A468)-463,ROW(A468)-463))))))</f>
        <v>FEB-0005</v>
      </c>
      <c r="B468" s="39">
        <v>45702</v>
      </c>
      <c r="C468" s="5">
        <v>6</v>
      </c>
      <c r="D468" s="5">
        <v>2</v>
      </c>
      <c r="E468" t="s">
        <v>54</v>
      </c>
      <c r="F468" s="2">
        <v>0.25</v>
      </c>
      <c r="G468" s="2">
        <v>0.66666666666666663</v>
      </c>
      <c r="H468" s="5">
        <v>1514</v>
      </c>
      <c r="I468" t="s">
        <v>141</v>
      </c>
      <c r="J468" t="s">
        <v>148</v>
      </c>
      <c r="K468" s="5">
        <v>250</v>
      </c>
      <c r="L468" s="10" t="s">
        <v>83</v>
      </c>
      <c r="M468" s="49">
        <v>-30</v>
      </c>
      <c r="N468" s="6">
        <f>PLANPRODUCCION[[#This Row],[PIEZAS PLANEADAS]]*PLANPRODUCCION[[#This Row],[PRECIO MAQUILAS]]</f>
        <v>-7500</v>
      </c>
      <c r="O468" s="5">
        <v>5</v>
      </c>
      <c r="P468" s="2">
        <v>0.25</v>
      </c>
      <c r="Q468" s="2">
        <v>0.66666666666666663</v>
      </c>
      <c r="R468" s="5">
        <v>179</v>
      </c>
      <c r="S468" s="7">
        <f>PLANPRODUCCION[[#This Row],[PRECIO MAQUILAS]]*PLANPRODUCCION[[#This Row],[PIEZAS REAL]]</f>
        <v>-5370</v>
      </c>
      <c r="T46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209</v>
      </c>
      <c r="U46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3720</v>
      </c>
      <c r="V46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46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-5370</v>
      </c>
      <c r="X468" s="8" t="s">
        <v>602</v>
      </c>
      <c r="Y46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6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6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68" s="13">
        <f>IF(PLANPRODUCCION[[#This Row],[PIEZAS REAL]]&gt;0,PLANPRODUCCION[[#This Row],[PIEZAS REAL]]/PLANPRODUCCION[[#This Row],[PIEZAS ACTUALIZADO]],)</f>
        <v>0.8564593301435407</v>
      </c>
      <c r="AC468" t="b">
        <f>PLANPRODUCCION[[#This Row],[INGRESO PLANEADO]]&lt;PLANPRODUCCION[[#This Row],[COSTO PLANEADO]]</f>
        <v>1</v>
      </c>
      <c r="AD468" s="46" t="s">
        <v>608</v>
      </c>
      <c r="AF468" t="b">
        <f>IF(COUNTIF(PLANPRODUCCION[[#This Row],[OBSERVACIONES]],"NO APLICA BONO*")&gt;0,TRUE,FALSE)</f>
        <v>0</v>
      </c>
    </row>
    <row r="469" spans="1:32" x14ac:dyDescent="0.25">
      <c r="A469" s="46" t="str">
        <f>UPPER(IF(PLANPRODUCCION[[#This Row],[FECHA]]&lt;=45701,_xlfn.CONCAT(TEXT(B469,"MMM"),"-",IF(ROW(A469)&lt;11,"000"&amp;ROW(A469)-1,IF(ROW(A469)&lt;101,"00"&amp;ROW(A469)-1,IF(ROW(A469)&lt;1001,"0"&amp;ROW(A469)-1,ROW(A469)-1))),"-OLD"),_xlfn.CONCAT(TEXT(B469,"MMM"),"-",IF(ROW(A469)&lt;473,"000"&amp;ROW(A469)-463,IF(ROW(A469)&lt;563,"00"&amp;ROW(A469)-463,IF(ROW(A469)&lt;1001,"0"&amp;ROW(A469)-463,ROW(A469)-463))))))</f>
        <v>FEB-0006</v>
      </c>
      <c r="B469" s="39">
        <v>45702</v>
      </c>
      <c r="C469" s="5">
        <v>2</v>
      </c>
      <c r="D469" s="5">
        <v>3</v>
      </c>
      <c r="E469" t="s">
        <v>54</v>
      </c>
      <c r="F469" s="2">
        <v>0.25</v>
      </c>
      <c r="G469" s="2">
        <v>0.66666666666666663</v>
      </c>
      <c r="H469" s="5">
        <v>1514</v>
      </c>
      <c r="I469" t="s">
        <v>141</v>
      </c>
      <c r="J469" t="s">
        <v>144</v>
      </c>
      <c r="K469" s="5">
        <v>1400</v>
      </c>
      <c r="L469" s="10" t="s">
        <v>57</v>
      </c>
      <c r="M469" s="49">
        <v>-1</v>
      </c>
      <c r="N469" s="6">
        <f>PLANPRODUCCION[[#This Row],[PIEZAS PLANEADAS]]*PLANPRODUCCION[[#This Row],[PRECIO MAQUILAS]]</f>
        <v>-1400</v>
      </c>
      <c r="O469" s="5">
        <v>3</v>
      </c>
      <c r="P469" s="2">
        <v>0.25</v>
      </c>
      <c r="Q469" s="2">
        <v>0.66666666666666663</v>
      </c>
      <c r="R469" s="5">
        <v>1306</v>
      </c>
      <c r="S469" s="7">
        <f>PLANPRODUCCION[[#This Row],[PRECIO MAQUILAS]]*PLANPRODUCCION[[#This Row],[PIEZAS REAL]]</f>
        <v>-1306</v>
      </c>
      <c r="T46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2100</v>
      </c>
      <c r="U46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46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46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-1860</v>
      </c>
      <c r="X469" s="8" t="s">
        <v>602</v>
      </c>
      <c r="Y46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6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6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69" s="13">
        <f>IF(PLANPRODUCCION[[#This Row],[PIEZAS REAL]]&gt;0,PLANPRODUCCION[[#This Row],[PIEZAS REAL]]/PLANPRODUCCION[[#This Row],[PIEZAS ACTUALIZADO]],)</f>
        <v>0.62190476190476196</v>
      </c>
      <c r="AC469" t="b">
        <f>PLANPRODUCCION[[#This Row],[INGRESO PLANEADO]]&lt;PLANPRODUCCION[[#This Row],[COSTO PLANEADO]]</f>
        <v>1</v>
      </c>
      <c r="AD469" s="46" t="s">
        <v>609</v>
      </c>
      <c r="AF469" t="b">
        <f>IF(COUNTIF(PLANPRODUCCION[[#This Row],[OBSERVACIONES]],"NO APLICA BONO*")&gt;0,TRUE,FALSE)</f>
        <v>0</v>
      </c>
    </row>
    <row r="470" spans="1:32" x14ac:dyDescent="0.25">
      <c r="A470" s="46" t="str">
        <f>UPPER(IF(PLANPRODUCCION[[#This Row],[FECHA]]&lt;=45701,_xlfn.CONCAT(TEXT(B470,"MMM"),"-",IF(ROW(A470)&lt;11,"000"&amp;ROW(A470)-1,IF(ROW(A470)&lt;101,"00"&amp;ROW(A470)-1,IF(ROW(A470)&lt;1001,"0"&amp;ROW(A470)-1,ROW(A470)-1))),"-OLD"),_xlfn.CONCAT(TEXT(B470,"MMM"),"-",IF(ROW(A470)&lt;473,"000"&amp;ROW(A470)-463,IF(ROW(A470)&lt;563,"00"&amp;ROW(A470)-463,IF(ROW(A470)&lt;1001,"0"&amp;ROW(A470)-463,ROW(A470)-463))))))</f>
        <v>FEB-0007</v>
      </c>
      <c r="B470" s="39">
        <v>45702</v>
      </c>
      <c r="C470" s="5">
        <v>3</v>
      </c>
      <c r="D470" s="5">
        <v>4</v>
      </c>
      <c r="E470" t="s">
        <v>54</v>
      </c>
      <c r="F470" s="2">
        <v>0.25</v>
      </c>
      <c r="G470" s="2">
        <v>0.66666666666666663</v>
      </c>
      <c r="H470" s="5">
        <v>1577</v>
      </c>
      <c r="I470" t="s">
        <v>592</v>
      </c>
      <c r="J470" t="s">
        <v>68</v>
      </c>
      <c r="K470" s="5">
        <v>3000</v>
      </c>
      <c r="L470" s="5" t="s">
        <v>57</v>
      </c>
      <c r="M470" s="49">
        <v>1.2</v>
      </c>
      <c r="N470" s="6">
        <f>PLANPRODUCCION[[#This Row],[PIEZAS PLANEADAS]]*PLANPRODUCCION[[#This Row],[PRECIO MAQUILAS]]</f>
        <v>3600</v>
      </c>
      <c r="O470" s="5">
        <v>2</v>
      </c>
      <c r="P470" s="2">
        <v>0.25</v>
      </c>
      <c r="Q470" s="2">
        <v>0.3888888888888889</v>
      </c>
      <c r="R470" s="5">
        <v>550</v>
      </c>
      <c r="S470" s="7">
        <f>PLANPRODUCCION[[#This Row],[PRECIO MAQUILAS]]*PLANPRODUCCION[[#This Row],[PIEZAS REAL]]</f>
        <v>660</v>
      </c>
      <c r="T47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667</v>
      </c>
      <c r="U47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47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413.33333333333331</v>
      </c>
      <c r="W47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246.66666666666669</v>
      </c>
      <c r="X470" s="8" t="s">
        <v>602</v>
      </c>
      <c r="Y47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7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7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70" s="13">
        <f>IF(PLANPRODUCCION[[#This Row],[PIEZAS REAL]]&gt;0,PLANPRODUCCION[[#This Row],[PIEZAS REAL]]/PLANPRODUCCION[[#This Row],[PIEZAS ACTUALIZADO]],)</f>
        <v>0.82458770614692656</v>
      </c>
      <c r="AC470" t="b">
        <f>PLANPRODUCCION[[#This Row],[INGRESO PLANEADO]]&lt;PLANPRODUCCION[[#This Row],[COSTO PLANEADO]]</f>
        <v>0</v>
      </c>
      <c r="AD470" s="46" t="s">
        <v>610</v>
      </c>
      <c r="AF470" t="b">
        <f>IF(COUNTIF(PLANPRODUCCION[[#This Row],[OBSERVACIONES]],"NO APLICA BONO*")&gt;0,TRUE,FALSE)</f>
        <v>0</v>
      </c>
    </row>
    <row r="471" spans="1:32" x14ac:dyDescent="0.25">
      <c r="A471" s="46" t="str">
        <f>UPPER(IF(PLANPRODUCCION[[#This Row],[FECHA]]&lt;=45701,_xlfn.CONCAT(TEXT(B471,"MMM"),"-",IF(ROW(A471)&lt;11,"000"&amp;ROW(A471)-1,IF(ROW(A471)&lt;101,"00"&amp;ROW(A471)-1,IF(ROW(A471)&lt;1001,"0"&amp;ROW(A471)-1,ROW(A471)-1))),"-OLD"),_xlfn.CONCAT(TEXT(B471,"MMM"),"-",IF(ROW(A471)&lt;473,"000"&amp;ROW(A471)-463,IF(ROW(A471)&lt;563,"00"&amp;ROW(A471)-463,IF(ROW(A471)&lt;1001,"0"&amp;ROW(A471)-463,ROW(A471)-463))))))</f>
        <v>FEB-0008</v>
      </c>
      <c r="B471" s="39">
        <v>45702</v>
      </c>
      <c r="C471" s="5">
        <v>2</v>
      </c>
      <c r="D471" s="5">
        <v>4</v>
      </c>
      <c r="E471" t="s">
        <v>54</v>
      </c>
      <c r="F471" s="2">
        <v>0.3888888888888889</v>
      </c>
      <c r="G471" s="2">
        <v>0.66666666666666663</v>
      </c>
      <c r="H471" s="5">
        <v>1572</v>
      </c>
      <c r="I471" t="s">
        <v>573</v>
      </c>
      <c r="J471" t="s">
        <v>574</v>
      </c>
      <c r="K471" s="5">
        <v>1400</v>
      </c>
      <c r="L471" s="5" t="s">
        <v>57</v>
      </c>
      <c r="M471" s="49">
        <v>2.06</v>
      </c>
      <c r="N471" s="6">
        <f>PLANPRODUCCION[[#This Row],[PIEZAS PLANEADAS]]*PLANPRODUCCION[[#This Row],[PRECIO MAQUILAS]]</f>
        <v>2884</v>
      </c>
      <c r="O471" s="5">
        <v>2</v>
      </c>
      <c r="P471" s="2">
        <v>0.3888888888888889</v>
      </c>
      <c r="Q471" s="2">
        <v>0.66666666666666663</v>
      </c>
      <c r="R471" s="5">
        <v>765</v>
      </c>
      <c r="S471" s="7">
        <f>PLANPRODUCCION[[#This Row],[PRECIO MAQUILAS]]*PLANPRODUCCION[[#This Row],[PIEZAS REAL]]</f>
        <v>1575.9</v>
      </c>
      <c r="T47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1400</v>
      </c>
      <c r="U47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826.66666666666663</v>
      </c>
      <c r="V47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826.66666666666663</v>
      </c>
      <c r="W47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749.23333333333346</v>
      </c>
      <c r="X471" s="8" t="s">
        <v>606</v>
      </c>
      <c r="Y47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7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7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71" s="13">
        <f>IF(PLANPRODUCCION[[#This Row],[PIEZAS REAL]]&gt;0,PLANPRODUCCION[[#This Row],[PIEZAS REAL]]/PLANPRODUCCION[[#This Row],[PIEZAS ACTUALIZADO]],)</f>
        <v>0.54642857142857137</v>
      </c>
      <c r="AC471" t="b">
        <f>PLANPRODUCCION[[#This Row],[INGRESO PLANEADO]]&lt;PLANPRODUCCION[[#This Row],[COSTO PLANEADO]]</f>
        <v>0</v>
      </c>
      <c r="AD471" s="46" t="s">
        <v>611</v>
      </c>
      <c r="AF471" t="b">
        <f>IF(COUNTIF(PLANPRODUCCION[[#This Row],[OBSERVACIONES]],"NO APLICA BONO*")&gt;0,TRUE,FALSE)</f>
        <v>0</v>
      </c>
    </row>
    <row r="472" spans="1:32" x14ac:dyDescent="0.25">
      <c r="A472" s="46" t="str">
        <f>UPPER(IF(PLANPRODUCCION[[#This Row],[FECHA]]&lt;=45701,_xlfn.CONCAT(TEXT(B472,"MMM"),"-",IF(ROW(A472)&lt;11,"000"&amp;ROW(A472)-1,IF(ROW(A472)&lt;101,"00"&amp;ROW(A472)-1,IF(ROW(A472)&lt;1001,"0"&amp;ROW(A472)-1,ROW(A472)-1))),"-OLD"),_xlfn.CONCAT(TEXT(B472,"MMM"),"-",IF(ROW(A472)&lt;473,"000"&amp;ROW(A472)-463,IF(ROW(A472)&lt;563,"00"&amp;ROW(A472)-463,IF(ROW(A472)&lt;1001,"0"&amp;ROW(A472)-463,ROW(A472)-463))))))</f>
        <v>FEB-0009</v>
      </c>
      <c r="B472" s="39">
        <v>45702</v>
      </c>
      <c r="C472" s="5">
        <v>3</v>
      </c>
      <c r="D472" s="5">
        <v>5</v>
      </c>
      <c r="E472" t="s">
        <v>54</v>
      </c>
      <c r="F472" s="2">
        <v>0.25</v>
      </c>
      <c r="G472" s="2">
        <v>0.66666666666666663</v>
      </c>
      <c r="H472" s="5">
        <v>1572</v>
      </c>
      <c r="I472" t="s">
        <v>573</v>
      </c>
      <c r="J472" t="s">
        <v>574</v>
      </c>
      <c r="K472" s="5">
        <v>3000</v>
      </c>
      <c r="L472" s="5" t="s">
        <v>57</v>
      </c>
      <c r="M472" s="49">
        <v>2.06</v>
      </c>
      <c r="N472" s="6">
        <f>PLANPRODUCCION[[#This Row],[PIEZAS PLANEADAS]]*PLANPRODUCCION[[#This Row],[PRECIO MAQUILAS]]</f>
        <v>6180</v>
      </c>
      <c r="O472" s="5">
        <v>2</v>
      </c>
      <c r="P472" s="2">
        <v>0.25</v>
      </c>
      <c r="Q472" s="2">
        <v>0.66666666666666663</v>
      </c>
      <c r="R472" s="5">
        <v>1650</v>
      </c>
      <c r="S472" s="7">
        <f>PLANPRODUCCION[[#This Row],[PRECIO MAQUILAS]]*PLANPRODUCCION[[#This Row],[PIEZAS REAL]]</f>
        <v>3399</v>
      </c>
      <c r="T47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2000</v>
      </c>
      <c r="U47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47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47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2159</v>
      </c>
      <c r="X472" s="8" t="s">
        <v>602</v>
      </c>
      <c r="Y47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7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7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72" s="13">
        <f>IF(PLANPRODUCCION[[#This Row],[PIEZAS REAL]]&gt;0,PLANPRODUCCION[[#This Row],[PIEZAS REAL]]/PLANPRODUCCION[[#This Row],[PIEZAS ACTUALIZADO]],)</f>
        <v>0.82499999999999996</v>
      </c>
      <c r="AC472" t="b">
        <f>PLANPRODUCCION[[#This Row],[INGRESO PLANEADO]]&lt;PLANPRODUCCION[[#This Row],[COSTO PLANEADO]]</f>
        <v>0</v>
      </c>
      <c r="AD472" s="46" t="s">
        <v>612</v>
      </c>
      <c r="AF472" t="b">
        <f>IF(COUNTIF(PLANPRODUCCION[[#This Row],[OBSERVACIONES]],"NO APLICA BONO*")&gt;0,TRUE,FALSE)</f>
        <v>0</v>
      </c>
    </row>
    <row r="473" spans="1:32" x14ac:dyDescent="0.25">
      <c r="A473" s="46" t="str">
        <f>UPPER(IF(PLANPRODUCCION[[#This Row],[FECHA]]&lt;=45701,_xlfn.CONCAT(TEXT(B473,"MMM"),"-",IF(ROW(A473)&lt;11,"000"&amp;ROW(A473)-1,IF(ROW(A473)&lt;101,"00"&amp;ROW(A473)-1,IF(ROW(A473)&lt;1001,"0"&amp;ROW(A473)-1,ROW(A473)-1))),"-OLD"),_xlfn.CONCAT(TEXT(B473,"MMM"),"-",IF(ROW(A473)&lt;473,"000"&amp;ROW(A473)-463,IF(ROW(A473)&lt;563,"00"&amp;ROW(A473)-463,IF(ROW(A473)&lt;1001,"0"&amp;ROW(A473)-463,ROW(A473)-463))))))</f>
        <v>FEB-0010</v>
      </c>
      <c r="B473" s="39">
        <v>45702</v>
      </c>
      <c r="C473" s="5">
        <v>3</v>
      </c>
      <c r="D473" s="5">
        <v>6</v>
      </c>
      <c r="E473" t="s">
        <v>54</v>
      </c>
      <c r="F473" s="2">
        <v>0.25</v>
      </c>
      <c r="G473" s="2">
        <v>0.66666666666666663</v>
      </c>
      <c r="H473" s="5">
        <v>1572</v>
      </c>
      <c r="I473" t="s">
        <v>573</v>
      </c>
      <c r="J473" t="s">
        <v>574</v>
      </c>
      <c r="K473" s="5">
        <v>3000</v>
      </c>
      <c r="L473" s="5" t="s">
        <v>57</v>
      </c>
      <c r="M473" s="49">
        <v>2.06</v>
      </c>
      <c r="N473" s="6">
        <f>PLANPRODUCCION[[#This Row],[PIEZAS PLANEADAS]]*PLANPRODUCCION[[#This Row],[PRECIO MAQUILAS]]</f>
        <v>6180</v>
      </c>
      <c r="O473" s="5">
        <v>3</v>
      </c>
      <c r="P473" s="2">
        <v>0.25</v>
      </c>
      <c r="Q473" s="2">
        <v>0.66666666666666663</v>
      </c>
      <c r="R473" s="5">
        <v>2200</v>
      </c>
      <c r="S473" s="7">
        <f>PLANPRODUCCION[[#This Row],[PRECIO MAQUILAS]]*PLANPRODUCCION[[#This Row],[PIEZAS REAL]]</f>
        <v>4532</v>
      </c>
      <c r="T47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3000</v>
      </c>
      <c r="U47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47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47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2672</v>
      </c>
      <c r="X473" s="8" t="s">
        <v>602</v>
      </c>
      <c r="Y47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47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7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73" s="13">
        <f>IF(PLANPRODUCCION[[#This Row],[PIEZAS REAL]]&gt;0,PLANPRODUCCION[[#This Row],[PIEZAS REAL]]/PLANPRODUCCION[[#This Row],[PIEZAS ACTUALIZADO]],)</f>
        <v>0.73333333333333328</v>
      </c>
      <c r="AC473" t="b">
        <f>PLANPRODUCCION[[#This Row],[INGRESO PLANEADO]]&lt;PLANPRODUCCION[[#This Row],[COSTO PLANEADO]]</f>
        <v>0</v>
      </c>
      <c r="AD473" s="46" t="s">
        <v>613</v>
      </c>
      <c r="AF473" t="b">
        <f>IF(COUNTIF(PLANPRODUCCION[[#This Row],[OBSERVACIONES]],"NO APLICA BONO*")&gt;0,TRUE,FALSE)</f>
        <v>0</v>
      </c>
    </row>
    <row r="474" spans="1:32" x14ac:dyDescent="0.25">
      <c r="A474" s="46" t="str">
        <f>UPPER(IF(PLANPRODUCCION[[#This Row],[FECHA]]&lt;=45701,_xlfn.CONCAT(TEXT(B474,"MMM"),"-",IF(ROW(A474)&lt;11,"000"&amp;ROW(A474)-1,IF(ROW(A474)&lt;101,"00"&amp;ROW(A474)-1,IF(ROW(A474)&lt;1001,"0"&amp;ROW(A474)-1,ROW(A474)-1))),"-OLD"),_xlfn.CONCAT(TEXT(B474,"MMM"),"-",IF(ROW(A474)&lt;473,"000"&amp;ROW(A474)-463,IF(ROW(A474)&lt;563,"00"&amp;ROW(A474)-463,IF(ROW(A474)&lt;1001,"0"&amp;ROW(A474)-463,ROW(A474)-463))))))</f>
        <v>FEB-0011</v>
      </c>
      <c r="B474" s="39">
        <v>45702</v>
      </c>
      <c r="C474" s="5">
        <v>3</v>
      </c>
      <c r="D474" s="5">
        <v>7</v>
      </c>
      <c r="E474" t="s">
        <v>67</v>
      </c>
      <c r="F474" s="2">
        <v>0.33333333333333331</v>
      </c>
      <c r="G474" s="2">
        <v>0.75</v>
      </c>
      <c r="H474" s="5">
        <v>1572</v>
      </c>
      <c r="I474" t="s">
        <v>573</v>
      </c>
      <c r="J474" t="s">
        <v>574</v>
      </c>
      <c r="K474" s="5">
        <v>2400</v>
      </c>
      <c r="L474" s="5" t="s">
        <v>57</v>
      </c>
      <c r="M474" s="49">
        <v>2.06</v>
      </c>
      <c r="N474" s="6">
        <f>PLANPRODUCCION[[#This Row],[PIEZAS PLANEADAS]]*PLANPRODUCCION[[#This Row],[PRECIO MAQUILAS]]</f>
        <v>4944</v>
      </c>
      <c r="O474" s="5">
        <v>3</v>
      </c>
      <c r="P474" s="2">
        <v>0.33333333333333331</v>
      </c>
      <c r="Q474" s="2">
        <v>0.66666666666666663</v>
      </c>
      <c r="R474" s="5">
        <v>1861</v>
      </c>
      <c r="S474" s="7">
        <f>PLANPRODUCCION[[#This Row],[PRECIO MAQUILAS]]*PLANPRODUCCION[[#This Row],[PIEZAS REAL]]</f>
        <v>3833.6600000000003</v>
      </c>
      <c r="T47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1920</v>
      </c>
      <c r="U47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47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47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2345.6600000000003</v>
      </c>
      <c r="X474" s="8" t="s">
        <v>602</v>
      </c>
      <c r="Y47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47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7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74" s="13">
        <f>IF(PLANPRODUCCION[[#This Row],[PIEZAS REAL]]&gt;0,PLANPRODUCCION[[#This Row],[PIEZAS REAL]]/PLANPRODUCCION[[#This Row],[PIEZAS ACTUALIZADO]],)</f>
        <v>0.9692708333333333</v>
      </c>
      <c r="AC474" t="b">
        <f>PLANPRODUCCION[[#This Row],[INGRESO PLANEADO]]&lt;PLANPRODUCCION[[#This Row],[COSTO PLANEADO]]</f>
        <v>0</v>
      </c>
      <c r="AD474" s="46" t="s">
        <v>614</v>
      </c>
      <c r="AF474" t="b">
        <f>IF(COUNTIF(PLANPRODUCCION[[#This Row],[OBSERVACIONES]],"NO APLICA BONO*")&gt;0,TRUE,FALSE)</f>
        <v>0</v>
      </c>
    </row>
    <row r="475" spans="1:32" x14ac:dyDescent="0.25">
      <c r="A475" s="46" t="str">
        <f>UPPER(IF(PLANPRODUCCION[[#This Row],[FECHA]]&lt;=45701,_xlfn.CONCAT(TEXT(B475,"MMM"),"-",IF(ROW(A475)&lt;11,"000"&amp;ROW(A475)-1,IF(ROW(A475)&lt;101,"00"&amp;ROW(A475)-1,IF(ROW(A475)&lt;1001,"0"&amp;ROW(A475)-1,ROW(A475)-1))),"-OLD"),_xlfn.CONCAT(TEXT(B475,"MMM"),"-",IF(ROW(A475)&lt;473,"000"&amp;ROW(A475)-463,IF(ROW(A475)&lt;563,"00"&amp;ROW(A475)-463,IF(ROW(A475)&lt;1001,"0"&amp;ROW(A475)-463,ROW(A475)-463))))))</f>
        <v>FEB-0012</v>
      </c>
      <c r="B475" s="39">
        <v>45702</v>
      </c>
      <c r="C475" s="5">
        <v>3</v>
      </c>
      <c r="D475" s="5">
        <v>7</v>
      </c>
      <c r="E475" t="s">
        <v>67</v>
      </c>
      <c r="F475" s="2">
        <v>0.66666666666666663</v>
      </c>
      <c r="G475" s="2">
        <v>0.75</v>
      </c>
      <c r="H475" s="5">
        <v>1577</v>
      </c>
      <c r="I475" t="s">
        <v>592</v>
      </c>
      <c r="J475" t="s">
        <v>68</v>
      </c>
      <c r="K475" s="5">
        <v>500</v>
      </c>
      <c r="L475" s="5" t="s">
        <v>57</v>
      </c>
      <c r="M475" s="49">
        <v>1.2</v>
      </c>
      <c r="N475" s="6">
        <f>PLANPRODUCCION[[#This Row],[PIEZAS PLANEADAS]]*PLANPRODUCCION[[#This Row],[PRECIO MAQUILAS]]</f>
        <v>600</v>
      </c>
      <c r="O475" s="5">
        <v>3</v>
      </c>
      <c r="P475" s="2">
        <v>0.6875</v>
      </c>
      <c r="Q475" s="2">
        <v>0.75</v>
      </c>
      <c r="R475" s="5">
        <v>135</v>
      </c>
      <c r="S475" s="7">
        <f>PLANPRODUCCION[[#This Row],[PRECIO MAQUILAS]]*PLANPRODUCCION[[#This Row],[PIEZAS REAL]]</f>
        <v>162</v>
      </c>
      <c r="T47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375</v>
      </c>
      <c r="U47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</v>
      </c>
      <c r="V47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</v>
      </c>
      <c r="W47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-117</v>
      </c>
      <c r="X475" s="8" t="s">
        <v>606</v>
      </c>
      <c r="Y47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7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7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75" s="13">
        <f>IF(PLANPRODUCCION[[#This Row],[PIEZAS REAL]]&gt;0,PLANPRODUCCION[[#This Row],[PIEZAS REAL]]/PLANPRODUCCION[[#This Row],[PIEZAS ACTUALIZADO]],)</f>
        <v>0.36</v>
      </c>
      <c r="AC475" t="b">
        <f>PLANPRODUCCION[[#This Row],[INGRESO PLANEADO]]&lt;PLANPRODUCCION[[#This Row],[COSTO PLANEADO]]</f>
        <v>0</v>
      </c>
      <c r="AD475" s="46" t="s">
        <v>615</v>
      </c>
      <c r="AF475" t="b">
        <f>IF(COUNTIF(PLANPRODUCCION[[#This Row],[OBSERVACIONES]],"NO APLICA BONO*")&gt;0,TRUE,FALSE)</f>
        <v>0</v>
      </c>
    </row>
    <row r="476" spans="1:32" x14ac:dyDescent="0.25">
      <c r="A476" s="46" t="str">
        <f>UPPER(IF(PLANPRODUCCION[[#This Row],[FECHA]]&lt;=45701,_xlfn.CONCAT(TEXT(B476,"MMM"),"-",IF(ROW(A476)&lt;11,"000"&amp;ROW(A476)-1,IF(ROW(A476)&lt;101,"00"&amp;ROW(A476)-1,IF(ROW(A476)&lt;1001,"0"&amp;ROW(A476)-1,ROW(A476)-1))),"-OLD"),_xlfn.CONCAT(TEXT(B476,"MMM"),"-",IF(ROW(A476)&lt;473,"000"&amp;ROW(A476)-463,IF(ROW(A476)&lt;563,"00"&amp;ROW(A476)-463,IF(ROW(A476)&lt;1001,"0"&amp;ROW(A476)-463,ROW(A476)-463))))))</f>
        <v>FEB-0013</v>
      </c>
      <c r="B476" s="39">
        <v>45702</v>
      </c>
      <c r="C476" s="5">
        <v>3</v>
      </c>
      <c r="D476" s="5">
        <v>8</v>
      </c>
      <c r="E476" t="s">
        <v>67</v>
      </c>
      <c r="F476" s="2">
        <v>0.33333333333333331</v>
      </c>
      <c r="G476" s="2">
        <v>0.75</v>
      </c>
      <c r="H476" s="5">
        <v>1572</v>
      </c>
      <c r="I476" t="s">
        <v>573</v>
      </c>
      <c r="J476" t="s">
        <v>574</v>
      </c>
      <c r="K476" s="5">
        <v>3000</v>
      </c>
      <c r="L476" s="5" t="s">
        <v>57</v>
      </c>
      <c r="M476" s="49">
        <v>2.06</v>
      </c>
      <c r="N476" s="6">
        <f>PLANPRODUCCION[[#This Row],[PIEZAS PLANEADAS]]*PLANPRODUCCION[[#This Row],[PRECIO MAQUILAS]]</f>
        <v>6180</v>
      </c>
      <c r="O476" s="5">
        <v>2</v>
      </c>
      <c r="P476" s="2">
        <v>0.33333333333333331</v>
      </c>
      <c r="Q476" s="2">
        <v>0.66666666666666663</v>
      </c>
      <c r="R476" s="5">
        <v>1000</v>
      </c>
      <c r="S476" s="7">
        <f>PLANPRODUCCION[[#This Row],[PRECIO MAQUILAS]]*PLANPRODUCCION[[#This Row],[PIEZAS REAL]]</f>
        <v>2060</v>
      </c>
      <c r="T47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1600</v>
      </c>
      <c r="U47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47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992</v>
      </c>
      <c r="W47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1068</v>
      </c>
      <c r="X476" s="8" t="s">
        <v>602</v>
      </c>
      <c r="Y47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7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7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76" s="13">
        <f>IF(PLANPRODUCCION[[#This Row],[PIEZAS REAL]]&gt;0,PLANPRODUCCION[[#This Row],[PIEZAS REAL]]/PLANPRODUCCION[[#This Row],[PIEZAS ACTUALIZADO]],)</f>
        <v>0.625</v>
      </c>
      <c r="AC476" t="b">
        <f>PLANPRODUCCION[[#This Row],[INGRESO PLANEADO]]&lt;PLANPRODUCCION[[#This Row],[COSTO PLANEADO]]</f>
        <v>0</v>
      </c>
      <c r="AD476" s="46" t="s">
        <v>616</v>
      </c>
      <c r="AF476" t="b">
        <f>IF(COUNTIF(PLANPRODUCCION[[#This Row],[OBSERVACIONES]],"NO APLICA BONO*")&gt;0,TRUE,FALSE)</f>
        <v>0</v>
      </c>
    </row>
    <row r="477" spans="1:32" x14ac:dyDescent="0.25">
      <c r="A477" s="46" t="str">
        <f>UPPER(IF(PLANPRODUCCION[[#This Row],[FECHA]]&lt;=45701,_xlfn.CONCAT(TEXT(B477,"MMM"),"-",IF(ROW(A477)&lt;11,"000"&amp;ROW(A477)-1,IF(ROW(A477)&lt;101,"00"&amp;ROW(A477)-1,IF(ROW(A477)&lt;1001,"0"&amp;ROW(A477)-1,ROW(A477)-1))),"-OLD"),_xlfn.CONCAT(TEXT(B477,"MMM"),"-",IF(ROW(A477)&lt;473,"000"&amp;ROW(A477)-463,IF(ROW(A477)&lt;563,"00"&amp;ROW(A477)-463,IF(ROW(A477)&lt;1001,"0"&amp;ROW(A477)-463,ROW(A477)-463))))))</f>
        <v>FEB-0014</v>
      </c>
      <c r="B477" s="39">
        <v>45702</v>
      </c>
      <c r="C477" s="5">
        <v>2</v>
      </c>
      <c r="D477" s="5">
        <v>8</v>
      </c>
      <c r="E477" t="s">
        <v>67</v>
      </c>
      <c r="F477" s="2">
        <v>0.66666666666666663</v>
      </c>
      <c r="G477" s="2">
        <v>0.75</v>
      </c>
      <c r="H477" s="5">
        <v>1577</v>
      </c>
      <c r="I477" t="s">
        <v>592</v>
      </c>
      <c r="J477" t="s">
        <v>68</v>
      </c>
      <c r="K477" s="5">
        <v>336</v>
      </c>
      <c r="L477" s="5" t="s">
        <v>57</v>
      </c>
      <c r="M477" s="49">
        <v>1.2</v>
      </c>
      <c r="N477" s="6">
        <f>PLANPRODUCCION[[#This Row],[PIEZAS PLANEADAS]]*PLANPRODUCCION[[#This Row],[PRECIO MAQUILAS]]</f>
        <v>403.2</v>
      </c>
      <c r="O477" s="5">
        <v>2</v>
      </c>
      <c r="P477" s="2">
        <v>0.6875</v>
      </c>
      <c r="Q477" s="2">
        <v>0.75</v>
      </c>
      <c r="R477" s="5">
        <v>131</v>
      </c>
      <c r="S477" s="7">
        <f>PLANPRODUCCION[[#This Row],[PRECIO MAQUILAS]]*PLANPRODUCCION[[#This Row],[PIEZAS REAL]]</f>
        <v>157.19999999999999</v>
      </c>
      <c r="T47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252</v>
      </c>
      <c r="U47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</v>
      </c>
      <c r="V47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</v>
      </c>
      <c r="W47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-28.800000000000011</v>
      </c>
      <c r="X477" s="8" t="s">
        <v>606</v>
      </c>
      <c r="Y47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7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7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77" s="13">
        <f>IF(PLANPRODUCCION[[#This Row],[PIEZAS REAL]]&gt;0,PLANPRODUCCION[[#This Row],[PIEZAS REAL]]/PLANPRODUCCION[[#This Row],[PIEZAS ACTUALIZADO]],)</f>
        <v>0.51984126984126988</v>
      </c>
      <c r="AC477" t="b">
        <f>PLANPRODUCCION[[#This Row],[INGRESO PLANEADO]]&lt;PLANPRODUCCION[[#This Row],[COSTO PLANEADO]]</f>
        <v>0</v>
      </c>
      <c r="AD477" s="46" t="s">
        <v>617</v>
      </c>
      <c r="AF477" t="b">
        <f>IF(COUNTIF(PLANPRODUCCION[[#This Row],[OBSERVACIONES]],"NO APLICA BONO*")&gt;0,TRUE,FALSE)</f>
        <v>0</v>
      </c>
    </row>
    <row r="478" spans="1:32" x14ac:dyDescent="0.25">
      <c r="A478" s="46" t="str">
        <f>UPPER(IF(PLANPRODUCCION[[#This Row],[FECHA]]&lt;=45701,_xlfn.CONCAT(TEXT(B478,"MMM"),"-",IF(ROW(A478)&lt;11,"000"&amp;ROW(A478)-1,IF(ROW(A478)&lt;101,"00"&amp;ROW(A478)-1,IF(ROW(A478)&lt;1001,"0"&amp;ROW(A478)-1,ROW(A478)-1))),"-OLD"),_xlfn.CONCAT(TEXT(B478,"MMM"),"-",IF(ROW(A478)&lt;473,"000"&amp;ROW(A478)-463,IF(ROW(A478)&lt;563,"00"&amp;ROW(A478)-463,IF(ROW(A478)&lt;1001,"0"&amp;ROW(A478)-463,ROW(A478)-463))))))</f>
        <v>FEB-0015</v>
      </c>
      <c r="B478" s="39">
        <v>45702</v>
      </c>
      <c r="C478" s="5">
        <v>3</v>
      </c>
      <c r="D478" s="5">
        <v>1</v>
      </c>
      <c r="E478" t="s">
        <v>110</v>
      </c>
      <c r="F478" s="2">
        <v>0.54166666666666663</v>
      </c>
      <c r="G478" s="2">
        <v>0.66666666666666663</v>
      </c>
      <c r="H478" s="5">
        <v>1572</v>
      </c>
      <c r="I478" t="s">
        <v>573</v>
      </c>
      <c r="J478" t="s">
        <v>574</v>
      </c>
      <c r="K478" s="5">
        <v>900</v>
      </c>
      <c r="L478" s="5" t="s">
        <v>57</v>
      </c>
      <c r="M478" s="49">
        <v>2.06</v>
      </c>
      <c r="N478" s="6">
        <f>PLANPRODUCCION[[#This Row],[PIEZAS PLANEADAS]]*PLANPRODUCCION[[#This Row],[PRECIO MAQUILAS]]</f>
        <v>1854</v>
      </c>
      <c r="O478" s="5">
        <v>3</v>
      </c>
      <c r="P478" s="2">
        <v>0.54166666666666663</v>
      </c>
      <c r="Q478" s="2">
        <v>0.66666666666666663</v>
      </c>
      <c r="R478" s="5">
        <v>700</v>
      </c>
      <c r="S478" s="7">
        <f>PLANPRODUCCION[[#This Row],[PRECIO MAQUILAS]]*PLANPRODUCCION[[#This Row],[PIEZAS REAL]]</f>
        <v>1442</v>
      </c>
      <c r="T47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900</v>
      </c>
      <c r="U47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697.5</v>
      </c>
      <c r="V47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697.5</v>
      </c>
      <c r="W47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744.5</v>
      </c>
      <c r="X478" s="8" t="s">
        <v>602</v>
      </c>
      <c r="Y478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47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7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78" s="13">
        <f>IF(PLANPRODUCCION[[#This Row],[PIEZAS REAL]]&gt;0,PLANPRODUCCION[[#This Row],[PIEZAS REAL]]/PLANPRODUCCION[[#This Row],[PIEZAS ACTUALIZADO]],)</f>
        <v>0.77777777777777779</v>
      </c>
      <c r="AC478" t="b">
        <f>PLANPRODUCCION[[#This Row],[INGRESO PLANEADO]]&lt;PLANPRODUCCION[[#This Row],[COSTO PLANEADO]]</f>
        <v>0</v>
      </c>
      <c r="AD478" s="46" t="s">
        <v>618</v>
      </c>
      <c r="AF478" t="b">
        <f>IF(COUNTIF(PLANPRODUCCION[[#This Row],[OBSERVACIONES]],"NO APLICA BONO*")&gt;0,TRUE,FALSE)</f>
        <v>0</v>
      </c>
    </row>
    <row r="479" spans="1:32" x14ac:dyDescent="0.25">
      <c r="A479" s="46" t="str">
        <f>UPPER(IF(PLANPRODUCCION[[#This Row],[FECHA]]&lt;=45701,_xlfn.CONCAT(TEXT(B479,"MMM"),"-",IF(ROW(A479)&lt;11,"000"&amp;ROW(A479)-1,IF(ROW(A479)&lt;101,"00"&amp;ROW(A479)-1,IF(ROW(A479)&lt;1001,"0"&amp;ROW(A479)-1,ROW(A479)-1))),"-OLD"),_xlfn.CONCAT(TEXT(B479,"MMM"),"-",IF(ROW(A479)&lt;473,"000"&amp;ROW(A479)-463,IF(ROW(A479)&lt;563,"00"&amp;ROW(A479)-463,IF(ROW(A479)&lt;1001,"0"&amp;ROW(A479)-463,ROW(A479)-463))))))</f>
        <v>FEB-0016</v>
      </c>
      <c r="B479" s="39">
        <v>45702</v>
      </c>
      <c r="C479" s="5">
        <v>3</v>
      </c>
      <c r="D479" s="5">
        <v>2</v>
      </c>
      <c r="E479" t="s">
        <v>110</v>
      </c>
      <c r="F479" s="2">
        <v>0.66666666666666663</v>
      </c>
      <c r="G479" s="2">
        <v>0.875</v>
      </c>
      <c r="H479" s="5">
        <v>1577</v>
      </c>
      <c r="I479" t="s">
        <v>592</v>
      </c>
      <c r="J479" t="s">
        <v>68</v>
      </c>
      <c r="K479" s="5">
        <v>1500</v>
      </c>
      <c r="L479" s="5" t="s">
        <v>57</v>
      </c>
      <c r="M479" s="49">
        <v>1.2</v>
      </c>
      <c r="N479" s="6">
        <f>PLANPRODUCCION[[#This Row],[PIEZAS PLANEADAS]]*PLANPRODUCCION[[#This Row],[PRECIO MAQUILAS]]</f>
        <v>1800</v>
      </c>
      <c r="O479" s="5">
        <v>3</v>
      </c>
      <c r="P479" s="2">
        <v>0.66666666666666663</v>
      </c>
      <c r="Q479" s="2">
        <v>0.875</v>
      </c>
      <c r="R479" s="5">
        <v>490</v>
      </c>
      <c r="S479" s="7">
        <f>PLANPRODUCCION[[#This Row],[PRECIO MAQUILAS]]*PLANPRODUCCION[[#This Row],[PIEZAS REAL]]</f>
        <v>588</v>
      </c>
      <c r="T47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1500</v>
      </c>
      <c r="U47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1162.5</v>
      </c>
      <c r="V47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1162.5</v>
      </c>
      <c r="W47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-574.5</v>
      </c>
      <c r="X479" s="8" t="s">
        <v>602</v>
      </c>
      <c r="Y47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47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7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79" s="13">
        <f>IF(PLANPRODUCCION[[#This Row],[PIEZAS REAL]]&gt;0,PLANPRODUCCION[[#This Row],[PIEZAS REAL]]/PLANPRODUCCION[[#This Row],[PIEZAS ACTUALIZADO]],)</f>
        <v>0.32666666666666666</v>
      </c>
      <c r="AC479" t="b">
        <f>PLANPRODUCCION[[#This Row],[INGRESO PLANEADO]]&lt;PLANPRODUCCION[[#This Row],[COSTO PLANEADO]]</f>
        <v>0</v>
      </c>
      <c r="AD479" s="46" t="s">
        <v>619</v>
      </c>
      <c r="AF479" t="b">
        <f>IF(COUNTIF(PLANPRODUCCION[[#This Row],[OBSERVACIONES]],"NO APLICA BONO*")&gt;0,TRUE,FALSE)</f>
        <v>0</v>
      </c>
    </row>
    <row r="480" spans="1:32" x14ac:dyDescent="0.25">
      <c r="A480" s="46" t="str">
        <f>UPPER(IF(PLANPRODUCCION[[#This Row],[FECHA]]&lt;=45701,_xlfn.CONCAT(TEXT(B480,"MMM"),"-",IF(ROW(A480)&lt;11,"000"&amp;ROW(A480)-1,IF(ROW(A480)&lt;101,"00"&amp;ROW(A480)-1,IF(ROW(A480)&lt;1001,"0"&amp;ROW(A480)-1,ROW(A480)-1))),"-OLD"),_xlfn.CONCAT(TEXT(B480,"MMM"),"-",IF(ROW(A480)&lt;473,"000"&amp;ROW(A480)-463,IF(ROW(A480)&lt;563,"00"&amp;ROW(A480)-463,IF(ROW(A480)&lt;1001,"0"&amp;ROW(A480)-463,ROW(A480)-463))))))</f>
        <v>FEB-0017</v>
      </c>
      <c r="B480" s="39">
        <v>45702</v>
      </c>
      <c r="C480" s="5">
        <v>3</v>
      </c>
      <c r="D480" s="5">
        <v>3</v>
      </c>
      <c r="E480" t="s">
        <v>72</v>
      </c>
      <c r="F480" s="2">
        <v>0.66666666666666663</v>
      </c>
      <c r="G480" s="2">
        <v>0.875</v>
      </c>
      <c r="H480" s="5">
        <v>1577</v>
      </c>
      <c r="I480" t="s">
        <v>592</v>
      </c>
      <c r="J480" t="s">
        <v>68</v>
      </c>
      <c r="K480" s="5">
        <v>1500</v>
      </c>
      <c r="L480" s="5" t="s">
        <v>57</v>
      </c>
      <c r="M480" s="49">
        <v>1.2</v>
      </c>
      <c r="N480" s="6">
        <f>PLANPRODUCCION[[#This Row],[PIEZAS PLANEADAS]]*PLANPRODUCCION[[#This Row],[PRECIO MAQUILAS]]</f>
        <v>1800</v>
      </c>
      <c r="O480" s="5">
        <v>3</v>
      </c>
      <c r="P480" s="2">
        <v>0.66666666666666663</v>
      </c>
      <c r="Q480" s="2">
        <v>0.875</v>
      </c>
      <c r="R480" s="5">
        <v>850</v>
      </c>
      <c r="S480" s="7">
        <f>PLANPRODUCCION[[#This Row],[PRECIO MAQUILAS]]*PLANPRODUCCION[[#This Row],[PIEZAS REAL]]</f>
        <v>1020</v>
      </c>
      <c r="T48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1500</v>
      </c>
      <c r="U48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48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48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90</v>
      </c>
      <c r="X480" s="8" t="s">
        <v>602</v>
      </c>
      <c r="Y48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48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8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80" s="13">
        <f>IF(PLANPRODUCCION[[#This Row],[PIEZAS REAL]]&gt;0,PLANPRODUCCION[[#This Row],[PIEZAS REAL]]/PLANPRODUCCION[[#This Row],[PIEZAS ACTUALIZADO]],)</f>
        <v>0.56666666666666665</v>
      </c>
      <c r="AC480" t="b">
        <f>PLANPRODUCCION[[#This Row],[INGRESO PLANEADO]]&lt;PLANPRODUCCION[[#This Row],[COSTO PLANEADO]]</f>
        <v>0</v>
      </c>
      <c r="AD480" s="46" t="s">
        <v>620</v>
      </c>
      <c r="AF480" t="b">
        <f>IF(COUNTIF(PLANPRODUCCION[[#This Row],[OBSERVACIONES]],"NO APLICA BONO*")&gt;0,TRUE,FALSE)</f>
        <v>0</v>
      </c>
    </row>
    <row r="481" spans="1:32" x14ac:dyDescent="0.25">
      <c r="A481" s="46" t="str">
        <f>UPPER(IF(PLANPRODUCCION[[#This Row],[FECHA]]&lt;=45701,_xlfn.CONCAT(TEXT(B481,"MMM"),"-",IF(ROW(A481)&lt;11,"000"&amp;ROW(A481)-1,IF(ROW(A481)&lt;101,"00"&amp;ROW(A481)-1,IF(ROW(A481)&lt;1001,"0"&amp;ROW(A481)-1,ROW(A481)-1))),"-OLD"),_xlfn.CONCAT(TEXT(B481,"MMM"),"-",IF(ROW(A481)&lt;473,"000"&amp;ROW(A481)-463,IF(ROW(A481)&lt;563,"00"&amp;ROW(A481)-463,IF(ROW(A481)&lt;1001,"0"&amp;ROW(A481)-463,ROW(A481)-463))))))</f>
        <v>FEB-0018</v>
      </c>
      <c r="B481" s="39">
        <v>45702</v>
      </c>
      <c r="C481" s="5">
        <v>3</v>
      </c>
      <c r="D481" s="5">
        <v>4</v>
      </c>
      <c r="E481" t="s">
        <v>72</v>
      </c>
      <c r="F481" s="2">
        <v>0.66666666666666663</v>
      </c>
      <c r="G481" s="2">
        <v>0.875</v>
      </c>
      <c r="H481" s="5">
        <v>1577</v>
      </c>
      <c r="I481" t="s">
        <v>592</v>
      </c>
      <c r="J481" t="s">
        <v>68</v>
      </c>
      <c r="K481" s="5">
        <v>1500</v>
      </c>
      <c r="L481" s="5" t="s">
        <v>57</v>
      </c>
      <c r="M481" s="49">
        <v>1.2</v>
      </c>
      <c r="N481" s="6">
        <f>PLANPRODUCCION[[#This Row],[PIEZAS PLANEADAS]]*PLANPRODUCCION[[#This Row],[PRECIO MAQUILAS]]</f>
        <v>1800</v>
      </c>
      <c r="O481" s="5">
        <v>2</v>
      </c>
      <c r="P481" s="2">
        <v>0.66666666666666663</v>
      </c>
      <c r="Q481" s="2">
        <v>0.875</v>
      </c>
      <c r="R481" s="5">
        <v>500</v>
      </c>
      <c r="S481" s="7">
        <f>PLANPRODUCCION[[#This Row],[PRECIO MAQUILAS]]*PLANPRODUCCION[[#This Row],[PIEZAS REAL]]</f>
        <v>600</v>
      </c>
      <c r="T48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1000</v>
      </c>
      <c r="U48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48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48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-20</v>
      </c>
      <c r="X481" s="8" t="s">
        <v>602</v>
      </c>
      <c r="Y48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8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8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81" s="13">
        <f>IF(PLANPRODUCCION[[#This Row],[PIEZAS REAL]]&gt;0,PLANPRODUCCION[[#This Row],[PIEZAS REAL]]/PLANPRODUCCION[[#This Row],[PIEZAS ACTUALIZADO]],)</f>
        <v>0.5</v>
      </c>
      <c r="AC481" t="b">
        <f>PLANPRODUCCION[[#This Row],[INGRESO PLANEADO]]&lt;PLANPRODUCCION[[#This Row],[COSTO PLANEADO]]</f>
        <v>0</v>
      </c>
      <c r="AD481" s="46" t="s">
        <v>621</v>
      </c>
      <c r="AF481" t="b">
        <f>IF(COUNTIF(PLANPRODUCCION[[#This Row],[OBSERVACIONES]],"NO APLICA BONO*")&gt;0,TRUE,FALSE)</f>
        <v>0</v>
      </c>
    </row>
    <row r="482" spans="1:32" x14ac:dyDescent="0.25">
      <c r="A482" s="46" t="str">
        <f>UPPER(IF(PLANPRODUCCION[[#This Row],[FECHA]]&lt;=45701,_xlfn.CONCAT(TEXT(B482,"MMM"),"-",IF(ROW(A482)&lt;11,"000"&amp;ROW(A482)-1,IF(ROW(A482)&lt;101,"00"&amp;ROW(A482)-1,IF(ROW(A482)&lt;1001,"0"&amp;ROW(A482)-1,ROW(A482)-1))),"-OLD"),_xlfn.CONCAT(TEXT(B482,"MMM"),"-",IF(ROW(A482)&lt;473,"000"&amp;ROW(A482)-463,IF(ROW(A482)&lt;563,"00"&amp;ROW(A482)-463,IF(ROW(A482)&lt;1001,"0"&amp;ROW(A482)-463,ROW(A482)-463))))))</f>
        <v>FEB-0019</v>
      </c>
      <c r="B482" s="39">
        <v>45705</v>
      </c>
      <c r="C482" s="5">
        <v>6</v>
      </c>
      <c r="D482" s="5">
        <v>1</v>
      </c>
      <c r="E482" t="s">
        <v>54</v>
      </c>
      <c r="F482" s="2">
        <v>0.25</v>
      </c>
      <c r="G482" s="2">
        <v>0.66666666666666663</v>
      </c>
      <c r="H482" s="5">
        <v>1514</v>
      </c>
      <c r="I482" t="s">
        <v>141</v>
      </c>
      <c r="J482" t="s">
        <v>148</v>
      </c>
      <c r="K482" s="5">
        <v>250</v>
      </c>
      <c r="L482" s="10" t="s">
        <v>83</v>
      </c>
      <c r="M482" s="49">
        <v>-30</v>
      </c>
      <c r="N482" s="6">
        <f>PLANPRODUCCION[[#This Row],[PIEZAS PLANEADAS]]*PLANPRODUCCION[[#This Row],[PRECIO MAQUILAS]]</f>
        <v>-7500</v>
      </c>
      <c r="O482" s="5">
        <v>6</v>
      </c>
      <c r="P482" s="2">
        <v>0.25</v>
      </c>
      <c r="Q482" s="2">
        <v>0.64583333333333337</v>
      </c>
      <c r="R482" s="5">
        <v>188</v>
      </c>
      <c r="S482" s="7">
        <f>PLANPRODUCCION[[#This Row],[PRECIO MAQUILAS]]*PLANPRODUCCION[[#This Row],[PIEZAS REAL]]</f>
        <v>-5640</v>
      </c>
      <c r="T48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238</v>
      </c>
      <c r="U48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3720</v>
      </c>
      <c r="V48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3534</v>
      </c>
      <c r="W48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-5640</v>
      </c>
      <c r="X482" s="8" t="s">
        <v>602</v>
      </c>
      <c r="Y48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48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8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82" s="13">
        <f>IF(PLANPRODUCCION[[#This Row],[PIEZAS REAL]]&gt;0,PLANPRODUCCION[[#This Row],[PIEZAS REAL]]/PLANPRODUCCION[[#This Row],[PIEZAS ACTUALIZADO]],)</f>
        <v>0.78991596638655459</v>
      </c>
      <c r="AC482" t="b">
        <f>PLANPRODUCCION[[#This Row],[INGRESO PLANEADO]]&lt;PLANPRODUCCION[[#This Row],[COSTO PLANEADO]]</f>
        <v>1</v>
      </c>
      <c r="AD482" s="46" t="s">
        <v>24</v>
      </c>
      <c r="AE482" t="s">
        <v>622</v>
      </c>
      <c r="AF482" t="b">
        <f>IF(COUNTIF(PLANPRODUCCION[[#This Row],[OBSERVACIONES]],"NO APLICA BONO*")&gt;0,TRUE,FALSE)</f>
        <v>0</v>
      </c>
    </row>
    <row r="483" spans="1:32" x14ac:dyDescent="0.25">
      <c r="A483" s="46" t="str">
        <f>UPPER(IF(PLANPRODUCCION[[#This Row],[FECHA]]&lt;=45701,_xlfn.CONCAT(TEXT(B483,"MMM"),"-",IF(ROW(A483)&lt;11,"000"&amp;ROW(A483)-1,IF(ROW(A483)&lt;101,"00"&amp;ROW(A483)-1,IF(ROW(A483)&lt;1001,"0"&amp;ROW(A483)-1,ROW(A483)-1))),"-OLD"),_xlfn.CONCAT(TEXT(B483,"MMM"),"-",IF(ROW(A483)&lt;473,"000"&amp;ROW(A483)-463,IF(ROW(A483)&lt;563,"00"&amp;ROW(A483)-463,IF(ROW(A483)&lt;1001,"0"&amp;ROW(A483)-463,ROW(A483)-463))))))</f>
        <v>FEB-0020</v>
      </c>
      <c r="B483" s="39">
        <v>45705</v>
      </c>
      <c r="C483" s="5">
        <v>3</v>
      </c>
      <c r="D483" s="5">
        <v>2</v>
      </c>
      <c r="E483" t="s">
        <v>54</v>
      </c>
      <c r="F483" s="2">
        <v>0.25</v>
      </c>
      <c r="G483" s="2">
        <v>0.5</v>
      </c>
      <c r="H483" s="5">
        <v>1514</v>
      </c>
      <c r="I483" t="s">
        <v>141</v>
      </c>
      <c r="J483" t="s">
        <v>144</v>
      </c>
      <c r="K483" s="5">
        <v>1260</v>
      </c>
      <c r="L483" s="10" t="s">
        <v>57</v>
      </c>
      <c r="M483" s="49">
        <v>-1</v>
      </c>
      <c r="N483" s="6">
        <f>PLANPRODUCCION[[#This Row],[PIEZAS PLANEADAS]]*PLANPRODUCCION[[#This Row],[PRECIO MAQUILAS]]</f>
        <v>-1260</v>
      </c>
      <c r="O483" s="5">
        <v>3</v>
      </c>
      <c r="P483" s="2">
        <v>0.25</v>
      </c>
      <c r="Q483" s="2">
        <v>0.63888888888888884</v>
      </c>
      <c r="R483" s="5">
        <v>1249</v>
      </c>
      <c r="S483" s="7">
        <f>PLANPRODUCCION[[#This Row],[PRECIO MAQUILAS]]*PLANPRODUCCION[[#This Row],[PIEZAS REAL]]</f>
        <v>-1249</v>
      </c>
      <c r="T48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1960</v>
      </c>
      <c r="U48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1116</v>
      </c>
      <c r="V48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1736</v>
      </c>
      <c r="W48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-1736</v>
      </c>
      <c r="X483" s="8" t="s">
        <v>602</v>
      </c>
      <c r="Y48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48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8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83" s="13">
        <f>IF(PLANPRODUCCION[[#This Row],[PIEZAS REAL]]&gt;0,PLANPRODUCCION[[#This Row],[PIEZAS REAL]]/PLANPRODUCCION[[#This Row],[PIEZAS ACTUALIZADO]],)</f>
        <v>0.63724489795918371</v>
      </c>
      <c r="AC483" t="b">
        <f>PLANPRODUCCION[[#This Row],[INGRESO PLANEADO]]&lt;PLANPRODUCCION[[#This Row],[COSTO PLANEADO]]</f>
        <v>1</v>
      </c>
      <c r="AD483" s="46" t="s">
        <v>623</v>
      </c>
      <c r="AF483" t="b">
        <f>IF(COUNTIF(PLANPRODUCCION[[#This Row],[OBSERVACIONES]],"NO APLICA BONO*")&gt;0,TRUE,FALSE)</f>
        <v>0</v>
      </c>
    </row>
    <row r="484" spans="1:32" x14ac:dyDescent="0.25">
      <c r="A484" s="46" t="str">
        <f>UPPER(IF(PLANPRODUCCION[[#This Row],[FECHA]]&lt;=45701,_xlfn.CONCAT(TEXT(B484,"MMM"),"-",IF(ROW(A484)&lt;11,"000"&amp;ROW(A484)-1,IF(ROW(A484)&lt;101,"00"&amp;ROW(A484)-1,IF(ROW(A484)&lt;1001,"0"&amp;ROW(A484)-1,ROW(A484)-1))),"-OLD"),_xlfn.CONCAT(TEXT(B484,"MMM"),"-",IF(ROW(A484)&lt;473,"000"&amp;ROW(A484)-463,IF(ROW(A484)&lt;563,"00"&amp;ROW(A484)-463,IF(ROW(A484)&lt;1001,"0"&amp;ROW(A484)-463,ROW(A484)-463))))))</f>
        <v>FEB-0021</v>
      </c>
      <c r="B484" s="39">
        <v>45705</v>
      </c>
      <c r="C484" s="5">
        <v>3</v>
      </c>
      <c r="D484" s="5">
        <v>2</v>
      </c>
      <c r="E484" t="s">
        <v>54</v>
      </c>
      <c r="F484" s="2">
        <v>0.5</v>
      </c>
      <c r="G484" s="2">
        <v>0.66666666666666663</v>
      </c>
      <c r="H484" s="5">
        <v>1577</v>
      </c>
      <c r="I484" t="s">
        <v>592</v>
      </c>
      <c r="J484" t="s">
        <v>68</v>
      </c>
      <c r="K484" s="5">
        <v>1008</v>
      </c>
      <c r="L484" s="5" t="s">
        <v>57</v>
      </c>
      <c r="M484" s="49">
        <v>1.2</v>
      </c>
      <c r="N484" s="6">
        <f>PLANPRODUCCION[[#This Row],[PIEZAS PLANEADAS]]*PLANPRODUCCION[[#This Row],[PRECIO MAQUILAS]]</f>
        <v>1209.5999999999999</v>
      </c>
      <c r="O484" s="5">
        <v>0</v>
      </c>
      <c r="P484" s="2">
        <v>0</v>
      </c>
      <c r="Q484" s="2">
        <v>0</v>
      </c>
      <c r="R484" s="5">
        <v>0</v>
      </c>
      <c r="S484" s="7">
        <f>PLANPRODUCCION[[#This Row],[PRECIO MAQUILAS]]*PLANPRODUCCION[[#This Row],[PIEZAS REAL]]</f>
        <v>0</v>
      </c>
      <c r="T48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48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8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48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484" s="8" t="s">
        <v>602</v>
      </c>
      <c r="Y484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48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484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484" s="13">
        <f>IF(PLANPRODUCCION[[#This Row],[PIEZAS REAL]]&gt;0,PLANPRODUCCION[[#This Row],[PIEZAS REAL]]/PLANPRODUCCION[[#This Row],[PIEZAS ACTUALIZADO]],)</f>
        <v>0</v>
      </c>
      <c r="AC484" t="b">
        <f>PLANPRODUCCION[[#This Row],[INGRESO PLANEADO]]&lt;PLANPRODUCCION[[#This Row],[COSTO PLANEADO]]</f>
        <v>0</v>
      </c>
      <c r="AD484" s="46" t="s">
        <v>624</v>
      </c>
      <c r="AE484" t="s">
        <v>625</v>
      </c>
      <c r="AF484" t="b">
        <f>IF(COUNTIF(PLANPRODUCCION[[#This Row],[OBSERVACIONES]],"NO APLICA BONO*")&gt;0,TRUE,FALSE)</f>
        <v>0</v>
      </c>
    </row>
    <row r="485" spans="1:32" x14ac:dyDescent="0.25">
      <c r="A485" s="46" t="str">
        <f>UPPER(IF(PLANPRODUCCION[[#This Row],[FECHA]]&lt;=45701,_xlfn.CONCAT(TEXT(B485,"MMM"),"-",IF(ROW(A485)&lt;11,"000"&amp;ROW(A485)-1,IF(ROW(A485)&lt;101,"00"&amp;ROW(A485)-1,IF(ROW(A485)&lt;1001,"0"&amp;ROW(A485)-1,ROW(A485)-1))),"-OLD"),_xlfn.CONCAT(TEXT(B485,"MMM"),"-",IF(ROW(A485)&lt;473,"000"&amp;ROW(A485)-463,IF(ROW(A485)&lt;563,"00"&amp;ROW(A485)-463,IF(ROW(A485)&lt;1001,"0"&amp;ROW(A485)-463,ROW(A485)-463))))))</f>
        <v>FEB-0022</v>
      </c>
      <c r="B485" s="39">
        <v>45705</v>
      </c>
      <c r="C485" s="5">
        <v>3</v>
      </c>
      <c r="D485" s="5">
        <v>3</v>
      </c>
      <c r="E485" t="s">
        <v>54</v>
      </c>
      <c r="F485" s="2">
        <v>0.25</v>
      </c>
      <c r="G485" s="2">
        <v>0.66666666666666663</v>
      </c>
      <c r="H485" s="5">
        <v>1577</v>
      </c>
      <c r="I485" t="s">
        <v>592</v>
      </c>
      <c r="J485" t="s">
        <v>68</v>
      </c>
      <c r="K485" s="5">
        <v>2520</v>
      </c>
      <c r="L485" s="5" t="s">
        <v>57</v>
      </c>
      <c r="M485" s="49">
        <v>1.2</v>
      </c>
      <c r="N485" s="6">
        <f>PLANPRODUCCION[[#This Row],[PIEZAS PLANEADAS]]*PLANPRODUCCION[[#This Row],[PRECIO MAQUILAS]]</f>
        <v>3024</v>
      </c>
      <c r="O485" s="5">
        <v>3</v>
      </c>
      <c r="P485" s="2">
        <v>0.25</v>
      </c>
      <c r="Q485" s="2">
        <v>0.66666666666666663</v>
      </c>
      <c r="R485" s="5">
        <v>775</v>
      </c>
      <c r="S485" s="7">
        <f>PLANPRODUCCION[[#This Row],[PRECIO MAQUILAS]]*PLANPRODUCCION[[#This Row],[PIEZAS REAL]]</f>
        <v>930</v>
      </c>
      <c r="T48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2520</v>
      </c>
      <c r="U48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48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48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-930</v>
      </c>
      <c r="X485" s="8" t="s">
        <v>602</v>
      </c>
      <c r="Y48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48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8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85" s="13">
        <f>IF(PLANPRODUCCION[[#This Row],[PIEZAS REAL]]&gt;0,PLANPRODUCCION[[#This Row],[PIEZAS REAL]]/PLANPRODUCCION[[#This Row],[PIEZAS ACTUALIZADO]],)</f>
        <v>0.30753968253968256</v>
      </c>
      <c r="AC485" t="b">
        <f>PLANPRODUCCION[[#This Row],[INGRESO PLANEADO]]&lt;PLANPRODUCCION[[#This Row],[COSTO PLANEADO]]</f>
        <v>0</v>
      </c>
      <c r="AD485" s="46" t="s">
        <v>626</v>
      </c>
      <c r="AF485" t="b">
        <f>IF(COUNTIF(PLANPRODUCCION[[#This Row],[OBSERVACIONES]],"NO APLICA BONO*")&gt;0,TRUE,FALSE)</f>
        <v>0</v>
      </c>
    </row>
    <row r="486" spans="1:32" x14ac:dyDescent="0.25">
      <c r="A486" s="46" t="str">
        <f>UPPER(IF(PLANPRODUCCION[[#This Row],[FECHA]]&lt;=45701,_xlfn.CONCAT(TEXT(B486,"MMM"),"-",IF(ROW(A486)&lt;11,"000"&amp;ROW(A486)-1,IF(ROW(A486)&lt;101,"00"&amp;ROW(A486)-1,IF(ROW(A486)&lt;1001,"0"&amp;ROW(A486)-1,ROW(A486)-1))),"-OLD"),_xlfn.CONCAT(TEXT(B486,"MMM"),"-",IF(ROW(A486)&lt;473,"000"&amp;ROW(A486)-463,IF(ROW(A486)&lt;563,"00"&amp;ROW(A486)-463,IF(ROW(A486)&lt;1001,"0"&amp;ROW(A486)-463,ROW(A486)-463))))))</f>
        <v>FEB-0023</v>
      </c>
      <c r="B486" s="39">
        <v>45705</v>
      </c>
      <c r="C486" s="5">
        <v>3</v>
      </c>
      <c r="D486" s="5">
        <v>4</v>
      </c>
      <c r="E486" t="s">
        <v>54</v>
      </c>
      <c r="F486" s="2">
        <v>0.25</v>
      </c>
      <c r="G486" s="2">
        <v>0.66666666666666663</v>
      </c>
      <c r="H486" s="5">
        <v>1577</v>
      </c>
      <c r="I486" t="s">
        <v>592</v>
      </c>
      <c r="J486" t="s">
        <v>68</v>
      </c>
      <c r="K486" s="5">
        <v>2520</v>
      </c>
      <c r="L486" s="5" t="s">
        <v>57</v>
      </c>
      <c r="M486" s="49">
        <v>1.2</v>
      </c>
      <c r="N486" s="6">
        <f>PLANPRODUCCION[[#This Row],[PIEZAS PLANEADAS]]*PLANPRODUCCION[[#This Row],[PRECIO MAQUILAS]]</f>
        <v>3024</v>
      </c>
      <c r="O486" s="5">
        <v>0</v>
      </c>
      <c r="P486" s="2">
        <v>0</v>
      </c>
      <c r="Q486" s="2">
        <v>0</v>
      </c>
      <c r="R486" s="5">
        <v>0</v>
      </c>
      <c r="S486" s="7">
        <f>PLANPRODUCCION[[#This Row],[PRECIO MAQUILAS]]*PLANPRODUCCION[[#This Row],[PIEZAS REAL]]</f>
        <v>0</v>
      </c>
      <c r="T48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48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8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48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486" s="8" t="s">
        <v>602</v>
      </c>
      <c r="Y486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48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486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486" s="13">
        <f>IF(PLANPRODUCCION[[#This Row],[PIEZAS REAL]]&gt;0,PLANPRODUCCION[[#This Row],[PIEZAS REAL]]/PLANPRODUCCION[[#This Row],[PIEZAS ACTUALIZADO]],)</f>
        <v>0</v>
      </c>
      <c r="AC486" t="b">
        <f>PLANPRODUCCION[[#This Row],[INGRESO PLANEADO]]&lt;PLANPRODUCCION[[#This Row],[COSTO PLANEADO]]</f>
        <v>0</v>
      </c>
      <c r="AD486" s="46" t="s">
        <v>627</v>
      </c>
      <c r="AE486" t="s">
        <v>625</v>
      </c>
      <c r="AF486" t="b">
        <f>IF(COUNTIF(PLANPRODUCCION[[#This Row],[OBSERVACIONES]],"NO APLICA BONO*")&gt;0,TRUE,FALSE)</f>
        <v>0</v>
      </c>
    </row>
    <row r="487" spans="1:32" x14ac:dyDescent="0.25">
      <c r="A487" s="46" t="str">
        <f>UPPER(IF(PLANPRODUCCION[[#This Row],[FECHA]]&lt;=45701,_xlfn.CONCAT(TEXT(B487,"MMM"),"-",IF(ROW(A487)&lt;11,"000"&amp;ROW(A487)-1,IF(ROW(A487)&lt;101,"00"&amp;ROW(A487)-1,IF(ROW(A487)&lt;1001,"0"&amp;ROW(A487)-1,ROW(A487)-1))),"-OLD"),_xlfn.CONCAT(TEXT(B487,"MMM"),"-",IF(ROW(A487)&lt;473,"000"&amp;ROW(A487)-463,IF(ROW(A487)&lt;563,"00"&amp;ROW(A487)-463,IF(ROW(A487)&lt;1001,"0"&amp;ROW(A487)-463,ROW(A487)-463))))))</f>
        <v>FEB-0024</v>
      </c>
      <c r="B487" s="39">
        <v>45705</v>
      </c>
      <c r="C487" s="5">
        <v>3</v>
      </c>
      <c r="D487" s="5">
        <v>5</v>
      </c>
      <c r="E487" t="s">
        <v>54</v>
      </c>
      <c r="F487" s="2">
        <v>0.25</v>
      </c>
      <c r="G487" s="2">
        <v>0.66666666666666663</v>
      </c>
      <c r="H487" s="5">
        <v>1577</v>
      </c>
      <c r="I487" t="s">
        <v>592</v>
      </c>
      <c r="J487" t="s">
        <v>68</v>
      </c>
      <c r="K487" s="5">
        <v>2520</v>
      </c>
      <c r="L487" s="5" t="s">
        <v>57</v>
      </c>
      <c r="M487" s="49">
        <v>1.2</v>
      </c>
      <c r="N487" s="6">
        <f>PLANPRODUCCION[[#This Row],[PIEZAS PLANEADAS]]*PLANPRODUCCION[[#This Row],[PRECIO MAQUILAS]]</f>
        <v>3024</v>
      </c>
      <c r="O487" s="5">
        <v>0</v>
      </c>
      <c r="P487" s="2">
        <v>0</v>
      </c>
      <c r="Q487" s="2">
        <v>0</v>
      </c>
      <c r="R487" s="5">
        <v>0</v>
      </c>
      <c r="S487" s="7">
        <f>PLANPRODUCCION[[#This Row],[PRECIO MAQUILAS]]*PLANPRODUCCION[[#This Row],[PIEZAS REAL]]</f>
        <v>0</v>
      </c>
      <c r="T48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48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8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48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487" s="8" t="s">
        <v>602</v>
      </c>
      <c r="Y487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48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487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487" s="13">
        <f>IF(PLANPRODUCCION[[#This Row],[PIEZAS REAL]]&gt;0,PLANPRODUCCION[[#This Row],[PIEZAS REAL]]/PLANPRODUCCION[[#This Row],[PIEZAS ACTUALIZADO]],)</f>
        <v>0</v>
      </c>
      <c r="AC487" t="b">
        <f>PLANPRODUCCION[[#This Row],[INGRESO PLANEADO]]&lt;PLANPRODUCCION[[#This Row],[COSTO PLANEADO]]</f>
        <v>0</v>
      </c>
      <c r="AD487" s="46" t="s">
        <v>628</v>
      </c>
      <c r="AE487" t="s">
        <v>625</v>
      </c>
      <c r="AF487" t="b">
        <f>IF(COUNTIF(PLANPRODUCCION[[#This Row],[OBSERVACIONES]],"NO APLICA BONO*")&gt;0,TRUE,FALSE)</f>
        <v>0</v>
      </c>
    </row>
    <row r="488" spans="1:32" x14ac:dyDescent="0.25">
      <c r="A488" s="46" t="str">
        <f>UPPER(IF(PLANPRODUCCION[[#This Row],[FECHA]]&lt;=45701,_xlfn.CONCAT(TEXT(B488,"MMM"),"-",IF(ROW(A488)&lt;11,"000"&amp;ROW(A488)-1,IF(ROW(A488)&lt;101,"00"&amp;ROW(A488)-1,IF(ROW(A488)&lt;1001,"0"&amp;ROW(A488)-1,ROW(A488)-1))),"-OLD"),_xlfn.CONCAT(TEXT(B488,"MMM"),"-",IF(ROW(A488)&lt;473,"000"&amp;ROW(A488)-463,IF(ROW(A488)&lt;563,"00"&amp;ROW(A488)-463,IF(ROW(A488)&lt;1001,"0"&amp;ROW(A488)-463,ROW(A488)-463))))))</f>
        <v>FEB-0025</v>
      </c>
      <c r="B488" s="39">
        <v>45705</v>
      </c>
      <c r="C488" s="5">
        <v>3</v>
      </c>
      <c r="D488" s="5">
        <v>6</v>
      </c>
      <c r="E488" t="s">
        <v>67</v>
      </c>
      <c r="F488" s="2">
        <v>0.33333333333333331</v>
      </c>
      <c r="G488" s="2">
        <v>0.75</v>
      </c>
      <c r="H488" s="5">
        <v>1577</v>
      </c>
      <c r="I488" t="s">
        <v>592</v>
      </c>
      <c r="J488" t="s">
        <v>68</v>
      </c>
      <c r="K488" s="5">
        <v>2520</v>
      </c>
      <c r="L488" s="5" t="s">
        <v>57</v>
      </c>
      <c r="M488" s="49">
        <v>1.2</v>
      </c>
      <c r="N488" s="6">
        <f>PLANPRODUCCION[[#This Row],[PIEZAS PLANEADAS]]*PLANPRODUCCION[[#This Row],[PRECIO MAQUILAS]]</f>
        <v>3024</v>
      </c>
      <c r="O488" s="5">
        <v>4</v>
      </c>
      <c r="P488" s="2">
        <v>0.33333333333333331</v>
      </c>
      <c r="Q488" s="2">
        <v>0.75</v>
      </c>
      <c r="R488" s="5">
        <v>1550</v>
      </c>
      <c r="S488" s="7">
        <f>PLANPRODUCCION[[#This Row],[PRECIO MAQUILAS]]*PLANPRODUCCION[[#This Row],[PIEZAS REAL]]</f>
        <v>1860</v>
      </c>
      <c r="T48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3360</v>
      </c>
      <c r="U48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48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48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-620</v>
      </c>
      <c r="X488" s="8" t="s">
        <v>602</v>
      </c>
      <c r="Y48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8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8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88" s="13">
        <f>IF(PLANPRODUCCION[[#This Row],[PIEZAS REAL]]&gt;0,PLANPRODUCCION[[#This Row],[PIEZAS REAL]]/PLANPRODUCCION[[#This Row],[PIEZAS ACTUALIZADO]],)</f>
        <v>0.46130952380952384</v>
      </c>
      <c r="AC488" t="b">
        <f>PLANPRODUCCION[[#This Row],[INGRESO PLANEADO]]&lt;PLANPRODUCCION[[#This Row],[COSTO PLANEADO]]</f>
        <v>0</v>
      </c>
      <c r="AD488" s="46" t="s">
        <v>629</v>
      </c>
      <c r="AF488" t="b">
        <f>IF(COUNTIF(PLANPRODUCCION[[#This Row],[OBSERVACIONES]],"NO APLICA BONO*")&gt;0,TRUE,FALSE)</f>
        <v>0</v>
      </c>
    </row>
    <row r="489" spans="1:32" x14ac:dyDescent="0.25">
      <c r="A489" s="46" t="str">
        <f>UPPER(IF(PLANPRODUCCION[[#This Row],[FECHA]]&lt;=45701,_xlfn.CONCAT(TEXT(B489,"MMM"),"-",IF(ROW(A489)&lt;11,"000"&amp;ROW(A489)-1,IF(ROW(A489)&lt;101,"00"&amp;ROW(A489)-1,IF(ROW(A489)&lt;1001,"0"&amp;ROW(A489)-1,ROW(A489)-1))),"-OLD"),_xlfn.CONCAT(TEXT(B489,"MMM"),"-",IF(ROW(A489)&lt;473,"000"&amp;ROW(A489)-463,IF(ROW(A489)&lt;563,"00"&amp;ROW(A489)-463,IF(ROW(A489)&lt;1001,"0"&amp;ROW(A489)-463,ROW(A489)-463))))))</f>
        <v>FEB-0026</v>
      </c>
      <c r="B489" s="39">
        <v>45705</v>
      </c>
      <c r="C489" s="5">
        <v>2</v>
      </c>
      <c r="D489" s="5">
        <v>7</v>
      </c>
      <c r="E489" t="s">
        <v>67</v>
      </c>
      <c r="F489" s="2">
        <v>0.33333333333333331</v>
      </c>
      <c r="G489" s="2">
        <v>0.75</v>
      </c>
      <c r="H489" s="5">
        <v>1577</v>
      </c>
      <c r="I489" t="s">
        <v>592</v>
      </c>
      <c r="J489" t="s">
        <v>68</v>
      </c>
      <c r="K489" s="5">
        <v>1680</v>
      </c>
      <c r="L489" s="5" t="s">
        <v>57</v>
      </c>
      <c r="M489" s="49">
        <v>1.2</v>
      </c>
      <c r="N489" s="6">
        <f>PLANPRODUCCION[[#This Row],[PIEZAS PLANEADAS]]*PLANPRODUCCION[[#This Row],[PRECIO MAQUILAS]]</f>
        <v>2016</v>
      </c>
      <c r="O489" s="5">
        <v>0</v>
      </c>
      <c r="P489" s="2">
        <v>0</v>
      </c>
      <c r="Q489" s="2">
        <v>0</v>
      </c>
      <c r="R489" s="5">
        <v>0</v>
      </c>
      <c r="S489" s="7">
        <f>PLANPRODUCCION[[#This Row],[PRECIO MAQUILAS]]*PLANPRODUCCION[[#This Row],[PIEZAS REAL]]</f>
        <v>0</v>
      </c>
      <c r="T48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48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8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48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489" s="8" t="s">
        <v>602</v>
      </c>
      <c r="Y489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48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489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489" s="13">
        <f>IF(PLANPRODUCCION[[#This Row],[PIEZAS REAL]]&gt;0,PLANPRODUCCION[[#This Row],[PIEZAS REAL]]/PLANPRODUCCION[[#This Row],[PIEZAS ACTUALIZADO]],)</f>
        <v>0</v>
      </c>
      <c r="AC489" t="b">
        <f>PLANPRODUCCION[[#This Row],[INGRESO PLANEADO]]&lt;PLANPRODUCCION[[#This Row],[COSTO PLANEADO]]</f>
        <v>0</v>
      </c>
      <c r="AD489" s="46" t="s">
        <v>630</v>
      </c>
      <c r="AE489" t="s">
        <v>625</v>
      </c>
      <c r="AF489" t="b">
        <f>IF(COUNTIF(PLANPRODUCCION[[#This Row],[OBSERVACIONES]],"NO APLICA BONO*")&gt;0,TRUE,FALSE)</f>
        <v>0</v>
      </c>
    </row>
    <row r="490" spans="1:32" x14ac:dyDescent="0.25">
      <c r="A490" s="46" t="str">
        <f>UPPER(IF(PLANPRODUCCION[[#This Row],[FECHA]]&lt;=45701,_xlfn.CONCAT(TEXT(B490,"MMM"),"-",IF(ROW(A490)&lt;11,"000"&amp;ROW(A490)-1,IF(ROW(A490)&lt;101,"00"&amp;ROW(A490)-1,IF(ROW(A490)&lt;1001,"0"&amp;ROW(A490)-1,ROW(A490)-1))),"-OLD"),_xlfn.CONCAT(TEXT(B490,"MMM"),"-",IF(ROW(A490)&lt;473,"000"&amp;ROW(A490)-463,IF(ROW(A490)&lt;563,"00"&amp;ROW(A490)-463,IF(ROW(A490)&lt;1001,"0"&amp;ROW(A490)-463,ROW(A490)-463))))))</f>
        <v>FEB-0027</v>
      </c>
      <c r="B490" s="39">
        <v>45705</v>
      </c>
      <c r="C490" s="5">
        <v>3</v>
      </c>
      <c r="D490" s="5">
        <v>1</v>
      </c>
      <c r="E490" t="s">
        <v>110</v>
      </c>
      <c r="F490" s="2">
        <v>0.54166666666666663</v>
      </c>
      <c r="G490" s="2">
        <v>0.875</v>
      </c>
      <c r="H490" s="5">
        <v>1577</v>
      </c>
      <c r="I490" t="s">
        <v>592</v>
      </c>
      <c r="J490" t="s">
        <v>68</v>
      </c>
      <c r="K490" s="5">
        <v>2020</v>
      </c>
      <c r="L490" s="5" t="s">
        <v>57</v>
      </c>
      <c r="M490" s="49">
        <v>1.2</v>
      </c>
      <c r="N490" s="6">
        <f>PLANPRODUCCION[[#This Row],[PIEZAS PLANEADAS]]*PLANPRODUCCION[[#This Row],[PRECIO MAQUILAS]]</f>
        <v>2424</v>
      </c>
      <c r="O490" s="5">
        <v>2</v>
      </c>
      <c r="P490" s="2">
        <v>0.54166666666666663</v>
      </c>
      <c r="Q490" s="2">
        <v>0.875</v>
      </c>
      <c r="R490" s="5">
        <v>1200</v>
      </c>
      <c r="S490" s="7">
        <f>PLANPRODUCCION[[#This Row],[PRECIO MAQUILAS]]*PLANPRODUCCION[[#This Row],[PIEZAS REAL]]</f>
        <v>1440</v>
      </c>
      <c r="T49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1347</v>
      </c>
      <c r="U49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49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49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200</v>
      </c>
      <c r="X490" s="8" t="s">
        <v>602</v>
      </c>
      <c r="Y49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9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9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90" s="13">
        <f>IF(PLANPRODUCCION[[#This Row],[PIEZAS REAL]]&gt;0,PLANPRODUCCION[[#This Row],[PIEZAS REAL]]/PLANPRODUCCION[[#This Row],[PIEZAS ACTUALIZADO]],)</f>
        <v>0.89086859688195996</v>
      </c>
      <c r="AC490" t="b">
        <f>PLANPRODUCCION[[#This Row],[INGRESO PLANEADO]]&lt;PLANPRODUCCION[[#This Row],[COSTO PLANEADO]]</f>
        <v>0</v>
      </c>
      <c r="AD490" s="46" t="s">
        <v>631</v>
      </c>
      <c r="AF490" t="b">
        <f>IF(COUNTIF(PLANPRODUCCION[[#This Row],[OBSERVACIONES]],"NO APLICA BONO*")&gt;0,TRUE,FALSE)</f>
        <v>0</v>
      </c>
    </row>
    <row r="491" spans="1:32" x14ac:dyDescent="0.25">
      <c r="A491" s="46" t="str">
        <f>UPPER(IF(PLANPRODUCCION[[#This Row],[FECHA]]&lt;=45701,_xlfn.CONCAT(TEXT(B491,"MMM"),"-",IF(ROW(A491)&lt;11,"000"&amp;ROW(A491)-1,IF(ROW(A491)&lt;101,"00"&amp;ROW(A491)-1,IF(ROW(A491)&lt;1001,"0"&amp;ROW(A491)-1,ROW(A491)-1))),"-OLD"),_xlfn.CONCAT(TEXT(B491,"MMM"),"-",IF(ROW(A491)&lt;473,"000"&amp;ROW(A491)-463,IF(ROW(A491)&lt;563,"00"&amp;ROW(A491)-463,IF(ROW(A491)&lt;1001,"0"&amp;ROW(A491)-463,ROW(A491)-463))))))</f>
        <v>FEB-0028</v>
      </c>
      <c r="B491" s="39">
        <v>45705</v>
      </c>
      <c r="C491" s="5">
        <v>2</v>
      </c>
      <c r="D491" s="5">
        <v>3</v>
      </c>
      <c r="E491" t="s">
        <v>110</v>
      </c>
      <c r="F491" s="2">
        <v>0.54166666666666663</v>
      </c>
      <c r="G491" s="2">
        <v>0.875</v>
      </c>
      <c r="H491" s="5">
        <v>1577</v>
      </c>
      <c r="I491" t="s">
        <v>592</v>
      </c>
      <c r="J491" t="s">
        <v>68</v>
      </c>
      <c r="K491" s="5">
        <v>1350</v>
      </c>
      <c r="L491" s="5" t="s">
        <v>57</v>
      </c>
      <c r="M491" s="49">
        <v>1.2</v>
      </c>
      <c r="N491" s="6">
        <f>PLANPRODUCCION[[#This Row],[PIEZAS PLANEADAS]]*PLANPRODUCCION[[#This Row],[PRECIO MAQUILAS]]</f>
        <v>1620</v>
      </c>
      <c r="O491" s="5">
        <v>2</v>
      </c>
      <c r="P491" s="2">
        <v>0.54166666666666663</v>
      </c>
      <c r="Q491" s="2">
        <v>0.875</v>
      </c>
      <c r="R491" s="5">
        <v>1350</v>
      </c>
      <c r="S491" s="7">
        <f>PLANPRODUCCION[[#This Row],[PRECIO MAQUILAS]]*PLANPRODUCCION[[#This Row],[PIEZAS REAL]]</f>
        <v>1620</v>
      </c>
      <c r="T49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1350</v>
      </c>
      <c r="U49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49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49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380</v>
      </c>
      <c r="X491" s="8" t="s">
        <v>606</v>
      </c>
      <c r="Y49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9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9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91" s="13">
        <f>IF(PLANPRODUCCION[[#This Row],[PIEZAS REAL]]&gt;0,PLANPRODUCCION[[#This Row],[PIEZAS REAL]]/PLANPRODUCCION[[#This Row],[PIEZAS ACTUALIZADO]],)</f>
        <v>1</v>
      </c>
      <c r="AC491" t="b">
        <f>PLANPRODUCCION[[#This Row],[INGRESO PLANEADO]]&lt;PLANPRODUCCION[[#This Row],[COSTO PLANEADO]]</f>
        <v>0</v>
      </c>
      <c r="AD491" s="46" t="s">
        <v>632</v>
      </c>
      <c r="AF491" t="b">
        <f>IF(COUNTIF(PLANPRODUCCION[[#This Row],[OBSERVACIONES]],"NO APLICA BONO*")&gt;0,TRUE,FALSE)</f>
        <v>0</v>
      </c>
    </row>
    <row r="492" spans="1:32" x14ac:dyDescent="0.25">
      <c r="A492" s="46" t="str">
        <f>UPPER(IF(PLANPRODUCCION[[#This Row],[FECHA]]&lt;=45701,_xlfn.CONCAT(TEXT(B492,"MMM"),"-",IF(ROW(A492)&lt;11,"000"&amp;ROW(A492)-1,IF(ROW(A492)&lt;101,"00"&amp;ROW(A492)-1,IF(ROW(A492)&lt;1001,"0"&amp;ROW(A492)-1,ROW(A492)-1))),"-OLD"),_xlfn.CONCAT(TEXT(B492,"MMM"),"-",IF(ROW(A492)&lt;473,"000"&amp;ROW(A492)-463,IF(ROW(A492)&lt;563,"00"&amp;ROW(A492)-463,IF(ROW(A492)&lt;1001,"0"&amp;ROW(A492)-463,ROW(A492)-463))))))</f>
        <v>FEB-0029</v>
      </c>
      <c r="B492" s="39">
        <v>45705</v>
      </c>
      <c r="C492" s="5">
        <v>3</v>
      </c>
      <c r="D492" s="5">
        <v>2</v>
      </c>
      <c r="E492" t="s">
        <v>72</v>
      </c>
      <c r="F492" s="2">
        <v>0.66666666666666663</v>
      </c>
      <c r="G492" s="2">
        <v>0.875</v>
      </c>
      <c r="H492" s="5">
        <v>1568</v>
      </c>
      <c r="I492" t="s">
        <v>589</v>
      </c>
      <c r="J492" t="s">
        <v>68</v>
      </c>
      <c r="K492" s="5">
        <v>1260</v>
      </c>
      <c r="L492" s="5" t="s">
        <v>57</v>
      </c>
      <c r="M492" s="49">
        <v>0.75</v>
      </c>
      <c r="N492" s="6">
        <f>PLANPRODUCCION[[#This Row],[PIEZAS PLANEADAS]]*PLANPRODUCCION[[#This Row],[PRECIO MAQUILAS]]</f>
        <v>945</v>
      </c>
      <c r="O492" s="5">
        <v>3</v>
      </c>
      <c r="P492" s="2">
        <v>0.66666666666666663</v>
      </c>
      <c r="Q492" s="2">
        <v>0.875</v>
      </c>
      <c r="R492" s="5">
        <v>500</v>
      </c>
      <c r="S492" s="7">
        <f>PLANPRODUCCION[[#This Row],[PRECIO MAQUILAS]]*PLANPRODUCCION[[#This Row],[PIEZAS REAL]]</f>
        <v>375</v>
      </c>
      <c r="T49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1260</v>
      </c>
      <c r="U49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49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49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-555</v>
      </c>
      <c r="X492" s="8" t="s">
        <v>602</v>
      </c>
      <c r="Y49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49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9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92" s="13">
        <f>IF(PLANPRODUCCION[[#This Row],[PIEZAS REAL]]&gt;0,PLANPRODUCCION[[#This Row],[PIEZAS REAL]]/PLANPRODUCCION[[#This Row],[PIEZAS ACTUALIZADO]],)</f>
        <v>0.3968253968253968</v>
      </c>
      <c r="AC492" t="b">
        <f>PLANPRODUCCION[[#This Row],[INGRESO PLANEADO]]&lt;PLANPRODUCCION[[#This Row],[COSTO PLANEADO]]</f>
        <v>0</v>
      </c>
      <c r="AD492" s="46" t="s">
        <v>633</v>
      </c>
      <c r="AF492" t="b">
        <f>IF(COUNTIF(PLANPRODUCCION[[#This Row],[OBSERVACIONES]],"NO APLICA BONO*")&gt;0,TRUE,FALSE)</f>
        <v>0</v>
      </c>
    </row>
    <row r="493" spans="1:32" x14ac:dyDescent="0.25">
      <c r="A493" s="46" t="str">
        <f>UPPER(IF(PLANPRODUCCION[[#This Row],[FECHA]]&lt;=45701,_xlfn.CONCAT(TEXT(B493,"MMM"),"-",IF(ROW(A493)&lt;11,"000"&amp;ROW(A493)-1,IF(ROW(A493)&lt;101,"00"&amp;ROW(A493)-1,IF(ROW(A493)&lt;1001,"0"&amp;ROW(A493)-1,ROW(A493)-1))),"-OLD"),_xlfn.CONCAT(TEXT(B493,"MMM"),"-",IF(ROW(A493)&lt;473,"000"&amp;ROW(A493)-463,IF(ROW(A493)&lt;563,"00"&amp;ROW(A493)-463,IF(ROW(A493)&lt;1001,"0"&amp;ROW(A493)-463,ROW(A493)-463))))))</f>
        <v>FEB-0030</v>
      </c>
      <c r="B493" s="39">
        <v>45705</v>
      </c>
      <c r="C493" s="5">
        <v>3</v>
      </c>
      <c r="D493" s="5">
        <v>3</v>
      </c>
      <c r="E493" t="s">
        <v>72</v>
      </c>
      <c r="F493" s="2">
        <v>0.66666666666666663</v>
      </c>
      <c r="G493" s="2">
        <v>0.875</v>
      </c>
      <c r="H493" s="5">
        <v>1568</v>
      </c>
      <c r="I493" t="s">
        <v>589</v>
      </c>
      <c r="J493" t="s">
        <v>68</v>
      </c>
      <c r="K493" s="5">
        <v>1260</v>
      </c>
      <c r="L493" s="5" t="s">
        <v>57</v>
      </c>
      <c r="M493" s="49">
        <v>0.75</v>
      </c>
      <c r="N493" s="6">
        <f>PLANPRODUCCION[[#This Row],[PIEZAS PLANEADAS]]*PLANPRODUCCION[[#This Row],[PRECIO MAQUILAS]]</f>
        <v>945</v>
      </c>
      <c r="O493" s="5">
        <v>2</v>
      </c>
      <c r="P493" s="2">
        <v>0.66666666666666663</v>
      </c>
      <c r="Q493" s="2">
        <v>0.875</v>
      </c>
      <c r="R493" s="5">
        <v>360</v>
      </c>
      <c r="S493" s="7">
        <f>PLANPRODUCCION[[#This Row],[PRECIO MAQUILAS]]*PLANPRODUCCION[[#This Row],[PIEZAS REAL]]</f>
        <v>270</v>
      </c>
      <c r="T49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840</v>
      </c>
      <c r="U49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49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49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-350</v>
      </c>
      <c r="X493" s="8" t="s">
        <v>602</v>
      </c>
      <c r="Y49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9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49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93" s="13">
        <f>IF(PLANPRODUCCION[[#This Row],[PIEZAS REAL]]&gt;0,PLANPRODUCCION[[#This Row],[PIEZAS REAL]]/PLANPRODUCCION[[#This Row],[PIEZAS ACTUALIZADO]],)</f>
        <v>0.42857142857142855</v>
      </c>
      <c r="AC493" t="b">
        <f>PLANPRODUCCION[[#This Row],[INGRESO PLANEADO]]&lt;PLANPRODUCCION[[#This Row],[COSTO PLANEADO]]</f>
        <v>0</v>
      </c>
      <c r="AD493" s="46" t="s">
        <v>634</v>
      </c>
      <c r="AF493" t="b">
        <f>IF(COUNTIF(PLANPRODUCCION[[#This Row],[OBSERVACIONES]],"NO APLICA BONO*")&gt;0,TRUE,FALSE)</f>
        <v>0</v>
      </c>
    </row>
    <row r="494" spans="1:32" x14ac:dyDescent="0.25">
      <c r="A494" s="46" t="str">
        <f>UPPER(IF(PLANPRODUCCION[[#This Row],[FECHA]]&lt;=45701,_xlfn.CONCAT(TEXT(B494,"MMM"),"-",IF(ROW(A494)&lt;11,"000"&amp;ROW(A494)-1,IF(ROW(A494)&lt;101,"00"&amp;ROW(A494)-1,IF(ROW(A494)&lt;1001,"0"&amp;ROW(A494)-1,ROW(A494)-1))),"-OLD"),_xlfn.CONCAT(TEXT(B494,"MMM"),"-",IF(ROW(A494)&lt;473,"000"&amp;ROW(A494)-463,IF(ROW(A494)&lt;563,"00"&amp;ROW(A494)-463,IF(ROW(A494)&lt;1001,"0"&amp;ROW(A494)-463,ROW(A494)-463))))))</f>
        <v>FEB-0031</v>
      </c>
      <c r="B494" s="39">
        <v>45705</v>
      </c>
      <c r="C494" s="5">
        <v>4</v>
      </c>
      <c r="D494" s="5">
        <v>1</v>
      </c>
      <c r="E494" t="s">
        <v>75</v>
      </c>
      <c r="F494" s="2">
        <v>0.875</v>
      </c>
      <c r="G494" s="2">
        <v>6.25E-2</v>
      </c>
      <c r="H494" s="5">
        <v>1574</v>
      </c>
      <c r="I494" t="s">
        <v>81</v>
      </c>
      <c r="J494" t="s">
        <v>82</v>
      </c>
      <c r="K494" s="5">
        <v>768</v>
      </c>
      <c r="L494" s="5" t="s">
        <v>83</v>
      </c>
      <c r="M494" s="49">
        <v>4</v>
      </c>
      <c r="N494" s="6">
        <f>PLANPRODUCCION[[#This Row],[PIEZAS PLANEADAS]]*PLANPRODUCCION[[#This Row],[PRECIO MAQUILAS]]</f>
        <v>3072</v>
      </c>
      <c r="O494" s="5">
        <v>10</v>
      </c>
      <c r="P494" s="2">
        <v>0.875</v>
      </c>
      <c r="Q494" s="2">
        <v>8.6805555555555552E-2</v>
      </c>
      <c r="R494" s="5">
        <v>1920</v>
      </c>
      <c r="S494" s="7">
        <f>PLANPRODUCCION[[#This Row],[PRECIO MAQUILAS]]*PLANPRODUCCION[[#This Row],[PIEZAS REAL]]</f>
        <v>7680</v>
      </c>
      <c r="T49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2169</v>
      </c>
      <c r="U49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1500</v>
      </c>
      <c r="V49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4236.1111111111113</v>
      </c>
      <c r="W49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3443.8888888888887</v>
      </c>
      <c r="X494" s="8" t="s">
        <v>602</v>
      </c>
      <c r="Y49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9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9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94" s="13">
        <f>IF(PLANPRODUCCION[[#This Row],[PIEZAS REAL]]&gt;0,PLANPRODUCCION[[#This Row],[PIEZAS REAL]]/PLANPRODUCCION[[#This Row],[PIEZAS ACTUALIZADO]],)</f>
        <v>0.88520055325034575</v>
      </c>
      <c r="AC494" t="b">
        <f>PLANPRODUCCION[[#This Row],[INGRESO PLANEADO]]&lt;PLANPRODUCCION[[#This Row],[COSTO PLANEADO]]</f>
        <v>0</v>
      </c>
      <c r="AD494" s="46" t="s">
        <v>635</v>
      </c>
      <c r="AF494" t="b">
        <f>IF(COUNTIF(PLANPRODUCCION[[#This Row],[OBSERVACIONES]],"NO APLICA BONO*")&gt;0,TRUE,FALSE)</f>
        <v>0</v>
      </c>
    </row>
    <row r="495" spans="1:32" x14ac:dyDescent="0.25">
      <c r="A495" s="46" t="str">
        <f>UPPER(IF(PLANPRODUCCION[[#This Row],[FECHA]]&lt;=45701,_xlfn.CONCAT(TEXT(B495,"MMM"),"-",IF(ROW(A495)&lt;11,"000"&amp;ROW(A495)-1,IF(ROW(A495)&lt;101,"00"&amp;ROW(A495)-1,IF(ROW(A495)&lt;1001,"0"&amp;ROW(A495)-1,ROW(A495)-1))),"-OLD"),_xlfn.CONCAT(TEXT(B495,"MMM"),"-",IF(ROW(A495)&lt;473,"000"&amp;ROW(A495)-463,IF(ROW(A495)&lt;563,"00"&amp;ROW(A495)-463,IF(ROW(A495)&lt;1001,"0"&amp;ROW(A495)-463,ROW(A495)-463))))))</f>
        <v>FEB-0032</v>
      </c>
      <c r="B495" s="39">
        <v>45705</v>
      </c>
      <c r="C495" s="5">
        <v>4</v>
      </c>
      <c r="D495" s="5">
        <v>1</v>
      </c>
      <c r="E495" t="s">
        <v>75</v>
      </c>
      <c r="F495" s="2">
        <v>6.25E-2</v>
      </c>
      <c r="G495" s="2">
        <v>0.25</v>
      </c>
      <c r="H495" s="5">
        <v>1568</v>
      </c>
      <c r="I495" t="s">
        <v>589</v>
      </c>
      <c r="J495" t="s">
        <v>68</v>
      </c>
      <c r="K495" s="5">
        <v>1550</v>
      </c>
      <c r="L495" s="5" t="s">
        <v>57</v>
      </c>
      <c r="M495" s="49">
        <v>0.75</v>
      </c>
      <c r="N495" s="6">
        <f>PLANPRODUCCION[[#This Row],[PIEZAS PLANEADAS]]*PLANPRODUCCION[[#This Row],[PRECIO MAQUILAS]]</f>
        <v>1162.5</v>
      </c>
      <c r="O495" s="5">
        <v>10</v>
      </c>
      <c r="P495" s="2">
        <v>0.125</v>
      </c>
      <c r="Q495" s="2">
        <v>0.25</v>
      </c>
      <c r="R495" s="5">
        <v>810</v>
      </c>
      <c r="S495" s="7">
        <f>PLANPRODUCCION[[#This Row],[PRECIO MAQUILAS]]*PLANPRODUCCION[[#This Row],[PIEZAS REAL]]</f>
        <v>607.5</v>
      </c>
      <c r="T49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2584</v>
      </c>
      <c r="U49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1499.9999999999998</v>
      </c>
      <c r="V49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2500</v>
      </c>
      <c r="W49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-1892.5</v>
      </c>
      <c r="X495" s="8" t="s">
        <v>602</v>
      </c>
      <c r="Y49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49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49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495" s="13">
        <f>IF(PLANPRODUCCION[[#This Row],[PIEZAS REAL]]&gt;0,PLANPRODUCCION[[#This Row],[PIEZAS REAL]]/PLANPRODUCCION[[#This Row],[PIEZAS ACTUALIZADO]],)</f>
        <v>0.31346749226006193</v>
      </c>
      <c r="AC495" t="b">
        <f>PLANPRODUCCION[[#This Row],[INGRESO PLANEADO]]&lt;PLANPRODUCCION[[#This Row],[COSTO PLANEADO]]</f>
        <v>1</v>
      </c>
      <c r="AD495" s="46" t="s">
        <v>636</v>
      </c>
      <c r="AF495" t="b">
        <f>IF(COUNTIF(PLANPRODUCCION[[#This Row],[OBSERVACIONES]],"NO APLICA BONO*")&gt;0,TRUE,FALSE)</f>
        <v>0</v>
      </c>
    </row>
    <row r="496" spans="1:32" x14ac:dyDescent="0.25">
      <c r="A496" s="46" t="str">
        <f>UPPER(IF(PLANPRODUCCION[[#This Row],[FECHA]]&lt;=45701,_xlfn.CONCAT(TEXT(B496,"MMM"),"-",IF(ROW(A496)&lt;11,"000"&amp;ROW(A496)-1,IF(ROW(A496)&lt;101,"00"&amp;ROW(A496)-1,IF(ROW(A496)&lt;1001,"0"&amp;ROW(A496)-1,ROW(A496)-1))),"-OLD"),_xlfn.CONCAT(TEXT(B496,"MMM"),"-",IF(ROW(A496)&lt;473,"000"&amp;ROW(A496)-463,IF(ROW(A496)&lt;563,"00"&amp;ROW(A496)-463,IF(ROW(A496)&lt;1001,"0"&amp;ROW(A496)-463,ROW(A496)-463))))))</f>
        <v>FEB-0033</v>
      </c>
      <c r="B496" s="39">
        <v>45705</v>
      </c>
      <c r="C496" s="5">
        <v>3</v>
      </c>
      <c r="D496" s="5">
        <v>2</v>
      </c>
      <c r="E496" t="s">
        <v>75</v>
      </c>
      <c r="F496" s="2">
        <v>0.875</v>
      </c>
      <c r="G496" s="2">
        <v>6.25E-2</v>
      </c>
      <c r="H496" s="5">
        <v>1574</v>
      </c>
      <c r="I496" t="s">
        <v>81</v>
      </c>
      <c r="J496" t="s">
        <v>82</v>
      </c>
      <c r="K496" s="5">
        <v>576</v>
      </c>
      <c r="L496" s="5" t="s">
        <v>83</v>
      </c>
      <c r="M496" s="49">
        <v>4</v>
      </c>
      <c r="N496" s="6">
        <f>PLANPRODUCCION[[#This Row],[PIEZAS PLANEADAS]]*PLANPRODUCCION[[#This Row],[PRECIO MAQUILAS]]</f>
        <v>2304</v>
      </c>
      <c r="O496" s="5">
        <v>0</v>
      </c>
      <c r="P496" s="2">
        <v>0</v>
      </c>
      <c r="Q496" s="2">
        <v>0</v>
      </c>
      <c r="R496" s="5">
        <v>0</v>
      </c>
      <c r="S496" s="7">
        <f>PLANPRODUCCION[[#This Row],[PRECIO MAQUILAS]]*PLANPRODUCCION[[#This Row],[PIEZAS REAL]]</f>
        <v>0</v>
      </c>
      <c r="T49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49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9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49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496" s="8" t="s">
        <v>602</v>
      </c>
      <c r="Y496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49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496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496" s="13">
        <f>IF(PLANPRODUCCION[[#This Row],[PIEZAS REAL]]&gt;0,PLANPRODUCCION[[#This Row],[PIEZAS REAL]]/PLANPRODUCCION[[#This Row],[PIEZAS ACTUALIZADO]],)</f>
        <v>0</v>
      </c>
      <c r="AC496" t="b">
        <f>PLANPRODUCCION[[#This Row],[INGRESO PLANEADO]]&lt;PLANPRODUCCION[[#This Row],[COSTO PLANEADO]]</f>
        <v>0</v>
      </c>
      <c r="AD496" s="46" t="s">
        <v>637</v>
      </c>
      <c r="AE496" t="s">
        <v>638</v>
      </c>
      <c r="AF496" t="b">
        <f>IF(COUNTIF(PLANPRODUCCION[[#This Row],[OBSERVACIONES]],"NO APLICA BONO*")&gt;0,TRUE,FALSE)</f>
        <v>0</v>
      </c>
    </row>
    <row r="497" spans="1:32" x14ac:dyDescent="0.25">
      <c r="A497" s="46" t="str">
        <f>UPPER(IF(PLANPRODUCCION[[#This Row],[FECHA]]&lt;=45701,_xlfn.CONCAT(TEXT(B497,"MMM"),"-",IF(ROW(A497)&lt;11,"000"&amp;ROW(A497)-1,IF(ROW(A497)&lt;101,"00"&amp;ROW(A497)-1,IF(ROW(A497)&lt;1001,"0"&amp;ROW(A497)-1,ROW(A497)-1))),"-OLD"),_xlfn.CONCAT(TEXT(B497,"MMM"),"-",IF(ROW(A497)&lt;473,"000"&amp;ROW(A497)-463,IF(ROW(A497)&lt;563,"00"&amp;ROW(A497)-463,IF(ROW(A497)&lt;1001,"0"&amp;ROW(A497)-463,ROW(A497)-463))))))</f>
        <v>FEB-0034</v>
      </c>
      <c r="B497" s="39">
        <v>45705</v>
      </c>
      <c r="C497" s="5">
        <v>3</v>
      </c>
      <c r="D497" s="5">
        <v>2</v>
      </c>
      <c r="E497" t="s">
        <v>75</v>
      </c>
      <c r="F497" s="2">
        <v>6.25E-2</v>
      </c>
      <c r="G497" s="2">
        <v>0.25</v>
      </c>
      <c r="H497" s="5">
        <v>1568</v>
      </c>
      <c r="I497" t="s">
        <v>589</v>
      </c>
      <c r="J497" t="s">
        <v>68</v>
      </c>
      <c r="K497" s="5">
        <v>1150</v>
      </c>
      <c r="L497" s="5" t="s">
        <v>57</v>
      </c>
      <c r="M497" s="49">
        <v>0.75</v>
      </c>
      <c r="N497" s="6">
        <f>PLANPRODUCCION[[#This Row],[PIEZAS PLANEADAS]]*PLANPRODUCCION[[#This Row],[PRECIO MAQUILAS]]</f>
        <v>862.5</v>
      </c>
      <c r="O497" s="5">
        <v>0</v>
      </c>
      <c r="P497" s="2">
        <v>0</v>
      </c>
      <c r="Q497" s="2">
        <v>0</v>
      </c>
      <c r="R497" s="5">
        <v>0</v>
      </c>
      <c r="S497" s="7">
        <f>PLANPRODUCCION[[#This Row],[PRECIO MAQUILAS]]*PLANPRODUCCION[[#This Row],[PIEZAS REAL]]</f>
        <v>0</v>
      </c>
      <c r="T49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49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9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49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497" s="8" t="s">
        <v>602</v>
      </c>
      <c r="Y497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49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497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497" s="13">
        <f>IF(PLANPRODUCCION[[#This Row],[PIEZAS REAL]]&gt;0,PLANPRODUCCION[[#This Row],[PIEZAS REAL]]/PLANPRODUCCION[[#This Row],[PIEZAS ACTUALIZADO]],)</f>
        <v>0</v>
      </c>
      <c r="AC497" t="b">
        <f>PLANPRODUCCION[[#This Row],[INGRESO PLANEADO]]&lt;PLANPRODUCCION[[#This Row],[COSTO PLANEADO]]</f>
        <v>0</v>
      </c>
      <c r="AD497" s="46" t="s">
        <v>639</v>
      </c>
      <c r="AE497" t="s">
        <v>638</v>
      </c>
      <c r="AF497" t="b">
        <f>IF(COUNTIF(PLANPRODUCCION[[#This Row],[OBSERVACIONES]],"NO APLICA BONO*")&gt;0,TRUE,FALSE)</f>
        <v>0</v>
      </c>
    </row>
    <row r="498" spans="1:32" x14ac:dyDescent="0.25">
      <c r="A498" s="46" t="str">
        <f>UPPER(IF(PLANPRODUCCION[[#This Row],[FECHA]]&lt;=45701,_xlfn.CONCAT(TEXT(B498,"MMM"),"-",IF(ROW(A498)&lt;11,"000"&amp;ROW(A498)-1,IF(ROW(A498)&lt;101,"00"&amp;ROW(A498)-1,IF(ROW(A498)&lt;1001,"0"&amp;ROW(A498)-1,ROW(A498)-1))),"-OLD"),_xlfn.CONCAT(TEXT(B498,"MMM"),"-",IF(ROW(A498)&lt;473,"000"&amp;ROW(A498)-463,IF(ROW(A498)&lt;563,"00"&amp;ROW(A498)-463,IF(ROW(A498)&lt;1001,"0"&amp;ROW(A498)-463,ROW(A498)-463))))))</f>
        <v>FEB-0035</v>
      </c>
      <c r="B498" s="39">
        <v>45705</v>
      </c>
      <c r="C498" s="5">
        <v>3</v>
      </c>
      <c r="D498" s="5">
        <v>3</v>
      </c>
      <c r="E498" t="s">
        <v>75</v>
      </c>
      <c r="F498" s="2">
        <v>0.875</v>
      </c>
      <c r="G498" s="2">
        <v>6.25E-2</v>
      </c>
      <c r="H498" s="5">
        <v>1574</v>
      </c>
      <c r="I498" t="s">
        <v>81</v>
      </c>
      <c r="J498" t="s">
        <v>82</v>
      </c>
      <c r="K498" s="5">
        <v>576</v>
      </c>
      <c r="L498" s="5" t="s">
        <v>83</v>
      </c>
      <c r="M498" s="49">
        <v>4</v>
      </c>
      <c r="N498" s="6">
        <f>PLANPRODUCCION[[#This Row],[PIEZAS PLANEADAS]]*PLANPRODUCCION[[#This Row],[PRECIO MAQUILAS]]</f>
        <v>2304</v>
      </c>
      <c r="O498" s="5">
        <v>0</v>
      </c>
      <c r="P498" s="2">
        <v>0</v>
      </c>
      <c r="Q498" s="2">
        <v>0</v>
      </c>
      <c r="R498" s="5">
        <v>0</v>
      </c>
      <c r="S498" s="7">
        <f>PLANPRODUCCION[[#This Row],[PRECIO MAQUILAS]]*PLANPRODUCCION[[#This Row],[PIEZAS REAL]]</f>
        <v>0</v>
      </c>
      <c r="T49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49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9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49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498" s="8" t="s">
        <v>602</v>
      </c>
      <c r="Y498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49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498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498" s="13">
        <f>IF(PLANPRODUCCION[[#This Row],[PIEZAS REAL]]&gt;0,PLANPRODUCCION[[#This Row],[PIEZAS REAL]]/PLANPRODUCCION[[#This Row],[PIEZAS ACTUALIZADO]],)</f>
        <v>0</v>
      </c>
      <c r="AC498" t="b">
        <f>PLANPRODUCCION[[#This Row],[INGRESO PLANEADO]]&lt;PLANPRODUCCION[[#This Row],[COSTO PLANEADO]]</f>
        <v>0</v>
      </c>
      <c r="AD498" s="46" t="s">
        <v>640</v>
      </c>
      <c r="AE498" t="s">
        <v>638</v>
      </c>
      <c r="AF498" t="b">
        <f>IF(COUNTIF(PLANPRODUCCION[[#This Row],[OBSERVACIONES]],"NO APLICA BONO*")&gt;0,TRUE,FALSE)</f>
        <v>0</v>
      </c>
    </row>
    <row r="499" spans="1:32" x14ac:dyDescent="0.25">
      <c r="A499" s="46" t="str">
        <f>UPPER(IF(PLANPRODUCCION[[#This Row],[FECHA]]&lt;=45701,_xlfn.CONCAT(TEXT(B499,"MMM"),"-",IF(ROW(A499)&lt;11,"000"&amp;ROW(A499)-1,IF(ROW(A499)&lt;101,"00"&amp;ROW(A499)-1,IF(ROW(A499)&lt;1001,"0"&amp;ROW(A499)-1,ROW(A499)-1))),"-OLD"),_xlfn.CONCAT(TEXT(B499,"MMM"),"-",IF(ROW(A499)&lt;473,"000"&amp;ROW(A499)-463,IF(ROW(A499)&lt;563,"00"&amp;ROW(A499)-463,IF(ROW(A499)&lt;1001,"0"&amp;ROW(A499)-463,ROW(A499)-463))))))</f>
        <v>FEB-0036</v>
      </c>
      <c r="B499" s="39">
        <v>45705</v>
      </c>
      <c r="C499" s="5">
        <v>3</v>
      </c>
      <c r="D499" s="5">
        <v>3</v>
      </c>
      <c r="E499" t="s">
        <v>75</v>
      </c>
      <c r="F499" s="2">
        <v>6.25E-2</v>
      </c>
      <c r="G499" s="2">
        <v>0.25</v>
      </c>
      <c r="H499" s="5">
        <v>1568</v>
      </c>
      <c r="I499" t="s">
        <v>589</v>
      </c>
      <c r="J499" t="s">
        <v>68</v>
      </c>
      <c r="K499" s="5">
        <v>1150</v>
      </c>
      <c r="L499" s="5" t="s">
        <v>57</v>
      </c>
      <c r="M499" s="49">
        <v>0.75</v>
      </c>
      <c r="N499" s="6">
        <f>PLANPRODUCCION[[#This Row],[PIEZAS PLANEADAS]]*PLANPRODUCCION[[#This Row],[PRECIO MAQUILAS]]</f>
        <v>862.5</v>
      </c>
      <c r="O499" s="5">
        <v>0</v>
      </c>
      <c r="P499" s="2">
        <v>0</v>
      </c>
      <c r="Q499" s="2">
        <v>0</v>
      </c>
      <c r="R499" s="5">
        <v>0</v>
      </c>
      <c r="S499" s="7">
        <f>PLANPRODUCCION[[#This Row],[PRECIO MAQUILAS]]*PLANPRODUCCION[[#This Row],[PIEZAS REAL]]</f>
        <v>0</v>
      </c>
      <c r="T49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49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49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49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499" s="8" t="s">
        <v>602</v>
      </c>
      <c r="Y499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49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499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499" s="13">
        <f>IF(PLANPRODUCCION[[#This Row],[PIEZAS REAL]]&gt;0,PLANPRODUCCION[[#This Row],[PIEZAS REAL]]/PLANPRODUCCION[[#This Row],[PIEZAS ACTUALIZADO]],)</f>
        <v>0</v>
      </c>
      <c r="AC499" t="b">
        <f>PLANPRODUCCION[[#This Row],[INGRESO PLANEADO]]&lt;PLANPRODUCCION[[#This Row],[COSTO PLANEADO]]</f>
        <v>0</v>
      </c>
      <c r="AD499" s="46" t="s">
        <v>641</v>
      </c>
      <c r="AE499" t="s">
        <v>638</v>
      </c>
      <c r="AF499" t="b">
        <f>IF(COUNTIF(PLANPRODUCCION[[#This Row],[OBSERVACIONES]],"NO APLICA BONO*")&gt;0,TRUE,FALSE)</f>
        <v>0</v>
      </c>
    </row>
    <row r="500" spans="1:32" x14ac:dyDescent="0.25">
      <c r="A500" s="46" t="str">
        <f>UPPER(IF(PLANPRODUCCION[[#This Row],[FECHA]]&lt;=45701,_xlfn.CONCAT(TEXT(B500,"MMM"),"-",IF(ROW(A500)&lt;11,"000"&amp;ROW(A500)-1,IF(ROW(A500)&lt;101,"00"&amp;ROW(A500)-1,IF(ROW(A500)&lt;1001,"0"&amp;ROW(A500)-1,ROW(A500)-1))),"-OLD"),_xlfn.CONCAT(TEXT(B500,"MMM"),"-",IF(ROW(A500)&lt;473,"000"&amp;ROW(A500)-463,IF(ROW(A500)&lt;563,"00"&amp;ROW(A500)-463,IF(ROW(A500)&lt;1001,"0"&amp;ROW(A500)-463,ROW(A500)-463))))))</f>
        <v>FEB-0037</v>
      </c>
      <c r="B500" s="39">
        <v>45706</v>
      </c>
      <c r="C500" s="5">
        <v>3</v>
      </c>
      <c r="D500" s="5">
        <v>4</v>
      </c>
      <c r="E500" t="s">
        <v>54</v>
      </c>
      <c r="F500" s="2">
        <v>0.25</v>
      </c>
      <c r="G500" s="2">
        <v>0.66666666666666663</v>
      </c>
      <c r="H500" s="5">
        <v>1582</v>
      </c>
      <c r="I500" t="s">
        <v>642</v>
      </c>
      <c r="J500" t="s">
        <v>643</v>
      </c>
      <c r="K500" s="5">
        <v>150</v>
      </c>
      <c r="L500" s="5" t="s">
        <v>283</v>
      </c>
      <c r="M500" s="49">
        <v>26.5</v>
      </c>
      <c r="N500" s="6">
        <f>PLANPRODUCCION[[#This Row],[PIEZAS PLANEADAS]]*PLANPRODUCCION[[#This Row],[PRECIO MAQUILAS]]</f>
        <v>3975</v>
      </c>
      <c r="O500" s="5">
        <v>3</v>
      </c>
      <c r="P500" s="2">
        <v>0.25</v>
      </c>
      <c r="Q500" s="2">
        <v>0.66666666666666663</v>
      </c>
      <c r="R500" s="5">
        <v>83</v>
      </c>
      <c r="S500" s="7">
        <f>PLANPRODUCCION[[#This Row],[PRECIO MAQUILAS]]*PLANPRODUCCION[[#This Row],[PIEZAS REAL]]</f>
        <v>2199.5</v>
      </c>
      <c r="T50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150</v>
      </c>
      <c r="U50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0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50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339.5</v>
      </c>
      <c r="X500" s="8" t="s">
        <v>602</v>
      </c>
      <c r="Y50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0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0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00" s="13">
        <f>IF(PLANPRODUCCION[[#This Row],[PIEZAS REAL]]&gt;0,PLANPRODUCCION[[#This Row],[PIEZAS REAL]]/PLANPRODUCCION[[#This Row],[PIEZAS ACTUALIZADO]],)</f>
        <v>0.55333333333333334</v>
      </c>
      <c r="AC500" t="b">
        <f>PLANPRODUCCION[[#This Row],[INGRESO PLANEADO]]&lt;PLANPRODUCCION[[#This Row],[COSTO PLANEADO]]</f>
        <v>0</v>
      </c>
      <c r="AD500" s="46" t="s">
        <v>644</v>
      </c>
      <c r="AE500" t="s">
        <v>645</v>
      </c>
      <c r="AF500" t="b">
        <f>IF(COUNTIF(PLANPRODUCCION[[#This Row],[OBSERVACIONES]],"NO APLICA BONO*")&gt;0,TRUE,FALSE)</f>
        <v>0</v>
      </c>
    </row>
    <row r="501" spans="1:32" x14ac:dyDescent="0.25">
      <c r="A501" s="46" t="str">
        <f>UPPER(IF(PLANPRODUCCION[[#This Row],[FECHA]]&lt;=45701,_xlfn.CONCAT(TEXT(B501,"MMM"),"-",IF(ROW(A501)&lt;11,"000"&amp;ROW(A501)-1,IF(ROW(A501)&lt;101,"00"&amp;ROW(A501)-1,IF(ROW(A501)&lt;1001,"0"&amp;ROW(A501)-1,ROW(A501)-1))),"-OLD"),_xlfn.CONCAT(TEXT(B501,"MMM"),"-",IF(ROW(A501)&lt;473,"000"&amp;ROW(A501)-463,IF(ROW(A501)&lt;563,"00"&amp;ROW(A501)-463,IF(ROW(A501)&lt;1001,"0"&amp;ROW(A501)-463,ROW(A501)-463))))))</f>
        <v>FEB-0038</v>
      </c>
      <c r="B501" s="39">
        <v>45706</v>
      </c>
      <c r="C501" s="5">
        <v>3</v>
      </c>
      <c r="D501" s="5">
        <v>5</v>
      </c>
      <c r="E501" t="s">
        <v>54</v>
      </c>
      <c r="F501" s="2">
        <v>0.25</v>
      </c>
      <c r="G501" s="2">
        <v>0.66666666666666663</v>
      </c>
      <c r="H501" s="5">
        <v>1582</v>
      </c>
      <c r="I501" t="s">
        <v>642</v>
      </c>
      <c r="J501" t="s">
        <v>643</v>
      </c>
      <c r="K501" s="5">
        <v>150</v>
      </c>
      <c r="L501" s="5" t="s">
        <v>283</v>
      </c>
      <c r="M501" s="49">
        <v>26.5</v>
      </c>
      <c r="N501" s="6">
        <f>PLANPRODUCCION[[#This Row],[PIEZAS PLANEADAS]]*PLANPRODUCCION[[#This Row],[PRECIO MAQUILAS]]</f>
        <v>3975</v>
      </c>
      <c r="O501" s="5">
        <v>3</v>
      </c>
      <c r="P501" s="2">
        <v>0.25</v>
      </c>
      <c r="Q501" s="2">
        <v>0.66666666666666663</v>
      </c>
      <c r="R501" s="5">
        <v>117</v>
      </c>
      <c r="S501" s="7">
        <f>PLANPRODUCCION[[#This Row],[PRECIO MAQUILAS]]*PLANPRODUCCION[[#This Row],[PIEZAS REAL]]</f>
        <v>3100.5</v>
      </c>
      <c r="T50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150</v>
      </c>
      <c r="U50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0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50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1240.5</v>
      </c>
      <c r="X501" s="8" t="s">
        <v>602</v>
      </c>
      <c r="Y50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0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0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01" s="13">
        <f>IF(PLANPRODUCCION[[#This Row],[PIEZAS REAL]]&gt;0,PLANPRODUCCION[[#This Row],[PIEZAS REAL]]/PLANPRODUCCION[[#This Row],[PIEZAS ACTUALIZADO]],)</f>
        <v>0.78</v>
      </c>
      <c r="AC501" t="b">
        <f>PLANPRODUCCION[[#This Row],[INGRESO PLANEADO]]&lt;PLANPRODUCCION[[#This Row],[COSTO PLANEADO]]</f>
        <v>0</v>
      </c>
      <c r="AD501" s="46" t="s">
        <v>646</v>
      </c>
      <c r="AE501" t="s">
        <v>645</v>
      </c>
      <c r="AF501" t="b">
        <f>IF(COUNTIF(PLANPRODUCCION[[#This Row],[OBSERVACIONES]],"NO APLICA BONO*")&gt;0,TRUE,FALSE)</f>
        <v>0</v>
      </c>
    </row>
    <row r="502" spans="1:32" x14ac:dyDescent="0.25">
      <c r="A502" s="46" t="str">
        <f>UPPER(IF(PLANPRODUCCION[[#This Row],[FECHA]]&lt;=45701,_xlfn.CONCAT(TEXT(B502,"MMM"),"-",IF(ROW(A502)&lt;11,"000"&amp;ROW(A502)-1,IF(ROW(A502)&lt;101,"00"&amp;ROW(A502)-1,IF(ROW(A502)&lt;1001,"0"&amp;ROW(A502)-1,ROW(A502)-1))),"-OLD"),_xlfn.CONCAT(TEXT(B502,"MMM"),"-",IF(ROW(A502)&lt;473,"000"&amp;ROW(A502)-463,IF(ROW(A502)&lt;563,"00"&amp;ROW(A502)-463,IF(ROW(A502)&lt;1001,"0"&amp;ROW(A502)-463,ROW(A502)-463))))))</f>
        <v>FEB-0039</v>
      </c>
      <c r="B502" s="39">
        <v>45706</v>
      </c>
      <c r="C502" s="5">
        <v>3</v>
      </c>
      <c r="D502" s="5">
        <v>6</v>
      </c>
      <c r="E502" t="s">
        <v>54</v>
      </c>
      <c r="F502" s="2">
        <v>0.25</v>
      </c>
      <c r="G502" s="2">
        <v>0.66666666666666663</v>
      </c>
      <c r="H502" s="5">
        <v>1582</v>
      </c>
      <c r="I502" t="s">
        <v>642</v>
      </c>
      <c r="J502" t="s">
        <v>643</v>
      </c>
      <c r="K502" s="5">
        <v>150</v>
      </c>
      <c r="L502" s="5" t="s">
        <v>283</v>
      </c>
      <c r="M502" s="49">
        <v>26.5</v>
      </c>
      <c r="N502" s="6">
        <f>PLANPRODUCCION[[#This Row],[PIEZAS PLANEADAS]]*PLANPRODUCCION[[#This Row],[PRECIO MAQUILAS]]</f>
        <v>3975</v>
      </c>
      <c r="O502" s="5">
        <v>3</v>
      </c>
      <c r="P502" s="2">
        <v>0.25</v>
      </c>
      <c r="Q502" s="2">
        <v>0.66666666666666663</v>
      </c>
      <c r="R502" s="5">
        <v>122</v>
      </c>
      <c r="S502" s="7">
        <f>PLANPRODUCCION[[#This Row],[PRECIO MAQUILAS]]*PLANPRODUCCION[[#This Row],[PIEZAS REAL]]</f>
        <v>3233</v>
      </c>
      <c r="T50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150</v>
      </c>
      <c r="U50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0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50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1373</v>
      </c>
      <c r="X502" s="8" t="s">
        <v>602</v>
      </c>
      <c r="Y50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0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0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02" s="13">
        <f>IF(PLANPRODUCCION[[#This Row],[PIEZAS REAL]]&gt;0,PLANPRODUCCION[[#This Row],[PIEZAS REAL]]/PLANPRODUCCION[[#This Row],[PIEZAS ACTUALIZADO]],)</f>
        <v>0.81333333333333335</v>
      </c>
      <c r="AC502" t="b">
        <f>PLANPRODUCCION[[#This Row],[INGRESO PLANEADO]]&lt;PLANPRODUCCION[[#This Row],[COSTO PLANEADO]]</f>
        <v>0</v>
      </c>
      <c r="AD502" s="46" t="s">
        <v>647</v>
      </c>
      <c r="AE502" t="s">
        <v>645</v>
      </c>
      <c r="AF502" t="b">
        <f>IF(COUNTIF(PLANPRODUCCION[[#This Row],[OBSERVACIONES]],"NO APLICA BONO*")&gt;0,TRUE,FALSE)</f>
        <v>0</v>
      </c>
    </row>
    <row r="503" spans="1:32" x14ac:dyDescent="0.25">
      <c r="A503" s="46" t="str">
        <f>UPPER(IF(PLANPRODUCCION[[#This Row],[FECHA]]&lt;=45701,_xlfn.CONCAT(TEXT(B503,"MMM"),"-",IF(ROW(A503)&lt;11,"000"&amp;ROW(A503)-1,IF(ROW(A503)&lt;101,"00"&amp;ROW(A503)-1,IF(ROW(A503)&lt;1001,"0"&amp;ROW(A503)-1,ROW(A503)-1))),"-OLD"),_xlfn.CONCAT(TEXT(B503,"MMM"),"-",IF(ROW(A503)&lt;473,"000"&amp;ROW(A503)-463,IF(ROW(A503)&lt;563,"00"&amp;ROW(A503)-463,IF(ROW(A503)&lt;1001,"0"&amp;ROW(A503)-463,ROW(A503)-463))))))</f>
        <v>FEB-0040</v>
      </c>
      <c r="B503" s="39">
        <v>45706</v>
      </c>
      <c r="C503" s="5">
        <v>3</v>
      </c>
      <c r="D503" s="5">
        <v>7</v>
      </c>
      <c r="E503" t="s">
        <v>54</v>
      </c>
      <c r="F503" s="2">
        <v>0.25</v>
      </c>
      <c r="G503" s="2">
        <v>0.66666666666666663</v>
      </c>
      <c r="H503" s="5">
        <v>1568</v>
      </c>
      <c r="I503" t="s">
        <v>648</v>
      </c>
      <c r="J503" t="s">
        <v>649</v>
      </c>
      <c r="K503" s="5">
        <v>4500</v>
      </c>
      <c r="L503" s="5" t="s">
        <v>57</v>
      </c>
      <c r="M503" s="49">
        <v>1.2</v>
      </c>
      <c r="N503" s="6">
        <f>PLANPRODUCCION[[#This Row],[PIEZAS PLANEADAS]]*PLANPRODUCCION[[#This Row],[PRECIO MAQUILAS]]</f>
        <v>5400</v>
      </c>
      <c r="O503" s="5">
        <v>3</v>
      </c>
      <c r="P503" s="2">
        <v>0.25</v>
      </c>
      <c r="Q503" s="2">
        <v>0.64583333333333337</v>
      </c>
      <c r="R503" s="5">
        <v>4500</v>
      </c>
      <c r="S503" s="7">
        <f>PLANPRODUCCION[[#This Row],[PRECIO MAQUILAS]]*PLANPRODUCCION[[#This Row],[PIEZAS REAL]]</f>
        <v>5400</v>
      </c>
      <c r="T50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4275</v>
      </c>
      <c r="U50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0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1767</v>
      </c>
      <c r="W50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3633</v>
      </c>
      <c r="X503" s="8" t="s">
        <v>602</v>
      </c>
      <c r="Y50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0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03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503" s="13">
        <f>IF(PLANPRODUCCION[[#This Row],[PIEZAS REAL]]&gt;0,PLANPRODUCCION[[#This Row],[PIEZAS REAL]]/PLANPRODUCCION[[#This Row],[PIEZAS ACTUALIZADO]],)</f>
        <v>1.0526315789473684</v>
      </c>
      <c r="AC503" t="b">
        <f>PLANPRODUCCION[[#This Row],[INGRESO PLANEADO]]&lt;PLANPRODUCCION[[#This Row],[COSTO PLANEADO]]</f>
        <v>0</v>
      </c>
      <c r="AD503" s="46" t="s">
        <v>650</v>
      </c>
      <c r="AE503" t="s">
        <v>651</v>
      </c>
      <c r="AF503" t="b">
        <f>IF(COUNTIF(PLANPRODUCCION[[#This Row],[OBSERVACIONES]],"NO APLICA BONO*")&gt;0,TRUE,FALSE)</f>
        <v>0</v>
      </c>
    </row>
    <row r="504" spans="1:32" x14ac:dyDescent="0.25">
      <c r="A504" s="46" t="str">
        <f>UPPER(IF(PLANPRODUCCION[[#This Row],[FECHA]]&lt;=45701,_xlfn.CONCAT(TEXT(B504,"MMM"),"-",IF(ROW(A504)&lt;11,"000"&amp;ROW(A504)-1,IF(ROW(A504)&lt;101,"00"&amp;ROW(A504)-1,IF(ROW(A504)&lt;1001,"0"&amp;ROW(A504)-1,ROW(A504)-1))),"-OLD"),_xlfn.CONCAT(TEXT(B504,"MMM"),"-",IF(ROW(A504)&lt;473,"000"&amp;ROW(A504)-463,IF(ROW(A504)&lt;563,"00"&amp;ROW(A504)-463,IF(ROW(A504)&lt;1001,"0"&amp;ROW(A504)-463,ROW(A504)-463))))))</f>
        <v>FEB-0041</v>
      </c>
      <c r="B504" s="39">
        <v>45706</v>
      </c>
      <c r="C504" s="5">
        <v>3</v>
      </c>
      <c r="D504" s="5" t="s">
        <v>53</v>
      </c>
      <c r="E504" t="s">
        <v>54</v>
      </c>
      <c r="F504" s="2">
        <v>0.52777777777777779</v>
      </c>
      <c r="G504" s="2">
        <v>0.54861111111111116</v>
      </c>
      <c r="H504" s="5">
        <v>1565</v>
      </c>
      <c r="I504" t="s">
        <v>652</v>
      </c>
      <c r="J504" t="s">
        <v>653</v>
      </c>
      <c r="K504" s="5">
        <v>351</v>
      </c>
      <c r="L504" s="5" t="s">
        <v>57</v>
      </c>
      <c r="M504" s="49">
        <v>1.2</v>
      </c>
      <c r="N504" s="6">
        <f>PLANPRODUCCION[[#This Row],[PIEZAS PLANEADAS]]*PLANPRODUCCION[[#This Row],[PRECIO MAQUILAS]]</f>
        <v>421.2</v>
      </c>
      <c r="O504" s="5">
        <v>3</v>
      </c>
      <c r="P504" s="2">
        <v>0.52777777777777779</v>
      </c>
      <c r="Q504" s="2">
        <v>0.54861111111111116</v>
      </c>
      <c r="R504" s="5">
        <v>351</v>
      </c>
      <c r="S504" s="7">
        <f>PLANPRODUCCION[[#This Row],[PRECIO MAQUILAS]]*PLANPRODUCCION[[#This Row],[PIEZAS REAL]]</f>
        <v>421.2</v>
      </c>
      <c r="T50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351</v>
      </c>
      <c r="U50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</v>
      </c>
      <c r="V50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</v>
      </c>
      <c r="W50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328.2</v>
      </c>
      <c r="X504" s="8" t="s">
        <v>606</v>
      </c>
      <c r="Y50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0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0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04" s="13">
        <f>IF(PLANPRODUCCION[[#This Row],[PIEZAS REAL]]&gt;0,PLANPRODUCCION[[#This Row],[PIEZAS REAL]]/PLANPRODUCCION[[#This Row],[PIEZAS ACTUALIZADO]],)</f>
        <v>1</v>
      </c>
      <c r="AC504" t="b">
        <f>PLANPRODUCCION[[#This Row],[INGRESO PLANEADO]]&lt;PLANPRODUCCION[[#This Row],[COSTO PLANEADO]]</f>
        <v>0</v>
      </c>
      <c r="AD504" s="46" t="s">
        <v>654</v>
      </c>
      <c r="AF504" t="b">
        <f>IF(COUNTIF(PLANPRODUCCION[[#This Row],[OBSERVACIONES]],"NO APLICA BONO*")&gt;0,TRUE,FALSE)</f>
        <v>0</v>
      </c>
    </row>
    <row r="505" spans="1:32" x14ac:dyDescent="0.25">
      <c r="A505" s="46" t="str">
        <f>UPPER(IF(PLANPRODUCCION[[#This Row],[FECHA]]&lt;=45701,_xlfn.CONCAT(TEXT(B505,"MMM"),"-",IF(ROW(A505)&lt;11,"000"&amp;ROW(A505)-1,IF(ROW(A505)&lt;101,"00"&amp;ROW(A505)-1,IF(ROW(A505)&lt;1001,"0"&amp;ROW(A505)-1,ROW(A505)-1))),"-OLD"),_xlfn.CONCAT(TEXT(B505,"MMM"),"-",IF(ROW(A505)&lt;473,"000"&amp;ROW(A505)-463,IF(ROW(A505)&lt;563,"00"&amp;ROW(A505)-463,IF(ROW(A505)&lt;1001,"0"&amp;ROW(A505)-463,ROW(A505)-463))))))</f>
        <v>FEB-0042</v>
      </c>
      <c r="B505" s="39">
        <v>45706</v>
      </c>
      <c r="C505" s="5">
        <v>3</v>
      </c>
      <c r="D505" s="5">
        <v>3</v>
      </c>
      <c r="E505" t="s">
        <v>54</v>
      </c>
      <c r="F505" s="2">
        <v>0.25</v>
      </c>
      <c r="G505" s="2">
        <v>0.66666666666666663</v>
      </c>
      <c r="H505" s="5">
        <v>1577</v>
      </c>
      <c r="I505" t="s">
        <v>592</v>
      </c>
      <c r="J505" t="s">
        <v>68</v>
      </c>
      <c r="K505" s="5">
        <v>2520</v>
      </c>
      <c r="L505" s="5" t="s">
        <v>57</v>
      </c>
      <c r="M505" s="49">
        <v>1.2</v>
      </c>
      <c r="N505" s="6">
        <f>PLANPRODUCCION[[#This Row],[PIEZAS PLANEADAS]]*PLANPRODUCCION[[#This Row],[PRECIO MAQUILAS]]</f>
        <v>3024</v>
      </c>
      <c r="O505" s="5">
        <v>3</v>
      </c>
      <c r="P505" s="2">
        <v>0.25</v>
      </c>
      <c r="Q505" s="2">
        <v>0.66666666666666663</v>
      </c>
      <c r="R505" s="5">
        <v>1231</v>
      </c>
      <c r="S505" s="7">
        <f>PLANPRODUCCION[[#This Row],[PRECIO MAQUILAS]]*PLANPRODUCCION[[#This Row],[PIEZAS REAL]]</f>
        <v>1477.2</v>
      </c>
      <c r="T50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2520</v>
      </c>
      <c r="U50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0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50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-382.79999999999995</v>
      </c>
      <c r="X505" s="8" t="s">
        <v>602</v>
      </c>
      <c r="Y50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0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0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05" s="13">
        <f>IF(PLANPRODUCCION[[#This Row],[PIEZAS REAL]]&gt;0,PLANPRODUCCION[[#This Row],[PIEZAS REAL]]/PLANPRODUCCION[[#This Row],[PIEZAS ACTUALIZADO]],)</f>
        <v>0.48849206349206348</v>
      </c>
      <c r="AC505" t="b">
        <f>PLANPRODUCCION[[#This Row],[INGRESO PLANEADO]]&lt;PLANPRODUCCION[[#This Row],[COSTO PLANEADO]]</f>
        <v>0</v>
      </c>
      <c r="AD505" s="46" t="s">
        <v>655</v>
      </c>
      <c r="AF505" t="b">
        <f>IF(COUNTIF(PLANPRODUCCION[[#This Row],[OBSERVACIONES]],"NO APLICA BONO*")&gt;0,TRUE,FALSE)</f>
        <v>0</v>
      </c>
    </row>
    <row r="506" spans="1:32" x14ac:dyDescent="0.25">
      <c r="A506" s="46" t="str">
        <f>UPPER(IF(PLANPRODUCCION[[#This Row],[FECHA]]&lt;=45701,_xlfn.CONCAT(TEXT(B506,"MMM"),"-",IF(ROW(A506)&lt;11,"000"&amp;ROW(A506)-1,IF(ROW(A506)&lt;101,"00"&amp;ROW(A506)-1,IF(ROW(A506)&lt;1001,"0"&amp;ROW(A506)-1,ROW(A506)-1))),"-OLD"),_xlfn.CONCAT(TEXT(B506,"MMM"),"-",IF(ROW(A506)&lt;473,"000"&amp;ROW(A506)-463,IF(ROW(A506)&lt;563,"00"&amp;ROW(A506)-463,IF(ROW(A506)&lt;1001,"0"&amp;ROW(A506)-463,ROW(A506)-463))))))</f>
        <v>FEB-0043</v>
      </c>
      <c r="B506" s="39">
        <v>45706</v>
      </c>
      <c r="C506" s="5">
        <v>3</v>
      </c>
      <c r="D506" s="5">
        <v>0</v>
      </c>
      <c r="E506" t="s">
        <v>54</v>
      </c>
      <c r="F506" s="2">
        <v>0.25</v>
      </c>
      <c r="G506" s="2">
        <v>0.66666666666666663</v>
      </c>
      <c r="H506" s="5">
        <v>1577</v>
      </c>
      <c r="I506" t="s">
        <v>592</v>
      </c>
      <c r="J506" t="s">
        <v>68</v>
      </c>
      <c r="K506" s="5">
        <v>2520</v>
      </c>
      <c r="L506" s="5" t="s">
        <v>57</v>
      </c>
      <c r="M506" s="49">
        <v>1.2</v>
      </c>
      <c r="N506" s="6">
        <f>PLANPRODUCCION[[#This Row],[PIEZAS PLANEADAS]]*PLANPRODUCCION[[#This Row],[PRECIO MAQUILAS]]</f>
        <v>3024</v>
      </c>
      <c r="O506" s="5">
        <v>0</v>
      </c>
      <c r="P506" s="2">
        <v>0</v>
      </c>
      <c r="Q506" s="2">
        <v>0</v>
      </c>
      <c r="R506" s="5">
        <v>0</v>
      </c>
      <c r="S506" s="7">
        <f>PLANPRODUCCION[[#This Row],[PRECIO MAQUILAS]]*PLANPRODUCCION[[#This Row],[PIEZAS REAL]]</f>
        <v>0</v>
      </c>
      <c r="T50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0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0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0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06" s="8" t="s">
        <v>602</v>
      </c>
      <c r="Y506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0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06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06" s="13">
        <f>IF(PLANPRODUCCION[[#This Row],[PIEZAS REAL]]&gt;0,PLANPRODUCCION[[#This Row],[PIEZAS REAL]]/PLANPRODUCCION[[#This Row],[PIEZAS ACTUALIZADO]],)</f>
        <v>0</v>
      </c>
      <c r="AC506" t="b">
        <f>PLANPRODUCCION[[#This Row],[INGRESO PLANEADO]]&lt;PLANPRODUCCION[[#This Row],[COSTO PLANEADO]]</f>
        <v>0</v>
      </c>
      <c r="AD506" s="46" t="s">
        <v>656</v>
      </c>
      <c r="AF506" t="b">
        <f>IF(COUNTIF(PLANPRODUCCION[[#This Row],[OBSERVACIONES]],"NO APLICA BONO*")&gt;0,TRUE,FALSE)</f>
        <v>0</v>
      </c>
    </row>
    <row r="507" spans="1:32" x14ac:dyDescent="0.25">
      <c r="A507" s="46" t="str">
        <f>UPPER(IF(PLANPRODUCCION[[#This Row],[FECHA]]&lt;=45701,_xlfn.CONCAT(TEXT(B507,"MMM"),"-",IF(ROW(A507)&lt;11,"000"&amp;ROW(A507)-1,IF(ROW(A507)&lt;101,"00"&amp;ROW(A507)-1,IF(ROW(A507)&lt;1001,"0"&amp;ROW(A507)-1,ROW(A507)-1))),"-OLD"),_xlfn.CONCAT(TEXT(B507,"MMM"),"-",IF(ROW(A507)&lt;473,"000"&amp;ROW(A507)-463,IF(ROW(A507)&lt;563,"00"&amp;ROW(A507)-463,IF(ROW(A507)&lt;1001,"0"&amp;ROW(A507)-463,ROW(A507)-463))))))</f>
        <v>FEB-0044</v>
      </c>
      <c r="B507" s="39">
        <v>45706</v>
      </c>
      <c r="C507" s="5">
        <v>3</v>
      </c>
      <c r="D507" s="5">
        <v>3</v>
      </c>
      <c r="E507" t="s">
        <v>67</v>
      </c>
      <c r="F507" s="2">
        <v>0.33333333333333331</v>
      </c>
      <c r="G507" s="2">
        <v>0.75</v>
      </c>
      <c r="H507" s="5">
        <v>1568</v>
      </c>
      <c r="I507" t="s">
        <v>589</v>
      </c>
      <c r="J507" s="12" t="s">
        <v>657</v>
      </c>
      <c r="K507" s="5">
        <v>2520</v>
      </c>
      <c r="L507" s="5" t="s">
        <v>57</v>
      </c>
      <c r="M507" s="49">
        <v>0.75</v>
      </c>
      <c r="N507" s="6">
        <f>PLANPRODUCCION[[#This Row],[PIEZAS PLANEADAS]]*PLANPRODUCCION[[#This Row],[PRECIO MAQUILAS]]</f>
        <v>1890</v>
      </c>
      <c r="O507" s="5">
        <v>3</v>
      </c>
      <c r="P507" s="2">
        <v>0.4375</v>
      </c>
      <c r="Q507" s="2">
        <v>0.75</v>
      </c>
      <c r="R507" s="5">
        <v>570</v>
      </c>
      <c r="S507" s="7">
        <f>PLANPRODUCCION[[#This Row],[PRECIO MAQUILAS]]*PLANPRODUCCION[[#This Row],[PIEZAS REAL]]</f>
        <v>427.5</v>
      </c>
      <c r="T50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1890</v>
      </c>
      <c r="U50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0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1395</v>
      </c>
      <c r="W50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-967.5</v>
      </c>
      <c r="X507" s="8" t="s">
        <v>602</v>
      </c>
      <c r="Y50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0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0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07" s="13">
        <f>IF(PLANPRODUCCION[[#This Row],[PIEZAS REAL]]&gt;0,PLANPRODUCCION[[#This Row],[PIEZAS REAL]]/PLANPRODUCCION[[#This Row],[PIEZAS ACTUALIZADO]],)</f>
        <v>0.30158730158730157</v>
      </c>
      <c r="AC507" t="b">
        <f>PLANPRODUCCION[[#This Row],[INGRESO PLANEADO]]&lt;PLANPRODUCCION[[#This Row],[COSTO PLANEADO]]</f>
        <v>0</v>
      </c>
      <c r="AD507" s="46" t="s">
        <v>658</v>
      </c>
      <c r="AE507" t="s">
        <v>645</v>
      </c>
      <c r="AF507" t="b">
        <f>IF(COUNTIF(PLANPRODUCCION[[#This Row],[OBSERVACIONES]],"NO APLICA BONO*")&gt;0,TRUE,FALSE)</f>
        <v>0</v>
      </c>
    </row>
    <row r="508" spans="1:32" x14ac:dyDescent="0.25">
      <c r="A508" s="46" t="str">
        <f>UPPER(IF(PLANPRODUCCION[[#This Row],[FECHA]]&lt;=45701,_xlfn.CONCAT(TEXT(B508,"MMM"),"-",IF(ROW(A508)&lt;11,"000"&amp;ROW(A508)-1,IF(ROW(A508)&lt;101,"00"&amp;ROW(A508)-1,IF(ROW(A508)&lt;1001,"0"&amp;ROW(A508)-1,ROW(A508)-1))),"-OLD"),_xlfn.CONCAT(TEXT(B508,"MMM"),"-",IF(ROW(A508)&lt;473,"000"&amp;ROW(A508)-463,IF(ROW(A508)&lt;563,"00"&amp;ROW(A508)-463,IF(ROW(A508)&lt;1001,"0"&amp;ROW(A508)-463,ROW(A508)-463))))))</f>
        <v>FEB-0045</v>
      </c>
      <c r="B508" s="39">
        <v>45706</v>
      </c>
      <c r="C508" s="5">
        <v>2</v>
      </c>
      <c r="D508" s="5">
        <v>2</v>
      </c>
      <c r="E508" t="s">
        <v>67</v>
      </c>
      <c r="F508" s="2">
        <v>0.33333333333333331</v>
      </c>
      <c r="G508" s="2">
        <v>0.75</v>
      </c>
      <c r="H508" s="5">
        <v>1568</v>
      </c>
      <c r="I508" t="s">
        <v>589</v>
      </c>
      <c r="J508" s="12" t="s">
        <v>657</v>
      </c>
      <c r="K508" s="5">
        <v>2520</v>
      </c>
      <c r="L508" s="5" t="s">
        <v>57</v>
      </c>
      <c r="M508" s="49">
        <v>0.75</v>
      </c>
      <c r="N508" s="6">
        <f>PLANPRODUCCION[[#This Row],[PIEZAS PLANEADAS]]*PLANPRODUCCION[[#This Row],[PRECIO MAQUILAS]]</f>
        <v>1890</v>
      </c>
      <c r="O508" s="5">
        <v>2</v>
      </c>
      <c r="P508" s="2">
        <v>0.4375</v>
      </c>
      <c r="Q508" s="2">
        <v>0.75</v>
      </c>
      <c r="R508" s="5">
        <v>380</v>
      </c>
      <c r="S508" s="7">
        <f>PLANPRODUCCION[[#This Row],[PRECIO MAQUILAS]]*PLANPRODUCCION[[#This Row],[PIEZAS REAL]]</f>
        <v>285</v>
      </c>
      <c r="T50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1890</v>
      </c>
      <c r="U50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50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50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-645</v>
      </c>
      <c r="X508" s="8" t="s">
        <v>602</v>
      </c>
      <c r="Y508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0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0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08" s="13">
        <f>IF(PLANPRODUCCION[[#This Row],[PIEZAS REAL]]&gt;0,PLANPRODUCCION[[#This Row],[PIEZAS REAL]]/PLANPRODUCCION[[#This Row],[PIEZAS ACTUALIZADO]],)</f>
        <v>0.20105820105820105</v>
      </c>
      <c r="AC508" t="b">
        <f>PLANPRODUCCION[[#This Row],[INGRESO PLANEADO]]&lt;PLANPRODUCCION[[#This Row],[COSTO PLANEADO]]</f>
        <v>0</v>
      </c>
      <c r="AD508" s="46" t="s">
        <v>659</v>
      </c>
      <c r="AE508" t="s">
        <v>645</v>
      </c>
      <c r="AF508" t="b">
        <f>IF(COUNTIF(PLANPRODUCCION[[#This Row],[OBSERVACIONES]],"NO APLICA BONO*")&gt;0,TRUE,FALSE)</f>
        <v>0</v>
      </c>
    </row>
    <row r="509" spans="1:32" x14ac:dyDescent="0.25">
      <c r="A509" s="46" t="str">
        <f>UPPER(IF(PLANPRODUCCION[[#This Row],[FECHA]]&lt;=45701,_xlfn.CONCAT(TEXT(B509,"MMM"),"-",IF(ROW(A509)&lt;11,"000"&amp;ROW(A509)-1,IF(ROW(A509)&lt;101,"00"&amp;ROW(A509)-1,IF(ROW(A509)&lt;1001,"0"&amp;ROW(A509)-1,ROW(A509)-1))),"-OLD"),_xlfn.CONCAT(TEXT(B509,"MMM"),"-",IF(ROW(A509)&lt;473,"000"&amp;ROW(A509)-463,IF(ROW(A509)&lt;563,"00"&amp;ROW(A509)-463,IF(ROW(A509)&lt;1001,"0"&amp;ROW(A509)-463,ROW(A509)-463))))))</f>
        <v>FEB-0046</v>
      </c>
      <c r="B509" s="39">
        <v>45706</v>
      </c>
      <c r="C509" s="5">
        <v>3</v>
      </c>
      <c r="D509" s="5">
        <v>0</v>
      </c>
      <c r="E509" t="s">
        <v>110</v>
      </c>
      <c r="F509" s="2">
        <v>0.54166666666666663</v>
      </c>
      <c r="G509" s="2">
        <v>0.875</v>
      </c>
      <c r="H509" s="5">
        <v>1577</v>
      </c>
      <c r="I509" t="s">
        <v>592</v>
      </c>
      <c r="J509" t="s">
        <v>68</v>
      </c>
      <c r="K509" s="5">
        <v>2020</v>
      </c>
      <c r="L509" s="5" t="s">
        <v>57</v>
      </c>
      <c r="M509" s="49">
        <v>1.2</v>
      </c>
      <c r="N509" s="6">
        <f>PLANPRODUCCION[[#This Row],[PIEZAS PLANEADAS]]*PLANPRODUCCION[[#This Row],[PRECIO MAQUILAS]]</f>
        <v>2424</v>
      </c>
      <c r="O509" s="5">
        <v>3</v>
      </c>
      <c r="P509" s="2">
        <v>0.54166666666666663</v>
      </c>
      <c r="Q509" s="2">
        <v>0.875</v>
      </c>
      <c r="R509" s="5">
        <v>2020</v>
      </c>
      <c r="S509" s="7">
        <f>PLANPRODUCCION[[#This Row],[PRECIO MAQUILAS]]*PLANPRODUCCION[[#This Row],[PIEZAS REAL]]</f>
        <v>2424</v>
      </c>
      <c r="T50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2020</v>
      </c>
      <c r="U50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0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50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564</v>
      </c>
      <c r="X509" s="8" t="s">
        <v>602</v>
      </c>
      <c r="Y50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0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09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509" s="13">
        <f>IF(PLANPRODUCCION[[#This Row],[PIEZAS REAL]]&gt;0,PLANPRODUCCION[[#This Row],[PIEZAS REAL]]/PLANPRODUCCION[[#This Row],[PIEZAS ACTUALIZADO]],)</f>
        <v>1</v>
      </c>
      <c r="AC509" t="b">
        <f>PLANPRODUCCION[[#This Row],[INGRESO PLANEADO]]&lt;PLANPRODUCCION[[#This Row],[COSTO PLANEADO]]</f>
        <v>0</v>
      </c>
      <c r="AD509" s="46" t="s">
        <v>660</v>
      </c>
      <c r="AF509" t="b">
        <f>IF(COUNTIF(PLANPRODUCCION[[#This Row],[OBSERVACIONES]],"NO APLICA BONO*")&gt;0,TRUE,FALSE)</f>
        <v>0</v>
      </c>
    </row>
    <row r="510" spans="1:32" x14ac:dyDescent="0.25">
      <c r="A510" s="46" t="str">
        <f>UPPER(IF(PLANPRODUCCION[[#This Row],[FECHA]]&lt;=45701,_xlfn.CONCAT(TEXT(B510,"MMM"),"-",IF(ROW(A510)&lt;11,"000"&amp;ROW(A510)-1,IF(ROW(A510)&lt;101,"00"&amp;ROW(A510)-1,IF(ROW(A510)&lt;1001,"0"&amp;ROW(A510)-1,ROW(A510)-1))),"-OLD"),_xlfn.CONCAT(TEXT(B510,"MMM"),"-",IF(ROW(A510)&lt;473,"000"&amp;ROW(A510)-463,IF(ROW(A510)&lt;563,"00"&amp;ROW(A510)-463,IF(ROW(A510)&lt;1001,"0"&amp;ROW(A510)-463,ROW(A510)-463))))))</f>
        <v>FEB-0047</v>
      </c>
      <c r="B510" s="39">
        <v>45706</v>
      </c>
      <c r="C510" s="5">
        <v>2</v>
      </c>
      <c r="D510" s="5">
        <v>2</v>
      </c>
      <c r="E510" t="s">
        <v>110</v>
      </c>
      <c r="F510" s="2">
        <v>0.54166666666666663</v>
      </c>
      <c r="G510" s="2">
        <v>0.875</v>
      </c>
      <c r="H510" s="5">
        <v>1568</v>
      </c>
      <c r="I510" t="s">
        <v>589</v>
      </c>
      <c r="J510" s="12" t="s">
        <v>657</v>
      </c>
      <c r="K510" s="5">
        <v>1350</v>
      </c>
      <c r="L510" s="5" t="s">
        <v>57</v>
      </c>
      <c r="M510" s="49">
        <v>0.75</v>
      </c>
      <c r="N510" s="6">
        <f>PLANPRODUCCION[[#This Row],[PIEZAS PLANEADAS]]*PLANPRODUCCION[[#This Row],[PRECIO MAQUILAS]]</f>
        <v>1012.5</v>
      </c>
      <c r="O510" s="5">
        <v>2</v>
      </c>
      <c r="P510" s="2">
        <v>0.54166666666666663</v>
      </c>
      <c r="Q510" s="2">
        <v>0.875</v>
      </c>
      <c r="R510" s="5">
        <v>850</v>
      </c>
      <c r="S510" s="7">
        <f>PLANPRODUCCION[[#This Row],[PRECIO MAQUILAS]]*PLANPRODUCCION[[#This Row],[PIEZAS REAL]]</f>
        <v>637.5</v>
      </c>
      <c r="T51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1350</v>
      </c>
      <c r="U51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51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51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-602.5</v>
      </c>
      <c r="X510" s="8" t="s">
        <v>602</v>
      </c>
      <c r="Y51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1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1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10" s="13">
        <f>IF(PLANPRODUCCION[[#This Row],[PIEZAS REAL]]&gt;0,PLANPRODUCCION[[#This Row],[PIEZAS REAL]]/PLANPRODUCCION[[#This Row],[PIEZAS ACTUALIZADO]],)</f>
        <v>0.62962962962962965</v>
      </c>
      <c r="AC510" t="b">
        <f>PLANPRODUCCION[[#This Row],[INGRESO PLANEADO]]&lt;PLANPRODUCCION[[#This Row],[COSTO PLANEADO]]</f>
        <v>1</v>
      </c>
      <c r="AD510" s="46" t="s">
        <v>661</v>
      </c>
      <c r="AF510" t="b">
        <f>IF(COUNTIF(PLANPRODUCCION[[#This Row],[OBSERVACIONES]],"NO APLICA BONO*")&gt;0,TRUE,FALSE)</f>
        <v>0</v>
      </c>
    </row>
    <row r="511" spans="1:32" x14ac:dyDescent="0.25">
      <c r="A511" s="46" t="str">
        <f>UPPER(IF(PLANPRODUCCION[[#This Row],[FECHA]]&lt;=45701,_xlfn.CONCAT(TEXT(B511,"MMM"),"-",IF(ROW(A511)&lt;11,"000"&amp;ROW(A511)-1,IF(ROW(A511)&lt;101,"00"&amp;ROW(A511)-1,IF(ROW(A511)&lt;1001,"0"&amp;ROW(A511)-1,ROW(A511)-1))),"-OLD"),_xlfn.CONCAT(TEXT(B511,"MMM"),"-",IF(ROW(A511)&lt;473,"000"&amp;ROW(A511)-463,IF(ROW(A511)&lt;563,"00"&amp;ROW(A511)-463,IF(ROW(A511)&lt;1001,"0"&amp;ROW(A511)-463,ROW(A511)-463))))))</f>
        <v>FEB-0048</v>
      </c>
      <c r="B511" s="39">
        <v>45706</v>
      </c>
      <c r="C511" s="5">
        <v>3</v>
      </c>
      <c r="D511" s="5">
        <v>4</v>
      </c>
      <c r="E511" t="s">
        <v>72</v>
      </c>
      <c r="F511" s="2">
        <v>0.66666666666666663</v>
      </c>
      <c r="G511" s="2">
        <v>0.875</v>
      </c>
      <c r="H511" s="5">
        <v>1568</v>
      </c>
      <c r="I511" t="s">
        <v>589</v>
      </c>
      <c r="J511" s="12" t="s">
        <v>657</v>
      </c>
      <c r="K511" s="5">
        <v>1260</v>
      </c>
      <c r="L511" s="5" t="s">
        <v>57</v>
      </c>
      <c r="M511" s="49">
        <v>0.75</v>
      </c>
      <c r="N511" s="6">
        <f>PLANPRODUCCION[[#This Row],[PIEZAS PLANEADAS]]*PLANPRODUCCION[[#This Row],[PRECIO MAQUILAS]]</f>
        <v>945</v>
      </c>
      <c r="O511" s="5">
        <v>3</v>
      </c>
      <c r="P511" s="2">
        <v>0.66666666666666663</v>
      </c>
      <c r="Q511" s="2">
        <v>0.875</v>
      </c>
      <c r="R511" s="5">
        <v>770</v>
      </c>
      <c r="S511" s="7">
        <f>PLANPRODUCCION[[#This Row],[PRECIO MAQUILAS]]*PLANPRODUCCION[[#This Row],[PIEZAS REAL]]</f>
        <v>577.5</v>
      </c>
      <c r="T51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1260</v>
      </c>
      <c r="U51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51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51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-352.5</v>
      </c>
      <c r="X511" s="8" t="s">
        <v>602</v>
      </c>
      <c r="Y51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1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1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11" s="13">
        <f>IF(PLANPRODUCCION[[#This Row],[PIEZAS REAL]]&gt;0,PLANPRODUCCION[[#This Row],[PIEZAS REAL]]/PLANPRODUCCION[[#This Row],[PIEZAS ACTUALIZADO]],)</f>
        <v>0.61111111111111116</v>
      </c>
      <c r="AC511" t="b">
        <f>PLANPRODUCCION[[#This Row],[INGRESO PLANEADO]]&lt;PLANPRODUCCION[[#This Row],[COSTO PLANEADO]]</f>
        <v>0</v>
      </c>
      <c r="AD511" s="46" t="s">
        <v>662</v>
      </c>
      <c r="AF511" t="b">
        <f>IF(COUNTIF(PLANPRODUCCION[[#This Row],[OBSERVACIONES]],"NO APLICA BONO*")&gt;0,TRUE,FALSE)</f>
        <v>0</v>
      </c>
    </row>
    <row r="512" spans="1:32" x14ac:dyDescent="0.25">
      <c r="A512" s="46" t="str">
        <f>UPPER(IF(PLANPRODUCCION[[#This Row],[FECHA]]&lt;=45701,_xlfn.CONCAT(TEXT(B512,"MMM"),"-",IF(ROW(A512)&lt;11,"000"&amp;ROW(A512)-1,IF(ROW(A512)&lt;101,"00"&amp;ROW(A512)-1,IF(ROW(A512)&lt;1001,"0"&amp;ROW(A512)-1,ROW(A512)-1))),"-OLD"),_xlfn.CONCAT(TEXT(B512,"MMM"),"-",IF(ROW(A512)&lt;473,"000"&amp;ROW(A512)-463,IF(ROW(A512)&lt;563,"00"&amp;ROW(A512)-463,IF(ROW(A512)&lt;1001,"0"&amp;ROW(A512)-463,ROW(A512)-463))))))</f>
        <v>FEB-0049</v>
      </c>
      <c r="B512" s="39">
        <v>45706</v>
      </c>
      <c r="C512" s="5">
        <v>3</v>
      </c>
      <c r="D512" s="5">
        <v>3</v>
      </c>
      <c r="E512" t="s">
        <v>72</v>
      </c>
      <c r="F512" s="2">
        <v>0.66666666666666663</v>
      </c>
      <c r="G512" s="2">
        <v>0.875</v>
      </c>
      <c r="H512" s="5">
        <v>1568</v>
      </c>
      <c r="I512" t="s">
        <v>589</v>
      </c>
      <c r="J512" s="12" t="s">
        <v>657</v>
      </c>
      <c r="K512" s="5">
        <v>1260</v>
      </c>
      <c r="L512" s="5" t="s">
        <v>57</v>
      </c>
      <c r="M512" s="49">
        <v>0.75</v>
      </c>
      <c r="N512" s="6">
        <f>PLANPRODUCCION[[#This Row],[PIEZAS PLANEADAS]]*PLANPRODUCCION[[#This Row],[PRECIO MAQUILAS]]</f>
        <v>945</v>
      </c>
      <c r="O512" s="5">
        <v>2</v>
      </c>
      <c r="P512" s="2">
        <v>0.66666666666666663</v>
      </c>
      <c r="Q512" s="2">
        <v>0.875</v>
      </c>
      <c r="R512" s="5">
        <v>480</v>
      </c>
      <c r="S512" s="7">
        <f>PLANPRODUCCION[[#This Row],[PRECIO MAQUILAS]]*PLANPRODUCCION[[#This Row],[PIEZAS REAL]]</f>
        <v>360</v>
      </c>
      <c r="T51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840</v>
      </c>
      <c r="U51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51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51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-260</v>
      </c>
      <c r="X512" s="8" t="s">
        <v>602</v>
      </c>
      <c r="Y51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1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1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12" s="13">
        <f>IF(PLANPRODUCCION[[#This Row],[PIEZAS REAL]]&gt;0,PLANPRODUCCION[[#This Row],[PIEZAS REAL]]/PLANPRODUCCION[[#This Row],[PIEZAS ACTUALIZADO]],)</f>
        <v>0.5714285714285714</v>
      </c>
      <c r="AC512" t="b">
        <f>PLANPRODUCCION[[#This Row],[INGRESO PLANEADO]]&lt;PLANPRODUCCION[[#This Row],[COSTO PLANEADO]]</f>
        <v>0</v>
      </c>
      <c r="AD512" s="46" t="s">
        <v>663</v>
      </c>
      <c r="AF512" t="b">
        <f>IF(COUNTIF(PLANPRODUCCION[[#This Row],[OBSERVACIONES]],"NO APLICA BONO*")&gt;0,TRUE,FALSE)</f>
        <v>0</v>
      </c>
    </row>
    <row r="513" spans="1:32" x14ac:dyDescent="0.25">
      <c r="A513" s="46" t="str">
        <f>UPPER(IF(PLANPRODUCCION[[#This Row],[FECHA]]&lt;=45701,_xlfn.CONCAT(TEXT(B513,"MMM"),"-",IF(ROW(A513)&lt;11,"000"&amp;ROW(A513)-1,IF(ROW(A513)&lt;101,"00"&amp;ROW(A513)-1,IF(ROW(A513)&lt;1001,"0"&amp;ROW(A513)-1,ROW(A513)-1))),"-OLD"),_xlfn.CONCAT(TEXT(B513,"MMM"),"-",IF(ROW(A513)&lt;473,"000"&amp;ROW(A513)-463,IF(ROW(A513)&lt;563,"00"&amp;ROW(A513)-463,IF(ROW(A513)&lt;1001,"0"&amp;ROW(A513)-463,ROW(A513)-463))))))</f>
        <v>FEB-0050</v>
      </c>
      <c r="B513" s="39">
        <v>45706</v>
      </c>
      <c r="C513" s="5">
        <v>1</v>
      </c>
      <c r="D513" s="5">
        <v>6</v>
      </c>
      <c r="E513" t="s">
        <v>75</v>
      </c>
      <c r="F513" s="2">
        <v>0.875</v>
      </c>
      <c r="G513" s="2">
        <v>0.25</v>
      </c>
      <c r="H513" s="5">
        <v>1522</v>
      </c>
      <c r="I513" t="s">
        <v>434</v>
      </c>
      <c r="J513" t="s">
        <v>435</v>
      </c>
      <c r="K513" s="5">
        <v>3000</v>
      </c>
      <c r="L513" s="10" t="s">
        <v>57</v>
      </c>
      <c r="M513" s="49">
        <v>0.3</v>
      </c>
      <c r="N513" s="6">
        <f>PLANPRODUCCION[[#This Row],[PIEZAS PLANEADAS]]*PLANPRODUCCION[[#This Row],[PRECIO MAQUILAS]]</f>
        <v>900</v>
      </c>
      <c r="O513" s="5">
        <v>1</v>
      </c>
      <c r="P513" s="2">
        <v>0.875</v>
      </c>
      <c r="Q513" s="2">
        <v>0.125</v>
      </c>
      <c r="R513" s="5">
        <v>3264</v>
      </c>
      <c r="S513" s="7">
        <f>PLANPRODUCCION[[#This Row],[PRECIO MAQUILAS]]*PLANPRODUCCION[[#This Row],[PIEZAS REAL]]</f>
        <v>979.19999999999993</v>
      </c>
      <c r="T51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2000</v>
      </c>
      <c r="U51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750</v>
      </c>
      <c r="V51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500</v>
      </c>
      <c r="W51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479.19999999999993</v>
      </c>
      <c r="X513" s="8" t="s">
        <v>602</v>
      </c>
      <c r="Y51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1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1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13" s="13">
        <f>IF(PLANPRODUCCION[[#This Row],[PIEZAS REAL]]&gt;0,PLANPRODUCCION[[#This Row],[PIEZAS REAL]]/PLANPRODUCCION[[#This Row],[PIEZAS ACTUALIZADO]],)</f>
        <v>1.6319999999999999</v>
      </c>
      <c r="AC513" t="b">
        <f>PLANPRODUCCION[[#This Row],[INGRESO PLANEADO]]&lt;PLANPRODUCCION[[#This Row],[COSTO PLANEADO]]</f>
        <v>0</v>
      </c>
      <c r="AD513" s="46" t="s">
        <v>664</v>
      </c>
      <c r="AE513" t="s">
        <v>665</v>
      </c>
      <c r="AF513" t="b">
        <f>IF(COUNTIF(PLANPRODUCCION[[#This Row],[OBSERVACIONES]],"NO APLICA BONO*")&gt;0,TRUE,FALSE)</f>
        <v>0</v>
      </c>
    </row>
    <row r="514" spans="1:32" x14ac:dyDescent="0.25">
      <c r="A514" s="46" t="str">
        <f>UPPER(IF(PLANPRODUCCION[[#This Row],[FECHA]]&lt;=45701,_xlfn.CONCAT(TEXT(B514,"MMM"),"-",IF(ROW(A514)&lt;11,"000"&amp;ROW(A514)-1,IF(ROW(A514)&lt;101,"00"&amp;ROW(A514)-1,IF(ROW(A514)&lt;1001,"0"&amp;ROW(A514)-1,ROW(A514)-1))),"-OLD"),_xlfn.CONCAT(TEXT(B514,"MMM"),"-",IF(ROW(A514)&lt;473,"000"&amp;ROW(A514)-463,IF(ROW(A514)&lt;563,"00"&amp;ROW(A514)-463,IF(ROW(A514)&lt;1001,"0"&amp;ROW(A514)-463,ROW(A514)-463))))))</f>
        <v>FEB-0051</v>
      </c>
      <c r="B514" s="39">
        <v>45706</v>
      </c>
      <c r="C514" s="5">
        <v>9</v>
      </c>
      <c r="D514" s="5" t="s">
        <v>666</v>
      </c>
      <c r="E514" t="s">
        <v>75</v>
      </c>
      <c r="F514" s="2">
        <v>0.875</v>
      </c>
      <c r="G514" s="2">
        <v>0.25</v>
      </c>
      <c r="H514" s="5">
        <v>1522</v>
      </c>
      <c r="I514" t="s">
        <v>434</v>
      </c>
      <c r="J514" t="s">
        <v>441</v>
      </c>
      <c r="K514" s="5">
        <v>528</v>
      </c>
      <c r="L514" s="10" t="s">
        <v>283</v>
      </c>
      <c r="M514" s="49">
        <v>15</v>
      </c>
      <c r="N514" s="6">
        <f>PLANPRODUCCION[[#This Row],[PIEZAS PLANEADAS]]*PLANPRODUCCION[[#This Row],[PRECIO MAQUILAS]]</f>
        <v>7920</v>
      </c>
      <c r="O514" s="5">
        <v>9</v>
      </c>
      <c r="P514" s="2">
        <v>0.875</v>
      </c>
      <c r="Q514" s="2">
        <v>0.25</v>
      </c>
      <c r="R514" s="5">
        <v>424</v>
      </c>
      <c r="S514" s="7">
        <f>PLANPRODUCCION[[#This Row],[PRECIO MAQUILAS]]*PLANPRODUCCION[[#This Row],[PIEZAS REAL]]</f>
        <v>6360</v>
      </c>
      <c r="T51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528</v>
      </c>
      <c r="U51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6750</v>
      </c>
      <c r="V51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6750</v>
      </c>
      <c r="W51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-390</v>
      </c>
      <c r="X514" s="8" t="s">
        <v>602</v>
      </c>
      <c r="Y51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1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1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14" s="13">
        <f>IF(PLANPRODUCCION[[#This Row],[PIEZAS REAL]]&gt;0,PLANPRODUCCION[[#This Row],[PIEZAS REAL]]/PLANPRODUCCION[[#This Row],[PIEZAS ACTUALIZADO]],)</f>
        <v>0.80303030303030298</v>
      </c>
      <c r="AC514" t="b">
        <f>PLANPRODUCCION[[#This Row],[INGRESO PLANEADO]]&lt;PLANPRODUCCION[[#This Row],[COSTO PLANEADO]]</f>
        <v>0</v>
      </c>
      <c r="AD514" s="46" t="s">
        <v>667</v>
      </c>
      <c r="AF514" t="b">
        <f>IF(COUNTIF(PLANPRODUCCION[[#This Row],[OBSERVACIONES]],"NO APLICA BONO*")&gt;0,TRUE,FALSE)</f>
        <v>0</v>
      </c>
    </row>
    <row r="515" spans="1:32" x14ac:dyDescent="0.25">
      <c r="A515" s="46" t="str">
        <f>UPPER(IF(PLANPRODUCCION[[#This Row],[FECHA]]&lt;=45701,_xlfn.CONCAT(TEXT(B515,"MMM"),"-",IF(ROW(A515)&lt;11,"000"&amp;ROW(A515)-1,IF(ROW(A515)&lt;101,"00"&amp;ROW(A515)-1,IF(ROW(A515)&lt;1001,"0"&amp;ROW(A515)-1,ROW(A515)-1))),"-OLD"),_xlfn.CONCAT(TEXT(B515,"MMM"),"-",IF(ROW(A515)&lt;473,"000"&amp;ROW(A515)-463,IF(ROW(A515)&lt;563,"00"&amp;ROW(A515)-463,IF(ROW(A515)&lt;1001,"0"&amp;ROW(A515)-463,ROW(A515)-463))))))</f>
        <v>FEB-0052</v>
      </c>
      <c r="B515" s="39">
        <v>45707</v>
      </c>
      <c r="C515" s="5">
        <v>6</v>
      </c>
      <c r="D515" s="5" t="s">
        <v>666</v>
      </c>
      <c r="E515" t="s">
        <v>54</v>
      </c>
      <c r="F515" s="2">
        <v>0.25</v>
      </c>
      <c r="G515" s="2">
        <v>0.66666666666666663</v>
      </c>
      <c r="H515" s="5">
        <v>1522</v>
      </c>
      <c r="I515" t="s">
        <v>434</v>
      </c>
      <c r="J515" t="s">
        <v>441</v>
      </c>
      <c r="K515" s="5">
        <v>360</v>
      </c>
      <c r="L515" s="10" t="s">
        <v>283</v>
      </c>
      <c r="M515" s="49">
        <v>15</v>
      </c>
      <c r="N515" s="6">
        <f>PLANPRODUCCION[[#This Row],[PIEZAS PLANEADAS]]*PLANPRODUCCION[[#This Row],[PRECIO MAQUILAS]]</f>
        <v>5400</v>
      </c>
      <c r="O515" s="5">
        <v>5</v>
      </c>
      <c r="P515" s="2">
        <v>0.25</v>
      </c>
      <c r="Q515" s="2">
        <v>0.66666666666666663</v>
      </c>
      <c r="R515" s="5">
        <v>229</v>
      </c>
      <c r="S515" s="7">
        <f>PLANPRODUCCION[[#This Row],[PRECIO MAQUILAS]]*PLANPRODUCCION[[#This Row],[PIEZAS REAL]]</f>
        <v>3435</v>
      </c>
      <c r="T51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300</v>
      </c>
      <c r="U51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3720</v>
      </c>
      <c r="V51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51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335</v>
      </c>
      <c r="X515" s="8" t="s">
        <v>602</v>
      </c>
      <c r="Y51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1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1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15" s="13">
        <f>IF(PLANPRODUCCION[[#This Row],[PIEZAS REAL]]&gt;0,PLANPRODUCCION[[#This Row],[PIEZAS REAL]]/PLANPRODUCCION[[#This Row],[PIEZAS ACTUALIZADO]],)</f>
        <v>0.76333333333333331</v>
      </c>
      <c r="AC515" t="b">
        <f>PLANPRODUCCION[[#This Row],[INGRESO PLANEADO]]&lt;PLANPRODUCCION[[#This Row],[COSTO PLANEADO]]</f>
        <v>0</v>
      </c>
      <c r="AD515" s="46" t="s">
        <v>668</v>
      </c>
      <c r="AF515" t="b">
        <f>IF(COUNTIF(PLANPRODUCCION[[#This Row],[OBSERVACIONES]],"NO APLICA BONO*")&gt;0,TRUE,FALSE)</f>
        <v>0</v>
      </c>
    </row>
    <row r="516" spans="1:32" x14ac:dyDescent="0.25">
      <c r="A516" s="46" t="str">
        <f>UPPER(IF(PLANPRODUCCION[[#This Row],[FECHA]]&lt;=45701,_xlfn.CONCAT(TEXT(B516,"MMM"),"-",IF(ROW(A516)&lt;11,"000"&amp;ROW(A516)-1,IF(ROW(A516)&lt;101,"00"&amp;ROW(A516)-1,IF(ROW(A516)&lt;1001,"0"&amp;ROW(A516)-1,ROW(A516)-1))),"-OLD"),_xlfn.CONCAT(TEXT(B516,"MMM"),"-",IF(ROW(A516)&lt;473,"000"&amp;ROW(A516)-463,IF(ROW(A516)&lt;563,"00"&amp;ROW(A516)-463,IF(ROW(A516)&lt;1001,"0"&amp;ROW(A516)-463,ROW(A516)-463))))))</f>
        <v>FEB-0053</v>
      </c>
      <c r="B516" s="39">
        <v>45707</v>
      </c>
      <c r="C516" s="5">
        <v>6</v>
      </c>
      <c r="D516" s="5" t="s">
        <v>666</v>
      </c>
      <c r="E516" t="s">
        <v>54</v>
      </c>
      <c r="F516" s="2">
        <v>0.25</v>
      </c>
      <c r="G516" s="2">
        <v>0.66666666666666663</v>
      </c>
      <c r="H516" s="5">
        <v>1522</v>
      </c>
      <c r="I516" t="s">
        <v>434</v>
      </c>
      <c r="J516" t="s">
        <v>441</v>
      </c>
      <c r="K516" s="5">
        <v>360</v>
      </c>
      <c r="L516" s="10" t="s">
        <v>283</v>
      </c>
      <c r="M516" s="49">
        <v>15</v>
      </c>
      <c r="N516" s="6">
        <f>PLANPRODUCCION[[#This Row],[PIEZAS PLANEADAS]]*PLANPRODUCCION[[#This Row],[PRECIO MAQUILAS]]</f>
        <v>5400</v>
      </c>
      <c r="O516" s="5">
        <v>5</v>
      </c>
      <c r="P516" s="2">
        <v>0.25</v>
      </c>
      <c r="Q516" s="2">
        <v>0.66666666666666663</v>
      </c>
      <c r="R516" s="5">
        <v>248</v>
      </c>
      <c r="S516" s="7">
        <f>PLANPRODUCCION[[#This Row],[PRECIO MAQUILAS]]*PLANPRODUCCION[[#This Row],[PIEZAS REAL]]</f>
        <v>3720</v>
      </c>
      <c r="T51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300</v>
      </c>
      <c r="U51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3720</v>
      </c>
      <c r="V51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51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620</v>
      </c>
      <c r="X516" s="8" t="s">
        <v>602</v>
      </c>
      <c r="Y51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1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1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16" s="13">
        <f>IF(PLANPRODUCCION[[#This Row],[PIEZAS REAL]]&gt;0,PLANPRODUCCION[[#This Row],[PIEZAS REAL]]/PLANPRODUCCION[[#This Row],[PIEZAS ACTUALIZADO]],)</f>
        <v>0.82666666666666666</v>
      </c>
      <c r="AC516" t="b">
        <f>PLANPRODUCCION[[#This Row],[INGRESO PLANEADO]]&lt;PLANPRODUCCION[[#This Row],[COSTO PLANEADO]]</f>
        <v>0</v>
      </c>
      <c r="AD516" s="46" t="s">
        <v>669</v>
      </c>
      <c r="AF516" t="b">
        <f>IF(COUNTIF(PLANPRODUCCION[[#This Row],[OBSERVACIONES]],"NO APLICA BONO*")&gt;0,TRUE,FALSE)</f>
        <v>0</v>
      </c>
    </row>
    <row r="517" spans="1:32" x14ac:dyDescent="0.25">
      <c r="A517" s="46" t="str">
        <f>UPPER(IF(PLANPRODUCCION[[#This Row],[FECHA]]&lt;=45701,_xlfn.CONCAT(TEXT(B517,"MMM"),"-",IF(ROW(A517)&lt;11,"000"&amp;ROW(A517)-1,IF(ROW(A517)&lt;101,"00"&amp;ROW(A517)-1,IF(ROW(A517)&lt;1001,"0"&amp;ROW(A517)-1,ROW(A517)-1))),"-OLD"),_xlfn.CONCAT(TEXT(B517,"MMM"),"-",IF(ROW(A517)&lt;473,"000"&amp;ROW(A517)-463,IF(ROW(A517)&lt;563,"00"&amp;ROW(A517)-463,IF(ROW(A517)&lt;1001,"0"&amp;ROW(A517)-463,ROW(A517)-463))))))</f>
        <v>FEB-0054</v>
      </c>
      <c r="B517" s="39">
        <v>45707</v>
      </c>
      <c r="C517" s="5">
        <v>1</v>
      </c>
      <c r="D517" s="5">
        <v>5</v>
      </c>
      <c r="E517" t="s">
        <v>54</v>
      </c>
      <c r="F517" s="2">
        <v>0.25</v>
      </c>
      <c r="G517" s="2">
        <v>0.66666666666666663</v>
      </c>
      <c r="H517" s="5">
        <v>1522</v>
      </c>
      <c r="I517" t="s">
        <v>434</v>
      </c>
      <c r="J517" t="s">
        <v>435</v>
      </c>
      <c r="K517" s="5">
        <v>3300</v>
      </c>
      <c r="L517" s="10" t="s">
        <v>57</v>
      </c>
      <c r="M517" s="49">
        <v>0.3</v>
      </c>
      <c r="N517" s="6">
        <f>PLANPRODUCCION[[#This Row],[PIEZAS PLANEADAS]]*PLANPRODUCCION[[#This Row],[PRECIO MAQUILAS]]</f>
        <v>990</v>
      </c>
      <c r="O517" s="5">
        <v>1</v>
      </c>
      <c r="P517" s="2">
        <v>0.25</v>
      </c>
      <c r="Q517" s="2">
        <v>0.58333333333333337</v>
      </c>
      <c r="R517" s="5">
        <v>2880</v>
      </c>
      <c r="S517" s="7">
        <f>PLANPRODUCCION[[#This Row],[PRECIO MAQUILAS]]*PLANPRODUCCION[[#This Row],[PIEZAS REAL]]</f>
        <v>864</v>
      </c>
      <c r="T51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2640</v>
      </c>
      <c r="U51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51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496</v>
      </c>
      <c r="W51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368</v>
      </c>
      <c r="X517" s="8" t="s">
        <v>602</v>
      </c>
      <c r="Y51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1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1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17" s="13">
        <f>IF(PLANPRODUCCION[[#This Row],[PIEZAS REAL]]&gt;0,PLANPRODUCCION[[#This Row],[PIEZAS REAL]]/PLANPRODUCCION[[#This Row],[PIEZAS ACTUALIZADO]],)</f>
        <v>1.0909090909090908</v>
      </c>
      <c r="AC517" t="b">
        <f>PLANPRODUCCION[[#This Row],[INGRESO PLANEADO]]&lt;PLANPRODUCCION[[#This Row],[COSTO PLANEADO]]</f>
        <v>0</v>
      </c>
      <c r="AD517" s="46" t="s">
        <v>670</v>
      </c>
      <c r="AE517" t="s">
        <v>671</v>
      </c>
      <c r="AF517" t="b">
        <f>IF(COUNTIF(PLANPRODUCCION[[#This Row],[OBSERVACIONES]],"NO APLICA BONO*")&gt;0,TRUE,FALSE)</f>
        <v>1</v>
      </c>
    </row>
    <row r="518" spans="1:32" x14ac:dyDescent="0.25">
      <c r="A518" s="46" t="str">
        <f>UPPER(IF(PLANPRODUCCION[[#This Row],[FECHA]]&lt;=45701,_xlfn.CONCAT(TEXT(B518,"MMM"),"-",IF(ROW(A518)&lt;11,"000"&amp;ROW(A518)-1,IF(ROW(A518)&lt;101,"00"&amp;ROW(A518)-1,IF(ROW(A518)&lt;1001,"0"&amp;ROW(A518)-1,ROW(A518)-1))),"-OLD"),_xlfn.CONCAT(TEXT(B518,"MMM"),"-",IF(ROW(A518)&lt;473,"000"&amp;ROW(A518)-463,IF(ROW(A518)&lt;563,"00"&amp;ROW(A518)-463,IF(ROW(A518)&lt;1001,"0"&amp;ROW(A518)-463,ROW(A518)-463))))))</f>
        <v>FEB-0055</v>
      </c>
      <c r="B518" s="39">
        <v>45707</v>
      </c>
      <c r="C518" s="5">
        <v>3</v>
      </c>
      <c r="D518" s="5" t="s">
        <v>53</v>
      </c>
      <c r="E518" t="s">
        <v>54</v>
      </c>
      <c r="F518" s="2">
        <v>0.25</v>
      </c>
      <c r="G518" s="2">
        <v>0.66666666666666663</v>
      </c>
      <c r="H518" s="5">
        <v>1568</v>
      </c>
      <c r="I518" t="s">
        <v>589</v>
      </c>
      <c r="J518" t="s">
        <v>653</v>
      </c>
      <c r="K518" s="5">
        <v>5000</v>
      </c>
      <c r="L518" s="5" t="s">
        <v>57</v>
      </c>
      <c r="M518" s="49">
        <v>1.2</v>
      </c>
      <c r="N518" s="6">
        <f>PLANPRODUCCION[[#This Row],[PIEZAS PLANEADAS]]*PLANPRODUCCION[[#This Row],[PRECIO MAQUILAS]]</f>
        <v>6000</v>
      </c>
      <c r="O518" s="5">
        <v>0</v>
      </c>
      <c r="P518" s="2">
        <v>0</v>
      </c>
      <c r="Q518" s="2">
        <v>0</v>
      </c>
      <c r="R518" s="5">
        <v>0</v>
      </c>
      <c r="S518" s="7">
        <f>PLANPRODUCCION[[#This Row],[PRECIO MAQUILAS]]*PLANPRODUCCION[[#This Row],[PIEZAS REAL]]</f>
        <v>0</v>
      </c>
      <c r="T51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1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1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1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18" s="8" t="s">
        <v>602</v>
      </c>
      <c r="Y518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1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18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18" s="13">
        <f>IF(PLANPRODUCCION[[#This Row],[PIEZAS REAL]]&gt;0,PLANPRODUCCION[[#This Row],[PIEZAS REAL]]/PLANPRODUCCION[[#This Row],[PIEZAS ACTUALIZADO]],)</f>
        <v>0</v>
      </c>
      <c r="AC518" t="b">
        <f>PLANPRODUCCION[[#This Row],[INGRESO PLANEADO]]&lt;PLANPRODUCCION[[#This Row],[COSTO PLANEADO]]</f>
        <v>0</v>
      </c>
      <c r="AD518" s="46" t="s">
        <v>672</v>
      </c>
      <c r="AF518" t="b">
        <f>IF(COUNTIF(PLANPRODUCCION[[#This Row],[OBSERVACIONES]],"NO APLICA BONO*")&gt;0,TRUE,FALSE)</f>
        <v>0</v>
      </c>
    </row>
    <row r="519" spans="1:32" x14ac:dyDescent="0.25">
      <c r="A519" s="46" t="str">
        <f>UPPER(IF(PLANPRODUCCION[[#This Row],[FECHA]]&lt;=45701,_xlfn.CONCAT(TEXT(B519,"MMM"),"-",IF(ROW(A519)&lt;11,"000"&amp;ROW(A519)-1,IF(ROW(A519)&lt;101,"00"&amp;ROW(A519)-1,IF(ROW(A519)&lt;1001,"0"&amp;ROW(A519)-1,ROW(A519)-1))),"-OLD"),_xlfn.CONCAT(TEXT(B519,"MMM"),"-",IF(ROW(A519)&lt;473,"000"&amp;ROW(A519)-463,IF(ROW(A519)&lt;563,"00"&amp;ROW(A519)-463,IF(ROW(A519)&lt;1001,"0"&amp;ROW(A519)-463,ROW(A519)-463))))))</f>
        <v>FEB-0056</v>
      </c>
      <c r="B519" s="39">
        <v>45707</v>
      </c>
      <c r="C519" s="5">
        <v>3</v>
      </c>
      <c r="D519" s="5">
        <v>0</v>
      </c>
      <c r="E519" t="s">
        <v>54</v>
      </c>
      <c r="F519" s="2">
        <v>0.25</v>
      </c>
      <c r="G519" s="2">
        <v>0.66666666666666663</v>
      </c>
      <c r="H519" s="5">
        <v>1582</v>
      </c>
      <c r="I519" t="s">
        <v>642</v>
      </c>
      <c r="J519" t="s">
        <v>643</v>
      </c>
      <c r="K519" s="5">
        <v>150</v>
      </c>
      <c r="L519" s="5" t="s">
        <v>283</v>
      </c>
      <c r="M519" s="49">
        <v>26.5</v>
      </c>
      <c r="N519" s="6">
        <f>PLANPRODUCCION[[#This Row],[PIEZAS PLANEADAS]]*PLANPRODUCCION[[#This Row],[PRECIO MAQUILAS]]</f>
        <v>3975</v>
      </c>
      <c r="O519" s="5">
        <v>3</v>
      </c>
      <c r="P519" s="2">
        <v>0.25</v>
      </c>
      <c r="Q519" s="2">
        <v>0.66666666666666663</v>
      </c>
      <c r="R519" s="5">
        <v>80</v>
      </c>
      <c r="S519" s="7">
        <f>PLANPRODUCCION[[#This Row],[PRECIO MAQUILAS]]*PLANPRODUCCION[[#This Row],[PIEZAS REAL]]</f>
        <v>2120</v>
      </c>
      <c r="T51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150</v>
      </c>
      <c r="U51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1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51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260</v>
      </c>
      <c r="X519" s="8" t="s">
        <v>602</v>
      </c>
      <c r="Y51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1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1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19" s="13">
        <f>IF(PLANPRODUCCION[[#This Row],[PIEZAS REAL]]&gt;0,PLANPRODUCCION[[#This Row],[PIEZAS REAL]]/PLANPRODUCCION[[#This Row],[PIEZAS ACTUALIZADO]],)</f>
        <v>0.53333333333333333</v>
      </c>
      <c r="AC519" t="b">
        <f>PLANPRODUCCION[[#This Row],[INGRESO PLANEADO]]&lt;PLANPRODUCCION[[#This Row],[COSTO PLANEADO]]</f>
        <v>0</v>
      </c>
      <c r="AD519" s="46" t="s">
        <v>673</v>
      </c>
      <c r="AF519" t="b">
        <f>IF(COUNTIF(PLANPRODUCCION[[#This Row],[OBSERVACIONES]],"NO APLICA BONO*")&gt;0,TRUE,FALSE)</f>
        <v>0</v>
      </c>
    </row>
    <row r="520" spans="1:32" x14ac:dyDescent="0.25">
      <c r="A520" s="46" t="str">
        <f>UPPER(IF(PLANPRODUCCION[[#This Row],[FECHA]]&lt;=45701,_xlfn.CONCAT(TEXT(B520,"MMM"),"-",IF(ROW(A520)&lt;11,"000"&amp;ROW(A520)-1,IF(ROW(A520)&lt;101,"00"&amp;ROW(A520)-1,IF(ROW(A520)&lt;1001,"0"&amp;ROW(A520)-1,ROW(A520)-1))),"-OLD"),_xlfn.CONCAT(TEXT(B520,"MMM"),"-",IF(ROW(A520)&lt;473,"000"&amp;ROW(A520)-463,IF(ROW(A520)&lt;563,"00"&amp;ROW(A520)-463,IF(ROW(A520)&lt;1001,"0"&amp;ROW(A520)-463,ROW(A520)-463))))))</f>
        <v>FEB-0057</v>
      </c>
      <c r="B520" s="39">
        <v>45707</v>
      </c>
      <c r="C520" s="5">
        <v>3</v>
      </c>
      <c r="D520" s="5">
        <v>1</v>
      </c>
      <c r="E520" t="s">
        <v>67</v>
      </c>
      <c r="F520" s="2">
        <v>0.33333333333333331</v>
      </c>
      <c r="G520" s="2">
        <v>0.75</v>
      </c>
      <c r="H520" s="5">
        <v>1568</v>
      </c>
      <c r="I520" t="s">
        <v>589</v>
      </c>
      <c r="J520" t="s">
        <v>68</v>
      </c>
      <c r="K520" s="5">
        <v>2520</v>
      </c>
      <c r="L520" s="5" t="s">
        <v>57</v>
      </c>
      <c r="M520" s="49">
        <v>0.75</v>
      </c>
      <c r="N520" s="6">
        <f>PLANPRODUCCION[[#This Row],[PIEZAS PLANEADAS]]*PLANPRODUCCION[[#This Row],[PRECIO MAQUILAS]]</f>
        <v>1890</v>
      </c>
      <c r="O520" s="5">
        <v>3</v>
      </c>
      <c r="P520" s="2">
        <v>0.33333333333333331</v>
      </c>
      <c r="Q520" s="2">
        <v>0.75</v>
      </c>
      <c r="R520" s="5">
        <v>1140</v>
      </c>
      <c r="S520" s="7">
        <f>PLANPRODUCCION[[#This Row],[PRECIO MAQUILAS]]*PLANPRODUCCION[[#This Row],[PIEZAS REAL]]</f>
        <v>855</v>
      </c>
      <c r="T52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2520</v>
      </c>
      <c r="U52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2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52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-1005</v>
      </c>
      <c r="X520" s="8" t="s">
        <v>602</v>
      </c>
      <c r="Y52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2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2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20" s="13">
        <f>IF(PLANPRODUCCION[[#This Row],[PIEZAS REAL]]&gt;0,PLANPRODUCCION[[#This Row],[PIEZAS REAL]]/PLANPRODUCCION[[#This Row],[PIEZAS ACTUALIZADO]],)</f>
        <v>0.45238095238095238</v>
      </c>
      <c r="AC520" t="b">
        <f>PLANPRODUCCION[[#This Row],[INGRESO PLANEADO]]&lt;PLANPRODUCCION[[#This Row],[COSTO PLANEADO]]</f>
        <v>0</v>
      </c>
      <c r="AD520" s="46" t="s">
        <v>674</v>
      </c>
      <c r="AF520" t="b">
        <f>IF(COUNTIF(PLANPRODUCCION[[#This Row],[OBSERVACIONES]],"NO APLICA BONO*")&gt;0,TRUE,FALSE)</f>
        <v>0</v>
      </c>
    </row>
    <row r="521" spans="1:32" x14ac:dyDescent="0.25">
      <c r="A521" s="46" t="str">
        <f>UPPER(IF(PLANPRODUCCION[[#This Row],[FECHA]]&lt;=45701,_xlfn.CONCAT(TEXT(B521,"MMM"),"-",IF(ROW(A521)&lt;11,"000"&amp;ROW(A521)-1,IF(ROW(A521)&lt;101,"00"&amp;ROW(A521)-1,IF(ROW(A521)&lt;1001,"0"&amp;ROW(A521)-1,ROW(A521)-1))),"-OLD"),_xlfn.CONCAT(TEXT(B521,"MMM"),"-",IF(ROW(A521)&lt;473,"000"&amp;ROW(A521)-463,IF(ROW(A521)&lt;563,"00"&amp;ROW(A521)-463,IF(ROW(A521)&lt;1001,"0"&amp;ROW(A521)-463,ROW(A521)-463))))))</f>
        <v>FEB-0058</v>
      </c>
      <c r="B521" s="39">
        <v>45707</v>
      </c>
      <c r="C521" s="5">
        <v>2</v>
      </c>
      <c r="D521" s="5">
        <v>2</v>
      </c>
      <c r="E521" t="s">
        <v>67</v>
      </c>
      <c r="F521" s="2">
        <v>0.33333333333333331</v>
      </c>
      <c r="G521" s="2">
        <v>0.75</v>
      </c>
      <c r="H521" s="5">
        <v>1568</v>
      </c>
      <c r="I521" t="s">
        <v>589</v>
      </c>
      <c r="J521" t="s">
        <v>68</v>
      </c>
      <c r="K521" s="5">
        <v>1680</v>
      </c>
      <c r="L521" s="5" t="s">
        <v>57</v>
      </c>
      <c r="M521" s="49">
        <v>0.75</v>
      </c>
      <c r="N521" s="6">
        <f>PLANPRODUCCION[[#This Row],[PIEZAS PLANEADAS]]*PLANPRODUCCION[[#This Row],[PRECIO MAQUILAS]]</f>
        <v>1260</v>
      </c>
      <c r="O521" s="5">
        <v>2</v>
      </c>
      <c r="P521" s="2">
        <v>0.33333333333333331</v>
      </c>
      <c r="Q521" s="2">
        <v>0.75</v>
      </c>
      <c r="R521" s="5">
        <v>670</v>
      </c>
      <c r="S521" s="7">
        <f>PLANPRODUCCION[[#This Row],[PRECIO MAQUILAS]]*PLANPRODUCCION[[#This Row],[PIEZAS REAL]]</f>
        <v>502.5</v>
      </c>
      <c r="T52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1680</v>
      </c>
      <c r="U52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52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52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-737.5</v>
      </c>
      <c r="X521" s="8" t="s">
        <v>602</v>
      </c>
      <c r="Y52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2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2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21" s="13">
        <f>IF(PLANPRODUCCION[[#This Row],[PIEZAS REAL]]&gt;0,PLANPRODUCCION[[#This Row],[PIEZAS REAL]]/PLANPRODUCCION[[#This Row],[PIEZAS ACTUALIZADO]],)</f>
        <v>0.39880952380952384</v>
      </c>
      <c r="AC521" t="b">
        <f>PLANPRODUCCION[[#This Row],[INGRESO PLANEADO]]&lt;PLANPRODUCCION[[#This Row],[COSTO PLANEADO]]</f>
        <v>0</v>
      </c>
      <c r="AD521" s="46" t="s">
        <v>675</v>
      </c>
      <c r="AF521" t="b">
        <f>IF(COUNTIF(PLANPRODUCCION[[#This Row],[OBSERVACIONES]],"NO APLICA BONO*")&gt;0,TRUE,FALSE)</f>
        <v>0</v>
      </c>
    </row>
    <row r="522" spans="1:32" x14ac:dyDescent="0.25">
      <c r="A522" s="46" t="str">
        <f>UPPER(IF(PLANPRODUCCION[[#This Row],[FECHA]]&lt;=45701,_xlfn.CONCAT(TEXT(B522,"MMM"),"-",IF(ROW(A522)&lt;11,"000"&amp;ROW(A522)-1,IF(ROW(A522)&lt;101,"00"&amp;ROW(A522)-1,IF(ROW(A522)&lt;1001,"0"&amp;ROW(A522)-1,ROW(A522)-1))),"-OLD"),_xlfn.CONCAT(TEXT(B522,"MMM"),"-",IF(ROW(A522)&lt;473,"000"&amp;ROW(A522)-463,IF(ROW(A522)&lt;563,"00"&amp;ROW(A522)-463,IF(ROW(A522)&lt;1001,"0"&amp;ROW(A522)-463,ROW(A522)-463))))))</f>
        <v>FEB-0059</v>
      </c>
      <c r="B522" s="39">
        <v>45707</v>
      </c>
      <c r="C522" s="5">
        <v>2</v>
      </c>
      <c r="D522" s="5">
        <v>2</v>
      </c>
      <c r="E522" t="s">
        <v>110</v>
      </c>
      <c r="F522" s="2">
        <v>0.54166666666666663</v>
      </c>
      <c r="G522" s="2">
        <v>0.875</v>
      </c>
      <c r="H522" s="5">
        <v>1577</v>
      </c>
      <c r="I522" t="s">
        <v>592</v>
      </c>
      <c r="J522" t="s">
        <v>68</v>
      </c>
      <c r="K522" s="5">
        <v>2020</v>
      </c>
      <c r="L522" s="5" t="s">
        <v>57</v>
      </c>
      <c r="M522" s="49">
        <v>1.2</v>
      </c>
      <c r="N522" s="6">
        <f>PLANPRODUCCION[[#This Row],[PIEZAS PLANEADAS]]*PLANPRODUCCION[[#This Row],[PRECIO MAQUILAS]]</f>
        <v>2424</v>
      </c>
      <c r="O522" s="5">
        <v>2</v>
      </c>
      <c r="P522" s="2">
        <v>0.54166666666666663</v>
      </c>
      <c r="Q522" s="2">
        <v>0.875</v>
      </c>
      <c r="R522" s="5">
        <v>1350</v>
      </c>
      <c r="S522" s="7">
        <f>PLANPRODUCCION[[#This Row],[PRECIO MAQUILAS]]*PLANPRODUCCION[[#This Row],[PIEZAS REAL]]</f>
        <v>1620</v>
      </c>
      <c r="T52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2020</v>
      </c>
      <c r="U52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52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52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380</v>
      </c>
      <c r="X522" s="8" t="s">
        <v>602</v>
      </c>
      <c r="Y52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2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2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22" s="13">
        <f>IF(PLANPRODUCCION[[#This Row],[PIEZAS REAL]]&gt;0,PLANPRODUCCION[[#This Row],[PIEZAS REAL]]/PLANPRODUCCION[[#This Row],[PIEZAS ACTUALIZADO]],)</f>
        <v>0.66831683168316836</v>
      </c>
      <c r="AC522" t="b">
        <f>PLANPRODUCCION[[#This Row],[INGRESO PLANEADO]]&lt;PLANPRODUCCION[[#This Row],[COSTO PLANEADO]]</f>
        <v>0</v>
      </c>
      <c r="AD522" s="46" t="s">
        <v>676</v>
      </c>
      <c r="AF522" t="b">
        <f>IF(COUNTIF(PLANPRODUCCION[[#This Row],[OBSERVACIONES]],"NO APLICA BONO*")&gt;0,TRUE,FALSE)</f>
        <v>0</v>
      </c>
    </row>
    <row r="523" spans="1:32" x14ac:dyDescent="0.25">
      <c r="A523" s="46" t="str">
        <f>UPPER(IF(PLANPRODUCCION[[#This Row],[FECHA]]&lt;=45701,_xlfn.CONCAT(TEXT(B523,"MMM"),"-",IF(ROW(A523)&lt;11,"000"&amp;ROW(A523)-1,IF(ROW(A523)&lt;101,"00"&amp;ROW(A523)-1,IF(ROW(A523)&lt;1001,"0"&amp;ROW(A523)-1,ROW(A523)-1))),"-OLD"),_xlfn.CONCAT(TEXT(B523,"MMM"),"-",IF(ROW(A523)&lt;473,"000"&amp;ROW(A523)-463,IF(ROW(A523)&lt;563,"00"&amp;ROW(A523)-463,IF(ROW(A523)&lt;1001,"0"&amp;ROW(A523)-463,ROW(A523)-463))))))</f>
        <v>FEB-0060</v>
      </c>
      <c r="B523" s="39">
        <v>45707</v>
      </c>
      <c r="C523" s="5">
        <v>3</v>
      </c>
      <c r="D523" s="5">
        <v>1</v>
      </c>
      <c r="E523" t="s">
        <v>110</v>
      </c>
      <c r="F523" s="2">
        <v>0.54166666666666663</v>
      </c>
      <c r="G523" s="2">
        <v>0.66666666666666663</v>
      </c>
      <c r="H523" s="5">
        <v>1577</v>
      </c>
      <c r="I523" t="s">
        <v>592</v>
      </c>
      <c r="J523" t="s">
        <v>68</v>
      </c>
      <c r="K523" s="5">
        <v>800</v>
      </c>
      <c r="L523" s="5" t="s">
        <v>57</v>
      </c>
      <c r="M523" s="49">
        <v>1.2</v>
      </c>
      <c r="N523" s="6">
        <f>PLANPRODUCCION[[#This Row],[PIEZAS PLANEADAS]]*PLANPRODUCCION[[#This Row],[PRECIO MAQUILAS]]</f>
        <v>960</v>
      </c>
      <c r="O523" s="5">
        <v>3</v>
      </c>
      <c r="P523" s="2">
        <v>0.54166666666666663</v>
      </c>
      <c r="Q523" s="2">
        <v>0.66666666666666663</v>
      </c>
      <c r="R523" s="5">
        <v>800</v>
      </c>
      <c r="S523" s="7">
        <f>PLANPRODUCCION[[#This Row],[PRECIO MAQUILAS]]*PLANPRODUCCION[[#This Row],[PIEZAS REAL]]</f>
        <v>960</v>
      </c>
      <c r="T52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800</v>
      </c>
      <c r="U52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697.5</v>
      </c>
      <c r="V52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697.5</v>
      </c>
      <c r="W52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262.5</v>
      </c>
      <c r="X523" s="8" t="s">
        <v>602</v>
      </c>
      <c r="Y52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2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23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523" s="13">
        <f>IF(PLANPRODUCCION[[#This Row],[PIEZAS REAL]]&gt;0,PLANPRODUCCION[[#This Row],[PIEZAS REAL]]/PLANPRODUCCION[[#This Row],[PIEZAS ACTUALIZADO]],)</f>
        <v>1</v>
      </c>
      <c r="AC523" t="b">
        <f>PLANPRODUCCION[[#This Row],[INGRESO PLANEADO]]&lt;PLANPRODUCCION[[#This Row],[COSTO PLANEADO]]</f>
        <v>0</v>
      </c>
      <c r="AD523" s="46" t="s">
        <v>677</v>
      </c>
      <c r="AE523" s="14" t="s">
        <v>678</v>
      </c>
      <c r="AF523" t="b">
        <f>IF(COUNTIF(PLANPRODUCCION[[#This Row],[OBSERVACIONES]],"NO APLICA BONO*")&gt;0,TRUE,FALSE)</f>
        <v>0</v>
      </c>
    </row>
    <row r="524" spans="1:32" x14ac:dyDescent="0.25">
      <c r="A524" s="46" t="str">
        <f>UPPER(IF(PLANPRODUCCION[[#This Row],[FECHA]]&lt;=45701,_xlfn.CONCAT(TEXT(B524,"MMM"),"-",IF(ROW(A524)&lt;11,"000"&amp;ROW(A524)-1,IF(ROW(A524)&lt;101,"00"&amp;ROW(A524)-1,IF(ROW(A524)&lt;1001,"0"&amp;ROW(A524)-1,ROW(A524)-1))),"-OLD"),_xlfn.CONCAT(TEXT(B524,"MMM"),"-",IF(ROW(A524)&lt;473,"000"&amp;ROW(A524)-463,IF(ROW(A524)&lt;563,"00"&amp;ROW(A524)-463,IF(ROW(A524)&lt;1001,"0"&amp;ROW(A524)-463,ROW(A524)-463))))))</f>
        <v>FEB-0061</v>
      </c>
      <c r="B524" s="39">
        <v>45707</v>
      </c>
      <c r="C524" s="5">
        <v>9</v>
      </c>
      <c r="D524" s="5" t="s">
        <v>666</v>
      </c>
      <c r="E524" t="s">
        <v>72</v>
      </c>
      <c r="F524" s="2">
        <v>0.66666666666666663</v>
      </c>
      <c r="G524" s="2">
        <v>0.875</v>
      </c>
      <c r="H524" s="5">
        <v>1522</v>
      </c>
      <c r="I524" t="s">
        <v>434</v>
      </c>
      <c r="J524" t="s">
        <v>441</v>
      </c>
      <c r="K524" s="5">
        <v>264</v>
      </c>
      <c r="L524" s="10" t="s">
        <v>283</v>
      </c>
      <c r="M524" s="49">
        <v>15</v>
      </c>
      <c r="N524" s="6">
        <f>PLANPRODUCCION[[#This Row],[PIEZAS PLANEADAS]]*PLANPRODUCCION[[#This Row],[PRECIO MAQUILAS]]</f>
        <v>3960</v>
      </c>
      <c r="O524" s="5">
        <v>9</v>
      </c>
      <c r="P524" s="2">
        <v>0.66666666666666663</v>
      </c>
      <c r="Q524" s="2">
        <v>0.875</v>
      </c>
      <c r="R524" s="5">
        <v>214</v>
      </c>
      <c r="S524" s="7">
        <f>PLANPRODUCCION[[#This Row],[PRECIO MAQUILAS]]*PLANPRODUCCION[[#This Row],[PIEZAS REAL]]</f>
        <v>3210</v>
      </c>
      <c r="T52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264</v>
      </c>
      <c r="U52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2790</v>
      </c>
      <c r="V52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2790</v>
      </c>
      <c r="W52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420</v>
      </c>
      <c r="X524" s="8" t="s">
        <v>602</v>
      </c>
      <c r="Y52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2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2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24" s="13">
        <f>IF(PLANPRODUCCION[[#This Row],[PIEZAS REAL]]&gt;0,PLANPRODUCCION[[#This Row],[PIEZAS REAL]]/PLANPRODUCCION[[#This Row],[PIEZAS ACTUALIZADO]],)</f>
        <v>0.81060606060606055</v>
      </c>
      <c r="AC524" t="b">
        <f>PLANPRODUCCION[[#This Row],[INGRESO PLANEADO]]&lt;PLANPRODUCCION[[#This Row],[COSTO PLANEADO]]</f>
        <v>0</v>
      </c>
      <c r="AD524" s="46" t="s">
        <v>679</v>
      </c>
      <c r="AF524" t="b">
        <f>IF(COUNTIF(PLANPRODUCCION[[#This Row],[OBSERVACIONES]],"NO APLICA BONO*")&gt;0,TRUE,FALSE)</f>
        <v>0</v>
      </c>
    </row>
    <row r="525" spans="1:32" x14ac:dyDescent="0.25">
      <c r="A525" s="46" t="str">
        <f>UPPER(IF(PLANPRODUCCION[[#This Row],[FECHA]]&lt;=45701,_xlfn.CONCAT(TEXT(B525,"MMM"),"-",IF(ROW(A525)&lt;11,"000"&amp;ROW(A525)-1,IF(ROW(A525)&lt;101,"00"&amp;ROW(A525)-1,IF(ROW(A525)&lt;1001,"0"&amp;ROW(A525)-1,ROW(A525)-1))),"-OLD"),_xlfn.CONCAT(TEXT(B525,"MMM"),"-",IF(ROW(A525)&lt;473,"000"&amp;ROW(A525)-463,IF(ROW(A525)&lt;563,"00"&amp;ROW(A525)-463,IF(ROW(A525)&lt;1001,"0"&amp;ROW(A525)-463,ROW(A525)-463))))))</f>
        <v>FEB-0062</v>
      </c>
      <c r="B525" s="39">
        <v>45707</v>
      </c>
      <c r="C525" s="5">
        <v>10</v>
      </c>
      <c r="D525" s="5" t="s">
        <v>666</v>
      </c>
      <c r="E525" t="s">
        <v>75</v>
      </c>
      <c r="F525" s="2">
        <v>0.875</v>
      </c>
      <c r="G525" s="2">
        <v>0.25</v>
      </c>
      <c r="H525" s="5">
        <v>1522</v>
      </c>
      <c r="I525" t="s">
        <v>434</v>
      </c>
      <c r="J525" t="s">
        <v>441</v>
      </c>
      <c r="K525" s="5">
        <v>552</v>
      </c>
      <c r="L525" s="10" t="s">
        <v>283</v>
      </c>
      <c r="M525" s="49">
        <v>15</v>
      </c>
      <c r="N525" s="6">
        <f>PLANPRODUCCION[[#This Row],[PIEZAS PLANEADAS]]*PLANPRODUCCION[[#This Row],[PRECIO MAQUILAS]]</f>
        <v>8280</v>
      </c>
      <c r="O525" s="5">
        <v>7</v>
      </c>
      <c r="P525" s="2">
        <v>0.875</v>
      </c>
      <c r="Q525" s="2">
        <v>0.25</v>
      </c>
      <c r="R525" s="5">
        <v>358</v>
      </c>
      <c r="S525" s="7">
        <f>PLANPRODUCCION[[#This Row],[PRECIO MAQUILAS]]*PLANPRODUCCION[[#This Row],[PIEZAS REAL]]</f>
        <v>5370</v>
      </c>
      <c r="T52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387</v>
      </c>
      <c r="U52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7500</v>
      </c>
      <c r="V52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5250</v>
      </c>
      <c r="W52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120</v>
      </c>
      <c r="X525" s="8" t="s">
        <v>602</v>
      </c>
      <c r="Y52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2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2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25" s="13">
        <f>IF(PLANPRODUCCION[[#This Row],[PIEZAS REAL]]&gt;0,PLANPRODUCCION[[#This Row],[PIEZAS REAL]]/PLANPRODUCCION[[#This Row],[PIEZAS ACTUALIZADO]],)</f>
        <v>0.92506459948320419</v>
      </c>
      <c r="AC525" t="b">
        <f>PLANPRODUCCION[[#This Row],[INGRESO PLANEADO]]&lt;PLANPRODUCCION[[#This Row],[COSTO PLANEADO]]</f>
        <v>0</v>
      </c>
      <c r="AD525" s="46" t="s">
        <v>680</v>
      </c>
      <c r="AF525" t="b">
        <f>IF(COUNTIF(PLANPRODUCCION[[#This Row],[OBSERVACIONES]],"NO APLICA BONO*")&gt;0,TRUE,FALSE)</f>
        <v>0</v>
      </c>
    </row>
    <row r="526" spans="1:32" x14ac:dyDescent="0.25">
      <c r="A526" s="46" t="str">
        <f>UPPER(IF(PLANPRODUCCION[[#This Row],[FECHA]]&lt;=45701,_xlfn.CONCAT(TEXT(B526,"MMM"),"-",IF(ROW(A526)&lt;11,"000"&amp;ROW(A526)-1,IF(ROW(A526)&lt;101,"00"&amp;ROW(A526)-1,IF(ROW(A526)&lt;1001,"0"&amp;ROW(A526)-1,ROW(A526)-1))),"-OLD"),_xlfn.CONCAT(TEXT(B526,"MMM"),"-",IF(ROW(A526)&lt;473,"000"&amp;ROW(A526)-463,IF(ROW(A526)&lt;563,"00"&amp;ROW(A526)-463,IF(ROW(A526)&lt;1001,"0"&amp;ROW(A526)-463,ROW(A526)-463))))))</f>
        <v>FEB-0063</v>
      </c>
      <c r="B526" s="39">
        <v>45708</v>
      </c>
      <c r="C526" s="5">
        <v>6</v>
      </c>
      <c r="D526" s="5" t="s">
        <v>666</v>
      </c>
      <c r="E526" t="s">
        <v>54</v>
      </c>
      <c r="F526" s="2">
        <v>0.25</v>
      </c>
      <c r="G526" s="2">
        <v>0.66666666666666663</v>
      </c>
      <c r="H526" s="5">
        <v>1522</v>
      </c>
      <c r="I526" t="s">
        <v>434</v>
      </c>
      <c r="J526" t="s">
        <v>441</v>
      </c>
      <c r="K526" s="5">
        <v>360</v>
      </c>
      <c r="L526" s="10" t="s">
        <v>283</v>
      </c>
      <c r="M526" s="49">
        <v>15</v>
      </c>
      <c r="N526" s="6">
        <f>PLANPRODUCCION[[#This Row],[PIEZAS PLANEADAS]]*PLANPRODUCCION[[#This Row],[PRECIO MAQUILAS]]</f>
        <v>5400</v>
      </c>
      <c r="O526" s="5">
        <v>5</v>
      </c>
      <c r="P526" s="2">
        <v>0.25</v>
      </c>
      <c r="Q526" s="2">
        <v>0.66666666666666663</v>
      </c>
      <c r="R526" s="5">
        <v>255</v>
      </c>
      <c r="S526" s="7">
        <f>PLANPRODUCCION[[#This Row],[PRECIO MAQUILAS]]*PLANPRODUCCION[[#This Row],[PIEZAS REAL]]</f>
        <v>3825</v>
      </c>
      <c r="T52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300</v>
      </c>
      <c r="U52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3720</v>
      </c>
      <c r="V52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52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725</v>
      </c>
      <c r="X526" s="8" t="s">
        <v>602</v>
      </c>
      <c r="Y52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2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2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26" s="13">
        <f>IF(PLANPRODUCCION[[#This Row],[PIEZAS REAL]]&gt;0,PLANPRODUCCION[[#This Row],[PIEZAS REAL]]/PLANPRODUCCION[[#This Row],[PIEZAS ACTUALIZADO]],)</f>
        <v>0.85</v>
      </c>
      <c r="AC526" t="b">
        <f>PLANPRODUCCION[[#This Row],[INGRESO PLANEADO]]&lt;PLANPRODUCCION[[#This Row],[COSTO PLANEADO]]</f>
        <v>0</v>
      </c>
      <c r="AD526" s="46" t="s">
        <v>681</v>
      </c>
      <c r="AF526" t="b">
        <f>IF(COUNTIF(PLANPRODUCCION[[#This Row],[OBSERVACIONES]],"NO APLICA BONO*")&gt;0,TRUE,FALSE)</f>
        <v>0</v>
      </c>
    </row>
    <row r="527" spans="1:32" x14ac:dyDescent="0.25">
      <c r="A527" s="46" t="str">
        <f>UPPER(IF(PLANPRODUCCION[[#This Row],[FECHA]]&lt;=45701,_xlfn.CONCAT(TEXT(B527,"MMM"),"-",IF(ROW(A527)&lt;11,"000"&amp;ROW(A527)-1,IF(ROW(A527)&lt;101,"00"&amp;ROW(A527)-1,IF(ROW(A527)&lt;1001,"0"&amp;ROW(A527)-1,ROW(A527)-1))),"-OLD"),_xlfn.CONCAT(TEXT(B527,"MMM"),"-",IF(ROW(A527)&lt;473,"000"&amp;ROW(A527)-463,IF(ROW(A527)&lt;563,"00"&amp;ROW(A527)-463,IF(ROW(A527)&lt;1001,"0"&amp;ROW(A527)-463,ROW(A527)-463))))))</f>
        <v>FEB-0064</v>
      </c>
      <c r="B527" s="39">
        <v>45708</v>
      </c>
      <c r="C527" s="5">
        <v>6</v>
      </c>
      <c r="D527" s="5" t="s">
        <v>666</v>
      </c>
      <c r="E527" t="s">
        <v>54</v>
      </c>
      <c r="F527" s="2">
        <v>0.25</v>
      </c>
      <c r="G527" s="2">
        <v>0.66666666666666663</v>
      </c>
      <c r="H527" s="5">
        <v>1522</v>
      </c>
      <c r="I527" t="s">
        <v>434</v>
      </c>
      <c r="J527" t="s">
        <v>441</v>
      </c>
      <c r="K527" s="5">
        <v>360</v>
      </c>
      <c r="L527" s="10" t="s">
        <v>283</v>
      </c>
      <c r="M527" s="49">
        <v>15</v>
      </c>
      <c r="N527" s="6">
        <f>PLANPRODUCCION[[#This Row],[PIEZAS PLANEADAS]]*PLANPRODUCCION[[#This Row],[PRECIO MAQUILAS]]</f>
        <v>5400</v>
      </c>
      <c r="O527" s="5">
        <v>5</v>
      </c>
      <c r="P527" s="2">
        <v>0.25</v>
      </c>
      <c r="Q527" s="2">
        <v>0.66666666666666663</v>
      </c>
      <c r="R527" s="5">
        <v>360</v>
      </c>
      <c r="S527" s="7">
        <f>PLANPRODUCCION[[#This Row],[PRECIO MAQUILAS]]*PLANPRODUCCION[[#This Row],[PIEZAS REAL]]</f>
        <v>5400</v>
      </c>
      <c r="T52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300</v>
      </c>
      <c r="U52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3720</v>
      </c>
      <c r="V52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52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2300</v>
      </c>
      <c r="X527" s="8" t="s">
        <v>602</v>
      </c>
      <c r="Y52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2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27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527" s="13">
        <f>IF(PLANPRODUCCION[[#This Row],[PIEZAS REAL]]&gt;0,PLANPRODUCCION[[#This Row],[PIEZAS REAL]]/PLANPRODUCCION[[#This Row],[PIEZAS ACTUALIZADO]],)</f>
        <v>1.2</v>
      </c>
      <c r="AC527" t="b">
        <f>PLANPRODUCCION[[#This Row],[INGRESO PLANEADO]]&lt;PLANPRODUCCION[[#This Row],[COSTO PLANEADO]]</f>
        <v>0</v>
      </c>
      <c r="AD527" s="46" t="s">
        <v>682</v>
      </c>
      <c r="AF527" t="b">
        <f>IF(COUNTIF(PLANPRODUCCION[[#This Row],[OBSERVACIONES]],"NO APLICA BONO*")&gt;0,TRUE,FALSE)</f>
        <v>0</v>
      </c>
    </row>
    <row r="528" spans="1:32" x14ac:dyDescent="0.25">
      <c r="A528" s="46" t="str">
        <f>UPPER(IF(PLANPRODUCCION[[#This Row],[FECHA]]&lt;=45701,_xlfn.CONCAT(TEXT(B528,"MMM"),"-",IF(ROW(A528)&lt;11,"000"&amp;ROW(A528)-1,IF(ROW(A528)&lt;101,"00"&amp;ROW(A528)-1,IF(ROW(A528)&lt;1001,"0"&amp;ROW(A528)-1,ROW(A528)-1))),"-OLD"),_xlfn.CONCAT(TEXT(B528,"MMM"),"-",IF(ROW(A528)&lt;473,"000"&amp;ROW(A528)-463,IF(ROW(A528)&lt;563,"00"&amp;ROW(A528)-463,IF(ROW(A528)&lt;1001,"0"&amp;ROW(A528)-463,ROW(A528)-463))))))</f>
        <v>FEB-0065</v>
      </c>
      <c r="B528" s="39">
        <v>45708</v>
      </c>
      <c r="C528" s="5">
        <v>1</v>
      </c>
      <c r="D528" s="5">
        <v>0</v>
      </c>
      <c r="E528" t="s">
        <v>54</v>
      </c>
      <c r="F528" s="2">
        <v>0.25</v>
      </c>
      <c r="G528" s="2">
        <v>0.66666666666666663</v>
      </c>
      <c r="H528" s="5">
        <v>1522</v>
      </c>
      <c r="I528" t="s">
        <v>434</v>
      </c>
      <c r="J528" t="s">
        <v>435</v>
      </c>
      <c r="K528" s="5">
        <v>3300</v>
      </c>
      <c r="L528" s="10" t="s">
        <v>57</v>
      </c>
      <c r="M528" s="49">
        <v>0.3</v>
      </c>
      <c r="N528" s="6">
        <f>PLANPRODUCCION[[#This Row],[PIEZAS PLANEADAS]]*PLANPRODUCCION[[#This Row],[PRECIO MAQUILAS]]</f>
        <v>990</v>
      </c>
      <c r="O528" s="5">
        <v>0</v>
      </c>
      <c r="P528" s="2">
        <v>0</v>
      </c>
      <c r="Q528" s="2">
        <v>0</v>
      </c>
      <c r="R528" s="5">
        <v>0</v>
      </c>
      <c r="S528" s="7">
        <f>PLANPRODUCCION[[#This Row],[PRECIO MAQUILAS]]*PLANPRODUCCION[[#This Row],[PIEZAS REAL]]</f>
        <v>0</v>
      </c>
      <c r="T52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2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2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2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28" s="8" t="s">
        <v>602</v>
      </c>
      <c r="Y528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2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28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28" s="13">
        <f>IF(PLANPRODUCCION[[#This Row],[PIEZAS REAL]]&gt;0,PLANPRODUCCION[[#This Row],[PIEZAS REAL]]/PLANPRODUCCION[[#This Row],[PIEZAS ACTUALIZADO]],)</f>
        <v>0</v>
      </c>
      <c r="AC528" t="b">
        <f>PLANPRODUCCION[[#This Row],[INGRESO PLANEADO]]&lt;PLANPRODUCCION[[#This Row],[COSTO PLANEADO]]</f>
        <v>0</v>
      </c>
      <c r="AD528" s="46" t="s">
        <v>683</v>
      </c>
      <c r="AF528" t="b">
        <f>IF(COUNTIF(PLANPRODUCCION[[#This Row],[OBSERVACIONES]],"NO APLICA BONO*")&gt;0,TRUE,FALSE)</f>
        <v>0</v>
      </c>
    </row>
    <row r="529" spans="1:32" x14ac:dyDescent="0.25">
      <c r="A529" s="46" t="str">
        <f>UPPER(IF(PLANPRODUCCION[[#This Row],[FECHA]]&lt;=45701,_xlfn.CONCAT(TEXT(B529,"MMM"),"-",IF(ROW(A529)&lt;11,"000"&amp;ROW(A529)-1,IF(ROW(A529)&lt;101,"00"&amp;ROW(A529)-1,IF(ROW(A529)&lt;1001,"0"&amp;ROW(A529)-1,ROW(A529)-1))),"-OLD"),_xlfn.CONCAT(TEXT(B529,"MMM"),"-",IF(ROW(A529)&lt;473,"000"&amp;ROW(A529)-463,IF(ROW(A529)&lt;563,"00"&amp;ROW(A529)-463,IF(ROW(A529)&lt;1001,"0"&amp;ROW(A529)-463,ROW(A529)-463))))))</f>
        <v>FEB-0066</v>
      </c>
      <c r="B529" s="39">
        <v>45708</v>
      </c>
      <c r="C529" s="5">
        <v>3</v>
      </c>
      <c r="D529" s="5" t="s">
        <v>53</v>
      </c>
      <c r="E529" t="s">
        <v>54</v>
      </c>
      <c r="F529" s="2">
        <v>0.25</v>
      </c>
      <c r="G529" s="2">
        <v>0.66666666666666663</v>
      </c>
      <c r="H529" s="5">
        <v>1568</v>
      </c>
      <c r="I529" t="s">
        <v>589</v>
      </c>
      <c r="J529" t="s">
        <v>653</v>
      </c>
      <c r="K529" s="5">
        <v>5000</v>
      </c>
      <c r="L529" s="5" t="s">
        <v>57</v>
      </c>
      <c r="M529" s="49">
        <v>1.2</v>
      </c>
      <c r="N529" s="6">
        <f>PLANPRODUCCION[[#This Row],[PIEZAS PLANEADAS]]*PLANPRODUCCION[[#This Row],[PRECIO MAQUILAS]]</f>
        <v>6000</v>
      </c>
      <c r="O529" s="5">
        <v>3</v>
      </c>
      <c r="P529" s="2">
        <v>0.25</v>
      </c>
      <c r="Q529" s="2">
        <v>0.66666666666666663</v>
      </c>
      <c r="R529" s="5">
        <v>3495</v>
      </c>
      <c r="S529" s="7">
        <f>PLANPRODUCCION[[#This Row],[PRECIO MAQUILAS]]*PLANPRODUCCION[[#This Row],[PIEZAS REAL]]</f>
        <v>4194</v>
      </c>
      <c r="T52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5000</v>
      </c>
      <c r="U52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2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52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2334</v>
      </c>
      <c r="X529" s="8" t="s">
        <v>602</v>
      </c>
      <c r="Y52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2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2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29" s="13">
        <f>IF(PLANPRODUCCION[[#This Row],[PIEZAS REAL]]&gt;0,PLANPRODUCCION[[#This Row],[PIEZAS REAL]]/PLANPRODUCCION[[#This Row],[PIEZAS ACTUALIZADO]],)</f>
        <v>0.69899999999999995</v>
      </c>
      <c r="AC529" t="b">
        <f>PLANPRODUCCION[[#This Row],[INGRESO PLANEADO]]&lt;PLANPRODUCCION[[#This Row],[COSTO PLANEADO]]</f>
        <v>0</v>
      </c>
      <c r="AD529" s="46" t="s">
        <v>684</v>
      </c>
      <c r="AF529" t="b">
        <f>IF(COUNTIF(PLANPRODUCCION[[#This Row],[OBSERVACIONES]],"NO APLICA BONO*")&gt;0,TRUE,FALSE)</f>
        <v>0</v>
      </c>
    </row>
    <row r="530" spans="1:32" x14ac:dyDescent="0.25">
      <c r="A530" s="46" t="str">
        <f>UPPER(IF(PLANPRODUCCION[[#This Row],[FECHA]]&lt;=45701,_xlfn.CONCAT(TEXT(B530,"MMM"),"-",IF(ROW(A530)&lt;11,"000"&amp;ROW(A530)-1,IF(ROW(A530)&lt;101,"00"&amp;ROW(A530)-1,IF(ROW(A530)&lt;1001,"0"&amp;ROW(A530)-1,ROW(A530)-1))),"-OLD"),_xlfn.CONCAT(TEXT(B530,"MMM"),"-",IF(ROW(A530)&lt;473,"000"&amp;ROW(A530)-463,IF(ROW(A530)&lt;563,"00"&amp;ROW(A530)-463,IF(ROW(A530)&lt;1001,"0"&amp;ROW(A530)-463,ROW(A530)-463))))))</f>
        <v>FEB-0067</v>
      </c>
      <c r="B530" s="39">
        <v>45708</v>
      </c>
      <c r="C530" s="5">
        <v>3</v>
      </c>
      <c r="D530" s="5">
        <v>5</v>
      </c>
      <c r="E530" t="s">
        <v>54</v>
      </c>
      <c r="F530" s="2">
        <v>0.25</v>
      </c>
      <c r="G530" s="2">
        <v>0.66666666666666663</v>
      </c>
      <c r="H530" s="5">
        <v>1582</v>
      </c>
      <c r="I530" t="s">
        <v>642</v>
      </c>
      <c r="J530" t="s">
        <v>643</v>
      </c>
      <c r="K530" s="5">
        <v>150</v>
      </c>
      <c r="L530" s="5" t="s">
        <v>283</v>
      </c>
      <c r="M530" s="49">
        <v>26.5</v>
      </c>
      <c r="N530" s="6">
        <f>PLANPRODUCCION[[#This Row],[PIEZAS PLANEADAS]]*PLANPRODUCCION[[#This Row],[PRECIO MAQUILAS]]</f>
        <v>3975</v>
      </c>
      <c r="O530" s="5">
        <v>2</v>
      </c>
      <c r="P530" s="2">
        <v>0.25</v>
      </c>
      <c r="Q530" s="2">
        <v>0.66666666666666663</v>
      </c>
      <c r="R530" s="5">
        <v>77</v>
      </c>
      <c r="S530" s="7">
        <f>PLANPRODUCCION[[#This Row],[PRECIO MAQUILAS]]*PLANPRODUCCION[[#This Row],[PIEZAS REAL]]</f>
        <v>2040.5</v>
      </c>
      <c r="T53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100</v>
      </c>
      <c r="U53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3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53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800.5</v>
      </c>
      <c r="X530" s="8" t="s">
        <v>602</v>
      </c>
      <c r="Y53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3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3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30" s="13">
        <f>IF(PLANPRODUCCION[[#This Row],[PIEZAS REAL]]&gt;0,PLANPRODUCCION[[#This Row],[PIEZAS REAL]]/PLANPRODUCCION[[#This Row],[PIEZAS ACTUALIZADO]],)</f>
        <v>0.77</v>
      </c>
      <c r="AC530" t="b">
        <f>PLANPRODUCCION[[#This Row],[INGRESO PLANEADO]]&lt;PLANPRODUCCION[[#This Row],[COSTO PLANEADO]]</f>
        <v>0</v>
      </c>
      <c r="AD530" s="46" t="s">
        <v>685</v>
      </c>
      <c r="AF530" t="b">
        <f>IF(COUNTIF(PLANPRODUCCION[[#This Row],[OBSERVACIONES]],"NO APLICA BONO*")&gt;0,TRUE,FALSE)</f>
        <v>0</v>
      </c>
    </row>
    <row r="531" spans="1:32" x14ac:dyDescent="0.25">
      <c r="A531" s="46" t="str">
        <f>UPPER(IF(PLANPRODUCCION[[#This Row],[FECHA]]&lt;=45701,_xlfn.CONCAT(TEXT(B531,"MMM"),"-",IF(ROW(A531)&lt;11,"000"&amp;ROW(A531)-1,IF(ROW(A531)&lt;101,"00"&amp;ROW(A531)-1,IF(ROW(A531)&lt;1001,"0"&amp;ROW(A531)-1,ROW(A531)-1))),"-OLD"),_xlfn.CONCAT(TEXT(B531,"MMM"),"-",IF(ROW(A531)&lt;473,"000"&amp;ROW(A531)-463,IF(ROW(A531)&lt;563,"00"&amp;ROW(A531)-463,IF(ROW(A531)&lt;1001,"0"&amp;ROW(A531)-463,ROW(A531)-463))))))</f>
        <v>FEB-0068</v>
      </c>
      <c r="B531" s="39">
        <v>45708</v>
      </c>
      <c r="C531" s="5">
        <v>3</v>
      </c>
      <c r="D531" s="5">
        <v>2</v>
      </c>
      <c r="E531" t="s">
        <v>67</v>
      </c>
      <c r="F531" s="2">
        <v>0.33333333333333331</v>
      </c>
      <c r="G531" s="2">
        <v>0.75</v>
      </c>
      <c r="H531" s="5">
        <v>1568</v>
      </c>
      <c r="I531" t="s">
        <v>589</v>
      </c>
      <c r="J531" t="s">
        <v>68</v>
      </c>
      <c r="K531" s="5">
        <v>2520</v>
      </c>
      <c r="L531" s="5" t="s">
        <v>57</v>
      </c>
      <c r="M531" s="49">
        <v>0.75</v>
      </c>
      <c r="N531" s="6">
        <f>PLANPRODUCCION[[#This Row],[PIEZAS PLANEADAS]]*PLANPRODUCCION[[#This Row],[PRECIO MAQUILAS]]</f>
        <v>1890</v>
      </c>
      <c r="O531" s="5">
        <v>3</v>
      </c>
      <c r="P531" s="2">
        <v>0.33333333333333331</v>
      </c>
      <c r="Q531" s="2">
        <v>0.60416666666666663</v>
      </c>
      <c r="R531" s="5">
        <v>810</v>
      </c>
      <c r="S531" s="7">
        <f>PLANPRODUCCION[[#This Row],[PRECIO MAQUILAS]]*PLANPRODUCCION[[#This Row],[PIEZAS REAL]]</f>
        <v>607.5</v>
      </c>
      <c r="T53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1638</v>
      </c>
      <c r="U53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3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1209</v>
      </c>
      <c r="W53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-601.5</v>
      </c>
      <c r="X531" s="8" t="s">
        <v>602</v>
      </c>
      <c r="Y53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3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3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31" s="13">
        <f>IF(PLANPRODUCCION[[#This Row],[PIEZAS REAL]]&gt;0,PLANPRODUCCION[[#This Row],[PIEZAS REAL]]/PLANPRODUCCION[[#This Row],[PIEZAS ACTUALIZADO]],)</f>
        <v>0.49450549450549453</v>
      </c>
      <c r="AC531" t="b">
        <f>PLANPRODUCCION[[#This Row],[INGRESO PLANEADO]]&lt;PLANPRODUCCION[[#This Row],[COSTO PLANEADO]]</f>
        <v>0</v>
      </c>
      <c r="AD531" s="46" t="s">
        <v>686</v>
      </c>
      <c r="AF531" t="b">
        <f>IF(COUNTIF(PLANPRODUCCION[[#This Row],[OBSERVACIONES]],"NO APLICA BONO*")&gt;0,TRUE,FALSE)</f>
        <v>0</v>
      </c>
    </row>
    <row r="532" spans="1:32" x14ac:dyDescent="0.25">
      <c r="A532" s="46" t="str">
        <f>UPPER(IF(PLANPRODUCCION[[#This Row],[FECHA]]&lt;=45701,_xlfn.CONCAT(TEXT(B532,"MMM"),"-",IF(ROW(A532)&lt;11,"000"&amp;ROW(A532)-1,IF(ROW(A532)&lt;101,"00"&amp;ROW(A532)-1,IF(ROW(A532)&lt;1001,"0"&amp;ROW(A532)-1,ROW(A532)-1))),"-OLD"),_xlfn.CONCAT(TEXT(B532,"MMM"),"-",IF(ROW(A532)&lt;473,"000"&amp;ROW(A532)-463,IF(ROW(A532)&lt;563,"00"&amp;ROW(A532)-463,IF(ROW(A532)&lt;1001,"0"&amp;ROW(A532)-463,ROW(A532)-463))))))</f>
        <v>FEB-0069</v>
      </c>
      <c r="B532" s="39">
        <v>45708</v>
      </c>
      <c r="C532" s="5">
        <v>3</v>
      </c>
      <c r="D532" s="5">
        <v>2</v>
      </c>
      <c r="E532" t="s">
        <v>67</v>
      </c>
      <c r="F532" s="2">
        <v>0.60416666666666663</v>
      </c>
      <c r="G532" s="2">
        <v>0.75</v>
      </c>
      <c r="H532" s="5">
        <v>1577</v>
      </c>
      <c r="I532" t="s">
        <v>592</v>
      </c>
      <c r="J532" t="s">
        <v>68</v>
      </c>
      <c r="K532" s="5">
        <v>828</v>
      </c>
      <c r="L532" s="5" t="s">
        <v>57</v>
      </c>
      <c r="M532" s="49">
        <v>1.2</v>
      </c>
      <c r="N532" s="6">
        <f>PLANPRODUCCION[[#This Row],[PIEZAS PLANEADAS]]*PLANPRODUCCION[[#This Row],[PRECIO MAQUILAS]]</f>
        <v>993.59999999999991</v>
      </c>
      <c r="O532" s="5">
        <v>3</v>
      </c>
      <c r="P532" s="2">
        <v>0.60416666666666663</v>
      </c>
      <c r="Q532" s="2">
        <v>0.75</v>
      </c>
      <c r="R532" s="5">
        <v>400</v>
      </c>
      <c r="S532" s="7">
        <f>PLANPRODUCCION[[#This Row],[PRECIO MAQUILAS]]*PLANPRODUCCION[[#This Row],[PIEZAS REAL]]</f>
        <v>480</v>
      </c>
      <c r="T53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828</v>
      </c>
      <c r="U53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651</v>
      </c>
      <c r="V53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651</v>
      </c>
      <c r="W53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-171</v>
      </c>
      <c r="X532" s="8" t="s">
        <v>606</v>
      </c>
      <c r="Y53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3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3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32" s="13">
        <f>IF(PLANPRODUCCION[[#This Row],[PIEZAS REAL]]&gt;0,PLANPRODUCCION[[#This Row],[PIEZAS REAL]]/PLANPRODUCCION[[#This Row],[PIEZAS ACTUALIZADO]],)</f>
        <v>0.48309178743961351</v>
      </c>
      <c r="AC532" t="b">
        <f>PLANPRODUCCION[[#This Row],[INGRESO PLANEADO]]&lt;PLANPRODUCCION[[#This Row],[COSTO PLANEADO]]</f>
        <v>0</v>
      </c>
      <c r="AD532" s="46" t="s">
        <v>687</v>
      </c>
      <c r="AF532" t="b">
        <f>IF(COUNTIF(PLANPRODUCCION[[#This Row],[OBSERVACIONES]],"NO APLICA BONO*")&gt;0,TRUE,FALSE)</f>
        <v>0</v>
      </c>
    </row>
    <row r="533" spans="1:32" x14ac:dyDescent="0.25">
      <c r="A533" s="46" t="str">
        <f>UPPER(IF(PLANPRODUCCION[[#This Row],[FECHA]]&lt;=45701,_xlfn.CONCAT(TEXT(B533,"MMM"),"-",IF(ROW(A533)&lt;11,"000"&amp;ROW(A533)-1,IF(ROW(A533)&lt;101,"00"&amp;ROW(A533)-1,IF(ROW(A533)&lt;1001,"0"&amp;ROW(A533)-1,ROW(A533)-1))),"-OLD"),_xlfn.CONCAT(TEXT(B533,"MMM"),"-",IF(ROW(A533)&lt;473,"000"&amp;ROW(A533)-463,IF(ROW(A533)&lt;563,"00"&amp;ROW(A533)-463,IF(ROW(A533)&lt;1001,"0"&amp;ROW(A533)-463,ROW(A533)-463))))))</f>
        <v>FEB-0070</v>
      </c>
      <c r="B533" s="39">
        <v>45708</v>
      </c>
      <c r="C533" s="5">
        <v>2</v>
      </c>
      <c r="D533" s="5">
        <v>2</v>
      </c>
      <c r="E533" t="s">
        <v>67</v>
      </c>
      <c r="F533" s="2">
        <v>0.33333333333333331</v>
      </c>
      <c r="G533" s="2">
        <v>0.75</v>
      </c>
      <c r="H533" s="5">
        <v>1577</v>
      </c>
      <c r="I533" t="s">
        <v>592</v>
      </c>
      <c r="J533" t="s">
        <v>68</v>
      </c>
      <c r="K533" s="5">
        <v>1680</v>
      </c>
      <c r="L533" s="5" t="s">
        <v>57</v>
      </c>
      <c r="M533" s="49">
        <v>1.2</v>
      </c>
      <c r="N533" s="6">
        <f>PLANPRODUCCION[[#This Row],[PIEZAS PLANEADAS]]*PLANPRODUCCION[[#This Row],[PRECIO MAQUILAS]]</f>
        <v>2016</v>
      </c>
      <c r="O533" s="5">
        <v>2</v>
      </c>
      <c r="P533" s="2">
        <v>0.33333333333333331</v>
      </c>
      <c r="Q533" s="2">
        <v>0.75</v>
      </c>
      <c r="R533" s="5">
        <v>1681</v>
      </c>
      <c r="S533" s="7">
        <f>PLANPRODUCCION[[#This Row],[PRECIO MAQUILAS]]*PLANPRODUCCION[[#This Row],[PIEZAS REAL]]</f>
        <v>2017.1999999999998</v>
      </c>
      <c r="T53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1680</v>
      </c>
      <c r="U53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53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53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777.19999999999982</v>
      </c>
      <c r="X533" s="8" t="s">
        <v>602</v>
      </c>
      <c r="Y53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3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3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33" s="13">
        <f>IF(PLANPRODUCCION[[#This Row],[PIEZAS REAL]]&gt;0,PLANPRODUCCION[[#This Row],[PIEZAS REAL]]/PLANPRODUCCION[[#This Row],[PIEZAS ACTUALIZADO]],)</f>
        <v>1.0005952380952381</v>
      </c>
      <c r="AC533" t="b">
        <f>PLANPRODUCCION[[#This Row],[INGRESO PLANEADO]]&lt;PLANPRODUCCION[[#This Row],[COSTO PLANEADO]]</f>
        <v>0</v>
      </c>
      <c r="AD533" s="46" t="s">
        <v>688</v>
      </c>
      <c r="AF533" t="b">
        <f>IF(COUNTIF(PLANPRODUCCION[[#This Row],[OBSERVACIONES]],"NO APLICA BONO*")&gt;0,TRUE,FALSE)</f>
        <v>0</v>
      </c>
    </row>
    <row r="534" spans="1:32" x14ac:dyDescent="0.25">
      <c r="A534" s="46" t="str">
        <f>UPPER(IF(PLANPRODUCCION[[#This Row],[FECHA]]&lt;=45701,_xlfn.CONCAT(TEXT(B534,"MMM"),"-",IF(ROW(A534)&lt;11,"000"&amp;ROW(A534)-1,IF(ROW(A534)&lt;101,"00"&amp;ROW(A534)-1,IF(ROW(A534)&lt;1001,"0"&amp;ROW(A534)-1,ROW(A534)-1))),"-OLD"),_xlfn.CONCAT(TEXT(B534,"MMM"),"-",IF(ROW(A534)&lt;473,"000"&amp;ROW(A534)-463,IF(ROW(A534)&lt;563,"00"&amp;ROW(A534)-463,IF(ROW(A534)&lt;1001,"0"&amp;ROW(A534)-463,ROW(A534)-463))))))</f>
        <v>FEB-0071</v>
      </c>
      <c r="B534" s="39">
        <v>45708</v>
      </c>
      <c r="C534" s="5">
        <v>2</v>
      </c>
      <c r="D534" s="5">
        <v>4</v>
      </c>
      <c r="E534" t="s">
        <v>110</v>
      </c>
      <c r="F534" s="2">
        <v>0.54166666666666663</v>
      </c>
      <c r="G534" s="2">
        <v>0.875</v>
      </c>
      <c r="H534" s="5">
        <v>1582</v>
      </c>
      <c r="I534" t="s">
        <v>642</v>
      </c>
      <c r="J534" t="s">
        <v>643</v>
      </c>
      <c r="K534" s="5">
        <v>90</v>
      </c>
      <c r="L534" s="5" t="s">
        <v>283</v>
      </c>
      <c r="M534" s="49">
        <v>26.5</v>
      </c>
      <c r="N534" s="6">
        <f>PLANPRODUCCION[[#This Row],[PIEZAS PLANEADAS]]*PLANPRODUCCION[[#This Row],[PRECIO MAQUILAS]]</f>
        <v>2385</v>
      </c>
      <c r="O534" s="5">
        <v>2</v>
      </c>
      <c r="P534" s="2">
        <v>0.54166666666666663</v>
      </c>
      <c r="Q534" s="2">
        <v>0.875</v>
      </c>
      <c r="R534" s="5">
        <v>51</v>
      </c>
      <c r="S534" s="7">
        <f>PLANPRODUCCION[[#This Row],[PRECIO MAQUILAS]]*PLANPRODUCCION[[#This Row],[PIEZAS REAL]]</f>
        <v>1351.5</v>
      </c>
      <c r="T53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90</v>
      </c>
      <c r="U53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53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53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111.5</v>
      </c>
      <c r="X534" s="8" t="s">
        <v>602</v>
      </c>
      <c r="Y53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3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3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34" s="13">
        <f>IF(PLANPRODUCCION[[#This Row],[PIEZAS REAL]]&gt;0,PLANPRODUCCION[[#This Row],[PIEZAS REAL]]/PLANPRODUCCION[[#This Row],[PIEZAS ACTUALIZADO]],)</f>
        <v>0.56666666666666665</v>
      </c>
      <c r="AC534" t="b">
        <f>PLANPRODUCCION[[#This Row],[INGRESO PLANEADO]]&lt;PLANPRODUCCION[[#This Row],[COSTO PLANEADO]]</f>
        <v>0</v>
      </c>
      <c r="AD534" s="46" t="s">
        <v>689</v>
      </c>
      <c r="AF534" t="b">
        <f>IF(COUNTIF(PLANPRODUCCION[[#This Row],[OBSERVACIONES]],"NO APLICA BONO*")&gt;0,TRUE,FALSE)</f>
        <v>0</v>
      </c>
    </row>
    <row r="535" spans="1:32" x14ac:dyDescent="0.25">
      <c r="A535" s="46" t="str">
        <f>UPPER(IF(PLANPRODUCCION[[#This Row],[FECHA]]&lt;=45701,_xlfn.CONCAT(TEXT(B535,"MMM"),"-",IF(ROW(A535)&lt;11,"000"&amp;ROW(A535)-1,IF(ROW(A535)&lt;101,"00"&amp;ROW(A535)-1,IF(ROW(A535)&lt;1001,"0"&amp;ROW(A535)-1,ROW(A535)-1))),"-OLD"),_xlfn.CONCAT(TEXT(B535,"MMM"),"-",IF(ROW(A535)&lt;473,"000"&amp;ROW(A535)-463,IF(ROW(A535)&lt;563,"00"&amp;ROW(A535)-463,IF(ROW(A535)&lt;1001,"0"&amp;ROW(A535)-463,ROW(A535)-463))))))</f>
        <v>FEB-0072</v>
      </c>
      <c r="B535" s="39">
        <v>45708</v>
      </c>
      <c r="C535" s="5">
        <v>3</v>
      </c>
      <c r="D535" s="5">
        <v>1</v>
      </c>
      <c r="E535" t="s">
        <v>110</v>
      </c>
      <c r="F535" s="2">
        <v>0.54166666666666663</v>
      </c>
      <c r="G535" s="2">
        <v>0.66666666666666663</v>
      </c>
      <c r="H535" s="5">
        <v>1577</v>
      </c>
      <c r="I535" t="s">
        <v>592</v>
      </c>
      <c r="J535" t="s">
        <v>68</v>
      </c>
      <c r="K535" s="5">
        <v>800</v>
      </c>
      <c r="L535" s="5" t="s">
        <v>57</v>
      </c>
      <c r="M535" s="49">
        <v>1.2</v>
      </c>
      <c r="N535" s="6">
        <f>PLANPRODUCCION[[#This Row],[PIEZAS PLANEADAS]]*PLANPRODUCCION[[#This Row],[PRECIO MAQUILAS]]</f>
        <v>960</v>
      </c>
      <c r="O535" s="5">
        <v>3</v>
      </c>
      <c r="P535" s="2">
        <v>0.54166666666666663</v>
      </c>
      <c r="Q535" s="2">
        <v>0.66666666666666663</v>
      </c>
      <c r="R535" s="5">
        <v>800</v>
      </c>
      <c r="S535" s="7">
        <f>PLANPRODUCCION[[#This Row],[PRECIO MAQUILAS]]*PLANPRODUCCION[[#This Row],[PIEZAS REAL]]</f>
        <v>960</v>
      </c>
      <c r="T53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800</v>
      </c>
      <c r="U53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697.5</v>
      </c>
      <c r="V53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697.5</v>
      </c>
      <c r="W53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262.5</v>
      </c>
      <c r="X535" s="8" t="s">
        <v>602</v>
      </c>
      <c r="Y53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3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35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535" s="13">
        <f>IF(PLANPRODUCCION[[#This Row],[PIEZAS REAL]]&gt;0,PLANPRODUCCION[[#This Row],[PIEZAS REAL]]/PLANPRODUCCION[[#This Row],[PIEZAS ACTUALIZADO]],)</f>
        <v>1</v>
      </c>
      <c r="AC535" t="b">
        <f>PLANPRODUCCION[[#This Row],[INGRESO PLANEADO]]&lt;PLANPRODUCCION[[#This Row],[COSTO PLANEADO]]</f>
        <v>0</v>
      </c>
      <c r="AD535" s="46" t="s">
        <v>690</v>
      </c>
      <c r="AE535" s="14" t="s">
        <v>678</v>
      </c>
      <c r="AF535" t="b">
        <f>IF(COUNTIF(PLANPRODUCCION[[#This Row],[OBSERVACIONES]],"NO APLICA BONO*")&gt;0,TRUE,FALSE)</f>
        <v>0</v>
      </c>
    </row>
    <row r="536" spans="1:32" x14ac:dyDescent="0.25">
      <c r="A536" s="46" t="str">
        <f>UPPER(IF(PLANPRODUCCION[[#This Row],[FECHA]]&lt;=45701,_xlfn.CONCAT(TEXT(B536,"MMM"),"-",IF(ROW(A536)&lt;11,"000"&amp;ROW(A536)-1,IF(ROW(A536)&lt;101,"00"&amp;ROW(A536)-1,IF(ROW(A536)&lt;1001,"0"&amp;ROW(A536)-1,ROW(A536)-1))),"-OLD"),_xlfn.CONCAT(TEXT(B536,"MMM"),"-",IF(ROW(A536)&lt;473,"000"&amp;ROW(A536)-463,IF(ROW(A536)&lt;563,"00"&amp;ROW(A536)-463,IF(ROW(A536)&lt;1001,"0"&amp;ROW(A536)-463,ROW(A536)-463))))))</f>
        <v>FEB-0073</v>
      </c>
      <c r="B536" s="39">
        <v>45708</v>
      </c>
      <c r="C536" s="5">
        <v>9</v>
      </c>
      <c r="D536" s="5" t="s">
        <v>666</v>
      </c>
      <c r="E536" t="s">
        <v>72</v>
      </c>
      <c r="F536" s="2">
        <v>0.66666666666666663</v>
      </c>
      <c r="G536" s="2">
        <v>0.875</v>
      </c>
      <c r="H536" s="5">
        <v>1522</v>
      </c>
      <c r="I536" t="s">
        <v>434</v>
      </c>
      <c r="J536" t="s">
        <v>441</v>
      </c>
      <c r="K536" s="5">
        <v>264</v>
      </c>
      <c r="L536" s="10" t="s">
        <v>283</v>
      </c>
      <c r="M536" s="49">
        <v>15</v>
      </c>
      <c r="N536" s="6">
        <f>PLANPRODUCCION[[#This Row],[PIEZAS PLANEADAS]]*PLANPRODUCCION[[#This Row],[PRECIO MAQUILAS]]</f>
        <v>3960</v>
      </c>
      <c r="O536" s="5">
        <v>9</v>
      </c>
      <c r="P536" s="2">
        <v>0.66666666666666663</v>
      </c>
      <c r="Q536" s="2">
        <v>0.875</v>
      </c>
      <c r="R536" s="5">
        <v>231</v>
      </c>
      <c r="S536" s="7">
        <f>PLANPRODUCCION[[#This Row],[PRECIO MAQUILAS]]*PLANPRODUCCION[[#This Row],[PIEZAS REAL]]</f>
        <v>3465</v>
      </c>
      <c r="T53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264</v>
      </c>
      <c r="U53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2790</v>
      </c>
      <c r="V53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2790</v>
      </c>
      <c r="W53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675</v>
      </c>
      <c r="X536" s="8" t="s">
        <v>602</v>
      </c>
      <c r="Y536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3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3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36" s="13">
        <f>IF(PLANPRODUCCION[[#This Row],[PIEZAS REAL]]&gt;0,PLANPRODUCCION[[#This Row],[PIEZAS REAL]]/PLANPRODUCCION[[#This Row],[PIEZAS ACTUALIZADO]],)</f>
        <v>0.875</v>
      </c>
      <c r="AC536" t="b">
        <f>PLANPRODUCCION[[#This Row],[INGRESO PLANEADO]]&lt;PLANPRODUCCION[[#This Row],[COSTO PLANEADO]]</f>
        <v>0</v>
      </c>
      <c r="AD536" s="46" t="s">
        <v>691</v>
      </c>
      <c r="AF536" t="b">
        <f>IF(COUNTIF(PLANPRODUCCION[[#This Row],[OBSERVACIONES]],"NO APLICA BONO*")&gt;0,TRUE,FALSE)</f>
        <v>0</v>
      </c>
    </row>
    <row r="537" spans="1:32" x14ac:dyDescent="0.25">
      <c r="A537" s="46" t="str">
        <f>UPPER(IF(PLANPRODUCCION[[#This Row],[FECHA]]&lt;=45701,_xlfn.CONCAT(TEXT(B537,"MMM"),"-",IF(ROW(A537)&lt;11,"000"&amp;ROW(A537)-1,IF(ROW(A537)&lt;101,"00"&amp;ROW(A537)-1,IF(ROW(A537)&lt;1001,"0"&amp;ROW(A537)-1,ROW(A537)-1))),"-OLD"),_xlfn.CONCAT(TEXT(B537,"MMM"),"-",IF(ROW(A537)&lt;473,"000"&amp;ROW(A537)-463,IF(ROW(A537)&lt;563,"00"&amp;ROW(A537)-463,IF(ROW(A537)&lt;1001,"0"&amp;ROW(A537)-463,ROW(A537)-463))))))</f>
        <v>FEB-0074</v>
      </c>
      <c r="B537" s="39">
        <v>45708</v>
      </c>
      <c r="C537" s="5">
        <v>1</v>
      </c>
      <c r="D537" s="5">
        <v>7</v>
      </c>
      <c r="E537" t="s">
        <v>75</v>
      </c>
      <c r="F537" s="2">
        <v>0.875</v>
      </c>
      <c r="G537" s="2">
        <v>0.25</v>
      </c>
      <c r="H537" s="5">
        <v>1522</v>
      </c>
      <c r="I537" t="s">
        <v>434</v>
      </c>
      <c r="J537" t="s">
        <v>435</v>
      </c>
      <c r="K537" s="5">
        <v>3000</v>
      </c>
      <c r="L537" s="10" t="s">
        <v>57</v>
      </c>
      <c r="M537" s="49">
        <v>0.3</v>
      </c>
      <c r="N537" s="6">
        <f>PLANPRODUCCION[[#This Row],[PIEZAS PLANEADAS]]*PLANPRODUCCION[[#This Row],[PRECIO MAQUILAS]]</f>
        <v>900</v>
      </c>
      <c r="O537" s="5">
        <v>1</v>
      </c>
      <c r="P537" s="2">
        <v>0.875</v>
      </c>
      <c r="Q537" s="2">
        <v>0.25</v>
      </c>
      <c r="R537" s="5">
        <v>1894</v>
      </c>
      <c r="S537" s="7">
        <f>PLANPRODUCCION[[#This Row],[PRECIO MAQUILAS]]*PLANPRODUCCION[[#This Row],[PIEZAS REAL]]</f>
        <v>568.19999999999993</v>
      </c>
      <c r="T53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3000</v>
      </c>
      <c r="U53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750</v>
      </c>
      <c r="V53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750</v>
      </c>
      <c r="W53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-181.80000000000007</v>
      </c>
      <c r="X537" s="8" t="s">
        <v>602</v>
      </c>
      <c r="Y53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3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3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37" s="13">
        <f>IF(PLANPRODUCCION[[#This Row],[PIEZAS REAL]]&gt;0,PLANPRODUCCION[[#This Row],[PIEZAS REAL]]/PLANPRODUCCION[[#This Row],[PIEZAS ACTUALIZADO]],)</f>
        <v>0.6313333333333333</v>
      </c>
      <c r="AC537" t="b">
        <f>PLANPRODUCCION[[#This Row],[INGRESO PLANEADO]]&lt;PLANPRODUCCION[[#This Row],[COSTO PLANEADO]]</f>
        <v>0</v>
      </c>
      <c r="AD537" s="46" t="s">
        <v>692</v>
      </c>
      <c r="AF537" t="b">
        <f>IF(COUNTIF(PLANPRODUCCION[[#This Row],[OBSERVACIONES]],"NO APLICA BONO*")&gt;0,TRUE,FALSE)</f>
        <v>0</v>
      </c>
    </row>
    <row r="538" spans="1:32" x14ac:dyDescent="0.25">
      <c r="A538" s="46" t="str">
        <f>UPPER(IF(PLANPRODUCCION[[#This Row],[FECHA]]&lt;=45701,_xlfn.CONCAT(TEXT(B538,"MMM"),"-",IF(ROW(A538)&lt;11,"000"&amp;ROW(A538)-1,IF(ROW(A538)&lt;101,"00"&amp;ROW(A538)-1,IF(ROW(A538)&lt;1001,"0"&amp;ROW(A538)-1,ROW(A538)-1))),"-OLD"),_xlfn.CONCAT(TEXT(B538,"MMM"),"-",IF(ROW(A538)&lt;473,"000"&amp;ROW(A538)-463,IF(ROW(A538)&lt;563,"00"&amp;ROW(A538)-463,IF(ROW(A538)&lt;1001,"0"&amp;ROW(A538)-463,ROW(A538)-463))))))</f>
        <v>FEB-0075</v>
      </c>
      <c r="B538" s="39">
        <v>45708</v>
      </c>
      <c r="C538" s="5">
        <v>9</v>
      </c>
      <c r="D538" s="5" t="s">
        <v>666</v>
      </c>
      <c r="E538" t="s">
        <v>75</v>
      </c>
      <c r="F538" s="2">
        <v>0.875</v>
      </c>
      <c r="G538" s="2">
        <v>0.25</v>
      </c>
      <c r="H538" s="5">
        <v>1522</v>
      </c>
      <c r="I538" t="s">
        <v>434</v>
      </c>
      <c r="J538" t="s">
        <v>441</v>
      </c>
      <c r="K538" s="5">
        <v>528</v>
      </c>
      <c r="L538" s="10" t="s">
        <v>283</v>
      </c>
      <c r="M538" s="49">
        <v>15</v>
      </c>
      <c r="N538" s="6">
        <f>PLANPRODUCCION[[#This Row],[PIEZAS PLANEADAS]]*PLANPRODUCCION[[#This Row],[PRECIO MAQUILAS]]</f>
        <v>7920</v>
      </c>
      <c r="O538" s="5">
        <v>8</v>
      </c>
      <c r="P538" s="2">
        <v>0.875</v>
      </c>
      <c r="Q538" s="2">
        <v>0.25</v>
      </c>
      <c r="R538" s="5">
        <v>366</v>
      </c>
      <c r="S538" s="7">
        <f>PLANPRODUCCION[[#This Row],[PRECIO MAQUILAS]]*PLANPRODUCCION[[#This Row],[PIEZAS REAL]]</f>
        <v>5490</v>
      </c>
      <c r="T53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470</v>
      </c>
      <c r="U53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6750</v>
      </c>
      <c r="V53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6000</v>
      </c>
      <c r="W53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-510</v>
      </c>
      <c r="X538" s="8" t="s">
        <v>602</v>
      </c>
      <c r="Y53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3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3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38" s="13">
        <f>IF(PLANPRODUCCION[[#This Row],[PIEZAS REAL]]&gt;0,PLANPRODUCCION[[#This Row],[PIEZAS REAL]]/PLANPRODUCCION[[#This Row],[PIEZAS ACTUALIZADO]],)</f>
        <v>0.77872340425531916</v>
      </c>
      <c r="AC538" t="b">
        <f>PLANPRODUCCION[[#This Row],[INGRESO PLANEADO]]&lt;PLANPRODUCCION[[#This Row],[COSTO PLANEADO]]</f>
        <v>0</v>
      </c>
      <c r="AD538" s="46" t="s">
        <v>693</v>
      </c>
      <c r="AF538" t="b">
        <f>IF(COUNTIF(PLANPRODUCCION[[#This Row],[OBSERVACIONES]],"NO APLICA BONO*")&gt;0,TRUE,FALSE)</f>
        <v>0</v>
      </c>
    </row>
    <row r="539" spans="1:32" x14ac:dyDescent="0.25">
      <c r="A539" s="46" t="str">
        <f>UPPER(IF(PLANPRODUCCION[[#This Row],[FECHA]]&lt;=45701,_xlfn.CONCAT(TEXT(B539,"MMM"),"-",IF(ROW(A539)&lt;11,"000"&amp;ROW(A539)-1,IF(ROW(A539)&lt;101,"00"&amp;ROW(A539)-1,IF(ROW(A539)&lt;1001,"0"&amp;ROW(A539)-1,ROW(A539)-1))),"-OLD"),_xlfn.CONCAT(TEXT(B539,"MMM"),"-",IF(ROW(A539)&lt;473,"000"&amp;ROW(A539)-463,IF(ROW(A539)&lt;563,"00"&amp;ROW(A539)-463,IF(ROW(A539)&lt;1001,"0"&amp;ROW(A539)-463,ROW(A539)-463))))))</f>
        <v>FEB-0076</v>
      </c>
      <c r="B539" s="39">
        <v>45709</v>
      </c>
      <c r="C539" s="5">
        <v>1</v>
      </c>
      <c r="D539" s="5" t="s">
        <v>62</v>
      </c>
      <c r="E539" t="s">
        <v>54</v>
      </c>
      <c r="F539" s="2">
        <v>0.25</v>
      </c>
      <c r="G539" s="2">
        <v>0.33333333333333331</v>
      </c>
      <c r="H539" s="5">
        <v>1568</v>
      </c>
      <c r="I539" t="s">
        <v>589</v>
      </c>
      <c r="J539" t="s">
        <v>694</v>
      </c>
      <c r="K539" s="5">
        <v>700</v>
      </c>
      <c r="L539" s="5" t="s">
        <v>65</v>
      </c>
      <c r="M539" s="49">
        <v>1.2</v>
      </c>
      <c r="N539" s="6">
        <f>PLANPRODUCCION[[#This Row],[PIEZAS PLANEADAS]]*PLANPRODUCCION[[#This Row],[PRECIO MAQUILAS]]</f>
        <v>840</v>
      </c>
      <c r="O539" s="5">
        <v>0</v>
      </c>
      <c r="P539" s="2">
        <v>0</v>
      </c>
      <c r="Q539" s="2">
        <v>0</v>
      </c>
      <c r="R539" s="5">
        <v>0</v>
      </c>
      <c r="S539" s="7">
        <f>PLANPRODUCCION[[#This Row],[PRECIO MAQUILAS]]*PLANPRODUCCION[[#This Row],[PIEZAS REAL]]</f>
        <v>0</v>
      </c>
      <c r="T53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3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3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3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39" s="8" t="s">
        <v>602</v>
      </c>
      <c r="Y539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3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39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39" s="13">
        <f>IF(PLANPRODUCCION[[#This Row],[PIEZAS REAL]]&gt;0,PLANPRODUCCION[[#This Row],[PIEZAS REAL]]/PLANPRODUCCION[[#This Row],[PIEZAS ACTUALIZADO]],)</f>
        <v>0</v>
      </c>
      <c r="AC539" t="b">
        <f>PLANPRODUCCION[[#This Row],[INGRESO PLANEADO]]&lt;PLANPRODUCCION[[#This Row],[COSTO PLANEADO]]</f>
        <v>0</v>
      </c>
      <c r="AD539" s="46" t="s">
        <v>695</v>
      </c>
      <c r="AF539" t="b">
        <f>IF(COUNTIF(PLANPRODUCCION[[#This Row],[OBSERVACIONES]],"NO APLICA BONO*")&gt;0,TRUE,FALSE)</f>
        <v>0</v>
      </c>
    </row>
    <row r="540" spans="1:32" x14ac:dyDescent="0.25">
      <c r="A540" s="46" t="str">
        <f>UPPER(IF(PLANPRODUCCION[[#This Row],[FECHA]]&lt;=45701,_xlfn.CONCAT(TEXT(B540,"MMM"),"-",IF(ROW(A540)&lt;11,"000"&amp;ROW(A540)-1,IF(ROW(A540)&lt;101,"00"&amp;ROW(A540)-1,IF(ROW(A540)&lt;1001,"0"&amp;ROW(A540)-1,ROW(A540)-1))),"-OLD"),_xlfn.CONCAT(TEXT(B540,"MMM"),"-",IF(ROW(A540)&lt;473,"000"&amp;ROW(A540)-463,IF(ROW(A540)&lt;563,"00"&amp;ROW(A540)-463,IF(ROW(A540)&lt;1001,"0"&amp;ROW(A540)-463,ROW(A540)-463))))))</f>
        <v>FEB-0077</v>
      </c>
      <c r="B540" s="39">
        <v>45709</v>
      </c>
      <c r="C540" s="5">
        <v>6</v>
      </c>
      <c r="D540" s="5" t="s">
        <v>666</v>
      </c>
      <c r="E540" t="s">
        <v>54</v>
      </c>
      <c r="F540" s="2">
        <v>0.25</v>
      </c>
      <c r="G540" s="2">
        <v>0.66666666666666663</v>
      </c>
      <c r="H540" s="5">
        <v>1522</v>
      </c>
      <c r="I540" t="s">
        <v>434</v>
      </c>
      <c r="J540" t="s">
        <v>441</v>
      </c>
      <c r="K540" s="5">
        <v>360</v>
      </c>
      <c r="L540" s="10" t="s">
        <v>283</v>
      </c>
      <c r="M540" s="49">
        <v>15</v>
      </c>
      <c r="N540" s="6">
        <f>PLANPRODUCCION[[#This Row],[PIEZAS PLANEADAS]]*PLANPRODUCCION[[#This Row],[PRECIO MAQUILAS]]</f>
        <v>5400</v>
      </c>
      <c r="O540" s="5">
        <v>4</v>
      </c>
      <c r="P540" s="2">
        <v>0.25</v>
      </c>
      <c r="Q540" s="2">
        <v>0.66666666666666663</v>
      </c>
      <c r="R540" s="5">
        <v>258</v>
      </c>
      <c r="S540" s="7">
        <f>PLANPRODUCCION[[#This Row],[PRECIO MAQUILAS]]*PLANPRODUCCION[[#This Row],[PIEZAS REAL]]</f>
        <v>3870</v>
      </c>
      <c r="T54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240</v>
      </c>
      <c r="U54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3720</v>
      </c>
      <c r="V54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54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1390</v>
      </c>
      <c r="X540" s="8" t="s">
        <v>602</v>
      </c>
      <c r="Y54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4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4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40" s="13">
        <f>IF(PLANPRODUCCION[[#This Row],[PIEZAS REAL]]&gt;0,PLANPRODUCCION[[#This Row],[PIEZAS REAL]]/PLANPRODUCCION[[#This Row],[PIEZAS ACTUALIZADO]],)</f>
        <v>1.075</v>
      </c>
      <c r="AC540" t="b">
        <f>PLANPRODUCCION[[#This Row],[INGRESO PLANEADO]]&lt;PLANPRODUCCION[[#This Row],[COSTO PLANEADO]]</f>
        <v>0</v>
      </c>
      <c r="AD540" s="46" t="s">
        <v>696</v>
      </c>
      <c r="AF540" t="b">
        <f>IF(COUNTIF(PLANPRODUCCION[[#This Row],[OBSERVACIONES]],"NO APLICA BONO*")&gt;0,TRUE,FALSE)</f>
        <v>0</v>
      </c>
    </row>
    <row r="541" spans="1:32" x14ac:dyDescent="0.25">
      <c r="A541" s="46" t="str">
        <f>UPPER(IF(PLANPRODUCCION[[#This Row],[FECHA]]&lt;=45701,_xlfn.CONCAT(TEXT(B541,"MMM"),"-",IF(ROW(A541)&lt;11,"000"&amp;ROW(A541)-1,IF(ROW(A541)&lt;101,"00"&amp;ROW(A541)-1,IF(ROW(A541)&lt;1001,"0"&amp;ROW(A541)-1,ROW(A541)-1))),"-OLD"),_xlfn.CONCAT(TEXT(B541,"MMM"),"-",IF(ROW(A541)&lt;473,"000"&amp;ROW(A541)-463,IF(ROW(A541)&lt;563,"00"&amp;ROW(A541)-463,IF(ROW(A541)&lt;1001,"0"&amp;ROW(A541)-463,ROW(A541)-463))))))</f>
        <v>FEB-0078</v>
      </c>
      <c r="B541" s="39">
        <v>45709</v>
      </c>
      <c r="C541" s="5">
        <v>6</v>
      </c>
      <c r="D541" s="5" t="s">
        <v>666</v>
      </c>
      <c r="E541" t="s">
        <v>54</v>
      </c>
      <c r="F541" s="2">
        <v>0.25</v>
      </c>
      <c r="G541" s="2">
        <v>0.66666666666666663</v>
      </c>
      <c r="H541" s="5">
        <v>1522</v>
      </c>
      <c r="I541" t="s">
        <v>434</v>
      </c>
      <c r="J541" t="s">
        <v>441</v>
      </c>
      <c r="K541" s="5">
        <v>360</v>
      </c>
      <c r="L541" s="10" t="s">
        <v>283</v>
      </c>
      <c r="M541" s="49">
        <v>15</v>
      </c>
      <c r="N541" s="6">
        <f>PLANPRODUCCION[[#This Row],[PIEZAS PLANEADAS]]*PLANPRODUCCION[[#This Row],[PRECIO MAQUILAS]]</f>
        <v>5400</v>
      </c>
      <c r="O541" s="5">
        <v>4</v>
      </c>
      <c r="P541" s="2">
        <v>0.25</v>
      </c>
      <c r="Q541" s="2">
        <v>0.66666666666666663</v>
      </c>
      <c r="R541" s="5">
        <v>275</v>
      </c>
      <c r="S541" s="7">
        <f>PLANPRODUCCION[[#This Row],[PRECIO MAQUILAS]]*PLANPRODUCCION[[#This Row],[PIEZAS REAL]]</f>
        <v>4125</v>
      </c>
      <c r="T54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240</v>
      </c>
      <c r="U54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3720</v>
      </c>
      <c r="V54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54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1645</v>
      </c>
      <c r="X541" s="8" t="s">
        <v>602</v>
      </c>
      <c r="Y54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4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4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41" s="13">
        <f>IF(PLANPRODUCCION[[#This Row],[PIEZAS REAL]]&gt;0,PLANPRODUCCION[[#This Row],[PIEZAS REAL]]/PLANPRODUCCION[[#This Row],[PIEZAS ACTUALIZADO]],)</f>
        <v>1.1458333333333333</v>
      </c>
      <c r="AC541" t="b">
        <f>PLANPRODUCCION[[#This Row],[INGRESO PLANEADO]]&lt;PLANPRODUCCION[[#This Row],[COSTO PLANEADO]]</f>
        <v>0</v>
      </c>
      <c r="AD541" s="46" t="s">
        <v>697</v>
      </c>
      <c r="AF541" t="b">
        <f>IF(COUNTIF(PLANPRODUCCION[[#This Row],[OBSERVACIONES]],"NO APLICA BONO*")&gt;0,TRUE,FALSE)</f>
        <v>0</v>
      </c>
    </row>
    <row r="542" spans="1:32" x14ac:dyDescent="0.25">
      <c r="A542" s="46" t="str">
        <f>UPPER(IF(PLANPRODUCCION[[#This Row],[FECHA]]&lt;=45701,_xlfn.CONCAT(TEXT(B542,"MMM"),"-",IF(ROW(A542)&lt;11,"000"&amp;ROW(A542)-1,IF(ROW(A542)&lt;101,"00"&amp;ROW(A542)-1,IF(ROW(A542)&lt;1001,"0"&amp;ROW(A542)-1,ROW(A542)-1))),"-OLD"),_xlfn.CONCAT(TEXT(B542,"MMM"),"-",IF(ROW(A542)&lt;473,"000"&amp;ROW(A542)-463,IF(ROW(A542)&lt;563,"00"&amp;ROW(A542)-463,IF(ROW(A542)&lt;1001,"0"&amp;ROW(A542)-463,ROW(A542)-463))))))</f>
        <v>FEB-0079</v>
      </c>
      <c r="B542" s="39">
        <v>45709</v>
      </c>
      <c r="C542" s="5">
        <v>1</v>
      </c>
      <c r="D542" s="5">
        <v>0</v>
      </c>
      <c r="E542" t="s">
        <v>54</v>
      </c>
      <c r="F542" s="2">
        <v>0.25</v>
      </c>
      <c r="G542" s="2">
        <v>0.66666666666666663</v>
      </c>
      <c r="H542" s="5">
        <v>1522</v>
      </c>
      <c r="I542" t="s">
        <v>434</v>
      </c>
      <c r="J542" t="s">
        <v>435</v>
      </c>
      <c r="K542" s="5">
        <v>3300</v>
      </c>
      <c r="L542" s="10" t="s">
        <v>57</v>
      </c>
      <c r="M542" s="49">
        <v>0.3</v>
      </c>
      <c r="N542" s="6">
        <f>PLANPRODUCCION[[#This Row],[PIEZAS PLANEADAS]]*PLANPRODUCCION[[#This Row],[PRECIO MAQUILAS]]</f>
        <v>990</v>
      </c>
      <c r="O542" s="5">
        <v>0</v>
      </c>
      <c r="P542" s="2">
        <v>0</v>
      </c>
      <c r="Q542" s="2">
        <v>0</v>
      </c>
      <c r="R542" s="5">
        <v>0</v>
      </c>
      <c r="S542" s="7">
        <f>PLANPRODUCCION[[#This Row],[PRECIO MAQUILAS]]*PLANPRODUCCION[[#This Row],[PIEZAS REAL]]</f>
        <v>0</v>
      </c>
      <c r="T54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4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4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4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42" s="8" t="s">
        <v>602</v>
      </c>
      <c r="Y542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4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42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42" s="13">
        <f>IF(PLANPRODUCCION[[#This Row],[PIEZAS REAL]]&gt;0,PLANPRODUCCION[[#This Row],[PIEZAS REAL]]/PLANPRODUCCION[[#This Row],[PIEZAS ACTUALIZADO]],)</f>
        <v>0</v>
      </c>
      <c r="AC542" t="b">
        <f>PLANPRODUCCION[[#This Row],[INGRESO PLANEADO]]&lt;PLANPRODUCCION[[#This Row],[COSTO PLANEADO]]</f>
        <v>0</v>
      </c>
      <c r="AD542" s="46" t="s">
        <v>698</v>
      </c>
      <c r="AF542" t="b">
        <f>IF(COUNTIF(PLANPRODUCCION[[#This Row],[OBSERVACIONES]],"NO APLICA BONO*")&gt;0,TRUE,FALSE)</f>
        <v>0</v>
      </c>
    </row>
    <row r="543" spans="1:32" x14ac:dyDescent="0.25">
      <c r="A543" s="46" t="str">
        <f>UPPER(IF(PLANPRODUCCION[[#This Row],[FECHA]]&lt;=45701,_xlfn.CONCAT(TEXT(B543,"MMM"),"-",IF(ROW(A543)&lt;11,"000"&amp;ROW(A543)-1,IF(ROW(A543)&lt;101,"00"&amp;ROW(A543)-1,IF(ROW(A543)&lt;1001,"0"&amp;ROW(A543)-1,ROW(A543)-1))),"-OLD"),_xlfn.CONCAT(TEXT(B543,"MMM"),"-",IF(ROW(A543)&lt;473,"000"&amp;ROW(A543)-463,IF(ROW(A543)&lt;563,"00"&amp;ROW(A543)-463,IF(ROW(A543)&lt;1001,"0"&amp;ROW(A543)-463,ROW(A543)-463))))))</f>
        <v>FEB-0080</v>
      </c>
      <c r="B543" s="39">
        <v>45709</v>
      </c>
      <c r="C543" s="5">
        <v>3</v>
      </c>
      <c r="D543" s="5" t="s">
        <v>53</v>
      </c>
      <c r="E543" t="s">
        <v>54</v>
      </c>
      <c r="F543" s="2">
        <v>0.25</v>
      </c>
      <c r="G543" s="2">
        <v>0.45833333333333331</v>
      </c>
      <c r="H543" s="5">
        <v>1568</v>
      </c>
      <c r="I543" t="s">
        <v>589</v>
      </c>
      <c r="J543" t="s">
        <v>653</v>
      </c>
      <c r="K543" s="5">
        <v>2500</v>
      </c>
      <c r="L543" s="5" t="s">
        <v>57</v>
      </c>
      <c r="M543" s="49">
        <v>1.2</v>
      </c>
      <c r="N543" s="6">
        <f>PLANPRODUCCION[[#This Row],[PIEZAS PLANEADAS]]*PLANPRODUCCION[[#This Row],[PRECIO MAQUILAS]]</f>
        <v>3000</v>
      </c>
      <c r="O543" s="5">
        <v>3</v>
      </c>
      <c r="P543" s="2">
        <v>0.25</v>
      </c>
      <c r="Q543" s="2">
        <v>0.4375</v>
      </c>
      <c r="R543" s="5">
        <v>1350</v>
      </c>
      <c r="S543" s="7">
        <f>PLANPRODUCCION[[#This Row],[PRECIO MAQUILAS]]*PLANPRODUCCION[[#This Row],[PIEZAS REAL]]</f>
        <v>1620</v>
      </c>
      <c r="T54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2250</v>
      </c>
      <c r="U54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54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837</v>
      </c>
      <c r="W54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783</v>
      </c>
      <c r="X543" s="8" t="s">
        <v>602</v>
      </c>
      <c r="Y54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4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4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43" s="13">
        <f>IF(PLANPRODUCCION[[#This Row],[PIEZAS REAL]]&gt;0,PLANPRODUCCION[[#This Row],[PIEZAS REAL]]/PLANPRODUCCION[[#This Row],[PIEZAS ACTUALIZADO]],)</f>
        <v>0.6</v>
      </c>
      <c r="AC543" t="b">
        <f>PLANPRODUCCION[[#This Row],[INGRESO PLANEADO]]&lt;PLANPRODUCCION[[#This Row],[COSTO PLANEADO]]</f>
        <v>0</v>
      </c>
      <c r="AD543" s="46" t="s">
        <v>699</v>
      </c>
      <c r="AE543" t="s">
        <v>700</v>
      </c>
      <c r="AF543" t="b">
        <f>IF(COUNTIF(PLANPRODUCCION[[#This Row],[OBSERVACIONES]],"NO APLICA BONO*")&gt;0,TRUE,FALSE)</f>
        <v>0</v>
      </c>
    </row>
    <row r="544" spans="1:32" x14ac:dyDescent="0.25">
      <c r="A544" s="46" t="str">
        <f>UPPER(IF(PLANPRODUCCION[[#This Row],[FECHA]]&lt;=45701,_xlfn.CONCAT(TEXT(B544,"MMM"),"-",IF(ROW(A544)&lt;11,"000"&amp;ROW(A544)-1,IF(ROW(A544)&lt;101,"00"&amp;ROW(A544)-1,IF(ROW(A544)&lt;1001,"0"&amp;ROW(A544)-1,ROW(A544)-1))),"-OLD"),_xlfn.CONCAT(TEXT(B544,"MMM"),"-",IF(ROW(A544)&lt;473,"000"&amp;ROW(A544)-463,IF(ROW(A544)&lt;563,"00"&amp;ROW(A544)-463,IF(ROW(A544)&lt;1001,"0"&amp;ROW(A544)-463,ROW(A544)-463))))))</f>
        <v>FEB-0081</v>
      </c>
      <c r="B544" s="39">
        <v>45709</v>
      </c>
      <c r="C544" s="5">
        <v>3</v>
      </c>
      <c r="D544" s="5">
        <v>0</v>
      </c>
      <c r="E544" t="s">
        <v>54</v>
      </c>
      <c r="F544" s="2">
        <v>0.45833333333333331</v>
      </c>
      <c r="G544" s="2">
        <v>0.66666666666666663</v>
      </c>
      <c r="H544" s="5">
        <v>1582</v>
      </c>
      <c r="I544" t="s">
        <v>642</v>
      </c>
      <c r="J544" t="s">
        <v>643</v>
      </c>
      <c r="K544" s="5">
        <v>75</v>
      </c>
      <c r="L544" s="5" t="s">
        <v>283</v>
      </c>
      <c r="M544" s="49">
        <v>26.5</v>
      </c>
      <c r="N544" s="6">
        <f>PLANPRODUCCION[[#This Row],[PIEZAS PLANEADAS]]*PLANPRODUCCION[[#This Row],[PRECIO MAQUILAS]]</f>
        <v>1987.5</v>
      </c>
      <c r="O544" s="5">
        <v>0</v>
      </c>
      <c r="P544" s="2">
        <v>0</v>
      </c>
      <c r="Q544" s="2">
        <v>0</v>
      </c>
      <c r="R544" s="5">
        <v>0</v>
      </c>
      <c r="S544" s="7">
        <f>PLANPRODUCCION[[#This Row],[PRECIO MAQUILAS]]*PLANPRODUCCION[[#This Row],[PIEZAS REAL]]</f>
        <v>0</v>
      </c>
      <c r="T54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4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4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4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44" s="8" t="s">
        <v>602</v>
      </c>
      <c r="Y544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4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44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44" s="13">
        <f>IF(PLANPRODUCCION[[#This Row],[PIEZAS REAL]]&gt;0,PLANPRODUCCION[[#This Row],[PIEZAS REAL]]/PLANPRODUCCION[[#This Row],[PIEZAS ACTUALIZADO]],)</f>
        <v>0</v>
      </c>
      <c r="AC544" t="b">
        <f>PLANPRODUCCION[[#This Row],[INGRESO PLANEADO]]&lt;PLANPRODUCCION[[#This Row],[COSTO PLANEADO]]</f>
        <v>0</v>
      </c>
      <c r="AD544" s="46" t="s">
        <v>701</v>
      </c>
      <c r="AF544" t="b">
        <f>IF(COUNTIF(PLANPRODUCCION[[#This Row],[OBSERVACIONES]],"NO APLICA BONO*")&gt;0,TRUE,FALSE)</f>
        <v>0</v>
      </c>
    </row>
    <row r="545" spans="1:32" x14ac:dyDescent="0.25">
      <c r="A545" s="46" t="str">
        <f>UPPER(IF(PLANPRODUCCION[[#This Row],[FECHA]]&lt;=45701,_xlfn.CONCAT(TEXT(B545,"MMM"),"-",IF(ROW(A545)&lt;11,"000"&amp;ROW(A545)-1,IF(ROW(A545)&lt;101,"00"&amp;ROW(A545)-1,IF(ROW(A545)&lt;1001,"0"&amp;ROW(A545)-1,ROW(A545)-1))),"-OLD"),_xlfn.CONCAT(TEXT(B545,"MMM"),"-",IF(ROW(A545)&lt;473,"000"&amp;ROW(A545)-463,IF(ROW(A545)&lt;563,"00"&amp;ROW(A545)-463,IF(ROW(A545)&lt;1001,"0"&amp;ROW(A545)-463,ROW(A545)-463))))))</f>
        <v>FEB-0082</v>
      </c>
      <c r="B545" s="39">
        <v>45709</v>
      </c>
      <c r="C545" s="5">
        <v>3</v>
      </c>
      <c r="D545" s="5">
        <v>5</v>
      </c>
      <c r="E545" t="s">
        <v>54</v>
      </c>
      <c r="F545" s="2">
        <v>0.25</v>
      </c>
      <c r="G545" s="2">
        <v>0.66666666666666663</v>
      </c>
      <c r="H545" s="5">
        <v>1582</v>
      </c>
      <c r="I545" t="s">
        <v>642</v>
      </c>
      <c r="J545" t="s">
        <v>643</v>
      </c>
      <c r="K545" s="5">
        <v>150</v>
      </c>
      <c r="L545" s="5" t="s">
        <v>283</v>
      </c>
      <c r="M545" s="49">
        <v>26.5</v>
      </c>
      <c r="N545" s="6">
        <f>PLANPRODUCCION[[#This Row],[PIEZAS PLANEADAS]]*PLANPRODUCCION[[#This Row],[PRECIO MAQUILAS]]</f>
        <v>3975</v>
      </c>
      <c r="O545" s="5">
        <v>2</v>
      </c>
      <c r="P545" s="2">
        <v>0.25</v>
      </c>
      <c r="Q545" s="2">
        <v>0.66666666666666663</v>
      </c>
      <c r="R545" s="5">
        <v>79</v>
      </c>
      <c r="S545" s="7">
        <f>PLANPRODUCCION[[#This Row],[PRECIO MAQUILAS]]*PLANPRODUCCION[[#This Row],[PIEZAS REAL]]</f>
        <v>2093.5</v>
      </c>
      <c r="T54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100</v>
      </c>
      <c r="U54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4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54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853.5</v>
      </c>
      <c r="X545" s="8" t="s">
        <v>602</v>
      </c>
      <c r="Y54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4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4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45" s="13">
        <f>IF(PLANPRODUCCION[[#This Row],[PIEZAS REAL]]&gt;0,PLANPRODUCCION[[#This Row],[PIEZAS REAL]]/PLANPRODUCCION[[#This Row],[PIEZAS ACTUALIZADO]],)</f>
        <v>0.79</v>
      </c>
      <c r="AC545" t="b">
        <f>PLANPRODUCCION[[#This Row],[INGRESO PLANEADO]]&lt;PLANPRODUCCION[[#This Row],[COSTO PLANEADO]]</f>
        <v>0</v>
      </c>
      <c r="AD545" s="46" t="s">
        <v>702</v>
      </c>
      <c r="AF545" t="b">
        <f>IF(COUNTIF(PLANPRODUCCION[[#This Row],[OBSERVACIONES]],"NO APLICA BONO*")&gt;0,TRUE,FALSE)</f>
        <v>0</v>
      </c>
    </row>
    <row r="546" spans="1:32" x14ac:dyDescent="0.25">
      <c r="A546" s="46" t="str">
        <f>UPPER(IF(PLANPRODUCCION[[#This Row],[FECHA]]&lt;=45701,_xlfn.CONCAT(TEXT(B546,"MMM"),"-",IF(ROW(A546)&lt;11,"000"&amp;ROW(A546)-1,IF(ROW(A546)&lt;101,"00"&amp;ROW(A546)-1,IF(ROW(A546)&lt;1001,"0"&amp;ROW(A546)-1,ROW(A546)-1))),"-OLD"),_xlfn.CONCAT(TEXT(B546,"MMM"),"-",IF(ROW(A546)&lt;473,"000"&amp;ROW(A546)-463,IF(ROW(A546)&lt;563,"00"&amp;ROW(A546)-463,IF(ROW(A546)&lt;1001,"0"&amp;ROW(A546)-463,ROW(A546)-463))))))</f>
        <v>FEB-0083</v>
      </c>
      <c r="B546" s="39">
        <v>45709</v>
      </c>
      <c r="C546" s="5">
        <v>3</v>
      </c>
      <c r="D546" s="5">
        <v>1</v>
      </c>
      <c r="E546" t="s">
        <v>67</v>
      </c>
      <c r="F546" s="2">
        <v>0.33333333333333331</v>
      </c>
      <c r="G546" s="2">
        <v>0.58333333333333337</v>
      </c>
      <c r="H546" s="5">
        <v>1568</v>
      </c>
      <c r="I546" t="s">
        <v>589</v>
      </c>
      <c r="J546" t="s">
        <v>68</v>
      </c>
      <c r="K546" s="5">
        <v>1500</v>
      </c>
      <c r="L546" s="5" t="s">
        <v>57</v>
      </c>
      <c r="M546" s="49">
        <v>0.75</v>
      </c>
      <c r="N546" s="6">
        <f>PLANPRODUCCION[[#This Row],[PIEZAS PLANEADAS]]*PLANPRODUCCION[[#This Row],[PRECIO MAQUILAS]]</f>
        <v>1125</v>
      </c>
      <c r="O546" s="5">
        <v>3</v>
      </c>
      <c r="P546" s="2">
        <v>0.33333333333333331</v>
      </c>
      <c r="Q546" s="2">
        <v>0.63888888888888884</v>
      </c>
      <c r="R546" s="5">
        <v>810</v>
      </c>
      <c r="S546" s="7">
        <f>PLANPRODUCCION[[#This Row],[PRECIO MAQUILAS]]*PLANPRODUCCION[[#This Row],[PIEZAS REAL]]</f>
        <v>607.5</v>
      </c>
      <c r="T54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1834</v>
      </c>
      <c r="U54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1116</v>
      </c>
      <c r="V54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1364</v>
      </c>
      <c r="W54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-756.5</v>
      </c>
      <c r="X546" s="8" t="s">
        <v>602</v>
      </c>
      <c r="Y546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4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4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46" s="13">
        <f>IF(PLANPRODUCCION[[#This Row],[PIEZAS REAL]]&gt;0,PLANPRODUCCION[[#This Row],[PIEZAS REAL]]/PLANPRODUCCION[[#This Row],[PIEZAS ACTUALIZADO]],)</f>
        <v>0.44165757906215919</v>
      </c>
      <c r="AC546" t="b">
        <f>PLANPRODUCCION[[#This Row],[INGRESO PLANEADO]]&lt;PLANPRODUCCION[[#This Row],[COSTO PLANEADO]]</f>
        <v>0</v>
      </c>
      <c r="AD546" s="46" t="s">
        <v>703</v>
      </c>
      <c r="AF546" t="b">
        <f>IF(COUNTIF(PLANPRODUCCION[[#This Row],[OBSERVACIONES]],"NO APLICA BONO*")&gt;0,TRUE,FALSE)</f>
        <v>0</v>
      </c>
    </row>
    <row r="547" spans="1:32" x14ac:dyDescent="0.25">
      <c r="A547" s="46" t="str">
        <f>UPPER(IF(PLANPRODUCCION[[#This Row],[FECHA]]&lt;=45701,_xlfn.CONCAT(TEXT(B547,"MMM"),"-",IF(ROW(A547)&lt;11,"000"&amp;ROW(A547)-1,IF(ROW(A547)&lt;101,"00"&amp;ROW(A547)-1,IF(ROW(A547)&lt;1001,"0"&amp;ROW(A547)-1,ROW(A547)-1))),"-OLD"),_xlfn.CONCAT(TEXT(B547,"MMM"),"-",IF(ROW(A547)&lt;473,"000"&amp;ROW(A547)-463,IF(ROW(A547)&lt;563,"00"&amp;ROW(A547)-463,IF(ROW(A547)&lt;1001,"0"&amp;ROW(A547)-463,ROW(A547)-463))))))</f>
        <v>FEB-0084</v>
      </c>
      <c r="B547" s="39">
        <v>45709</v>
      </c>
      <c r="C547" s="5">
        <v>3</v>
      </c>
      <c r="D547" s="5">
        <v>1</v>
      </c>
      <c r="E547" t="s">
        <v>67</v>
      </c>
      <c r="F547" s="2">
        <v>0.58333333333333337</v>
      </c>
      <c r="G547" s="2">
        <v>0.75</v>
      </c>
      <c r="H547" s="5">
        <v>1582</v>
      </c>
      <c r="I547" t="s">
        <v>642</v>
      </c>
      <c r="J547" t="s">
        <v>643</v>
      </c>
      <c r="K547" s="5">
        <v>60</v>
      </c>
      <c r="L547" s="5" t="s">
        <v>283</v>
      </c>
      <c r="M547" s="49">
        <v>26.5</v>
      </c>
      <c r="N547" s="6">
        <f>PLANPRODUCCION[[#This Row],[PIEZAS PLANEADAS]]*PLANPRODUCCION[[#This Row],[PRECIO MAQUILAS]]</f>
        <v>1590</v>
      </c>
      <c r="O547" s="5">
        <v>3</v>
      </c>
      <c r="P547" s="2">
        <v>0.63888888888888884</v>
      </c>
      <c r="Q547" s="2">
        <v>0.75</v>
      </c>
      <c r="R547" s="5">
        <v>13</v>
      </c>
      <c r="S547" s="7">
        <f>PLANPRODUCCION[[#This Row],[PRECIO MAQUILAS]]*PLANPRODUCCION[[#This Row],[PIEZAS REAL]]</f>
        <v>344.5</v>
      </c>
      <c r="T54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40</v>
      </c>
      <c r="U54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744</v>
      </c>
      <c r="V54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496</v>
      </c>
      <c r="W54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-151.5</v>
      </c>
      <c r="X547" s="8" t="s">
        <v>602</v>
      </c>
      <c r="Y54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4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4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47" s="13">
        <f>IF(PLANPRODUCCION[[#This Row],[PIEZAS REAL]]&gt;0,PLANPRODUCCION[[#This Row],[PIEZAS REAL]]/PLANPRODUCCION[[#This Row],[PIEZAS ACTUALIZADO]],)</f>
        <v>0.32500000000000001</v>
      </c>
      <c r="AC547" t="b">
        <f>PLANPRODUCCION[[#This Row],[INGRESO PLANEADO]]&lt;PLANPRODUCCION[[#This Row],[COSTO PLANEADO]]</f>
        <v>0</v>
      </c>
      <c r="AD547" s="46" t="s">
        <v>704</v>
      </c>
      <c r="AF547" t="b">
        <f>IF(COUNTIF(PLANPRODUCCION[[#This Row],[OBSERVACIONES]],"NO APLICA BONO*")&gt;0,TRUE,FALSE)</f>
        <v>0</v>
      </c>
    </row>
    <row r="548" spans="1:32" x14ac:dyDescent="0.25">
      <c r="A548" s="46" t="str">
        <f>UPPER(IF(PLANPRODUCCION[[#This Row],[FECHA]]&lt;=45701,_xlfn.CONCAT(TEXT(B548,"MMM"),"-",IF(ROW(A548)&lt;11,"000"&amp;ROW(A548)-1,IF(ROW(A548)&lt;101,"00"&amp;ROW(A548)-1,IF(ROW(A548)&lt;1001,"0"&amp;ROW(A548)-1,ROW(A548)-1))),"-OLD"),_xlfn.CONCAT(TEXT(B548,"MMM"),"-",IF(ROW(A548)&lt;473,"000"&amp;ROW(A548)-463,IF(ROW(A548)&lt;563,"00"&amp;ROW(A548)-463,IF(ROW(A548)&lt;1001,"0"&amp;ROW(A548)-463,ROW(A548)-463))))))</f>
        <v>FEB-0085</v>
      </c>
      <c r="B548" s="39">
        <v>45709</v>
      </c>
      <c r="C548" s="5">
        <v>2</v>
      </c>
      <c r="D548" s="5">
        <v>2</v>
      </c>
      <c r="E548" t="s">
        <v>67</v>
      </c>
      <c r="F548" s="2">
        <v>0.33333333333333331</v>
      </c>
      <c r="G548" s="2">
        <v>0.75</v>
      </c>
      <c r="H548" s="5">
        <v>1577</v>
      </c>
      <c r="I548" t="s">
        <v>592</v>
      </c>
      <c r="J548" t="s">
        <v>68</v>
      </c>
      <c r="K548" s="5">
        <v>1680</v>
      </c>
      <c r="L548" s="5" t="s">
        <v>57</v>
      </c>
      <c r="M548" s="49">
        <v>1.2</v>
      </c>
      <c r="N548" s="6">
        <f>PLANPRODUCCION[[#This Row],[PIEZAS PLANEADAS]]*PLANPRODUCCION[[#This Row],[PRECIO MAQUILAS]]</f>
        <v>2016</v>
      </c>
      <c r="O548" s="5">
        <v>2</v>
      </c>
      <c r="P548" s="2">
        <v>0.33333333333333331</v>
      </c>
      <c r="Q548" s="2">
        <v>0.75</v>
      </c>
      <c r="R548" s="5">
        <v>1350</v>
      </c>
      <c r="S548" s="7">
        <f>PLANPRODUCCION[[#This Row],[PRECIO MAQUILAS]]*PLANPRODUCCION[[#This Row],[PIEZAS REAL]]</f>
        <v>1620</v>
      </c>
      <c r="T54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1680</v>
      </c>
      <c r="U54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54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54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380</v>
      </c>
      <c r="X548" s="8" t="s">
        <v>602</v>
      </c>
      <c r="Y548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4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4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48" s="13">
        <f>IF(PLANPRODUCCION[[#This Row],[PIEZAS REAL]]&gt;0,PLANPRODUCCION[[#This Row],[PIEZAS REAL]]/PLANPRODUCCION[[#This Row],[PIEZAS ACTUALIZADO]],)</f>
        <v>0.8035714285714286</v>
      </c>
      <c r="AC548" t="b">
        <f>PLANPRODUCCION[[#This Row],[INGRESO PLANEADO]]&lt;PLANPRODUCCION[[#This Row],[COSTO PLANEADO]]</f>
        <v>0</v>
      </c>
      <c r="AD548" s="46" t="s">
        <v>705</v>
      </c>
      <c r="AF548" t="b">
        <f>IF(COUNTIF(PLANPRODUCCION[[#This Row],[OBSERVACIONES]],"NO APLICA BONO*")&gt;0,TRUE,FALSE)</f>
        <v>0</v>
      </c>
    </row>
    <row r="549" spans="1:32" x14ac:dyDescent="0.25">
      <c r="A549" s="46" t="str">
        <f>UPPER(IF(PLANPRODUCCION[[#This Row],[FECHA]]&lt;=45701,_xlfn.CONCAT(TEXT(B549,"MMM"),"-",IF(ROW(A549)&lt;11,"000"&amp;ROW(A549)-1,IF(ROW(A549)&lt;101,"00"&amp;ROW(A549)-1,IF(ROW(A549)&lt;1001,"0"&amp;ROW(A549)-1,ROW(A549)-1))),"-OLD"),_xlfn.CONCAT(TEXT(B549,"MMM"),"-",IF(ROW(A549)&lt;473,"000"&amp;ROW(A549)-463,IF(ROW(A549)&lt;563,"00"&amp;ROW(A549)-463,IF(ROW(A549)&lt;1001,"0"&amp;ROW(A549)-463,ROW(A549)-463))))))</f>
        <v>FEB-0086</v>
      </c>
      <c r="B549" s="39">
        <v>45709</v>
      </c>
      <c r="C549" s="5">
        <v>2</v>
      </c>
      <c r="D549" s="5">
        <v>2</v>
      </c>
      <c r="E549" t="s">
        <v>110</v>
      </c>
      <c r="F549" s="2">
        <v>0.54166666666666663</v>
      </c>
      <c r="G549" s="2">
        <v>0.875</v>
      </c>
      <c r="H549" s="5">
        <v>1582</v>
      </c>
      <c r="I549" t="s">
        <v>642</v>
      </c>
      <c r="J549" t="s">
        <v>643</v>
      </c>
      <c r="K549" s="5">
        <v>90</v>
      </c>
      <c r="L549" s="5" t="s">
        <v>283</v>
      </c>
      <c r="M549" s="49">
        <v>26.5</v>
      </c>
      <c r="N549" s="6">
        <f>PLANPRODUCCION[[#This Row],[PIEZAS PLANEADAS]]*PLANPRODUCCION[[#This Row],[PRECIO MAQUILAS]]</f>
        <v>2385</v>
      </c>
      <c r="O549" s="5">
        <v>2</v>
      </c>
      <c r="P549" s="2">
        <v>0.54166666666666663</v>
      </c>
      <c r="Q549" s="2">
        <v>0.875</v>
      </c>
      <c r="R549" s="5">
        <v>67</v>
      </c>
      <c r="S549" s="7">
        <f>PLANPRODUCCION[[#This Row],[PRECIO MAQUILAS]]*PLANPRODUCCION[[#This Row],[PIEZAS REAL]]</f>
        <v>1775.5</v>
      </c>
      <c r="T54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90</v>
      </c>
      <c r="U54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54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54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535.5</v>
      </c>
      <c r="X549" s="8" t="s">
        <v>602</v>
      </c>
      <c r="Y54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4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4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49" s="13">
        <f>IF(PLANPRODUCCION[[#This Row],[PIEZAS REAL]]&gt;0,PLANPRODUCCION[[#This Row],[PIEZAS REAL]]/PLANPRODUCCION[[#This Row],[PIEZAS ACTUALIZADO]],)</f>
        <v>0.74444444444444446</v>
      </c>
      <c r="AC549" t="b">
        <f>PLANPRODUCCION[[#This Row],[INGRESO PLANEADO]]&lt;PLANPRODUCCION[[#This Row],[COSTO PLANEADO]]</f>
        <v>0</v>
      </c>
      <c r="AD549" s="46" t="s">
        <v>706</v>
      </c>
      <c r="AF549" t="b">
        <f>IF(COUNTIF(PLANPRODUCCION[[#This Row],[OBSERVACIONES]],"NO APLICA BONO*")&gt;0,TRUE,FALSE)</f>
        <v>0</v>
      </c>
    </row>
    <row r="550" spans="1:32" x14ac:dyDescent="0.25">
      <c r="A550" s="46" t="str">
        <f>UPPER(IF(PLANPRODUCCION[[#This Row],[FECHA]]&lt;=45701,_xlfn.CONCAT(TEXT(B550,"MMM"),"-",IF(ROW(A550)&lt;11,"000"&amp;ROW(A550)-1,IF(ROW(A550)&lt;101,"00"&amp;ROW(A550)-1,IF(ROW(A550)&lt;1001,"0"&amp;ROW(A550)-1,ROW(A550)-1))),"-OLD"),_xlfn.CONCAT(TEXT(B550,"MMM"),"-",IF(ROW(A550)&lt;473,"000"&amp;ROW(A550)-463,IF(ROW(A550)&lt;563,"00"&amp;ROW(A550)-463,IF(ROW(A550)&lt;1001,"0"&amp;ROW(A550)-463,ROW(A550)-463))))))</f>
        <v>FEB-0087</v>
      </c>
      <c r="B550" s="39">
        <v>45709</v>
      </c>
      <c r="C550" s="5">
        <v>3</v>
      </c>
      <c r="D550" s="5">
        <v>1</v>
      </c>
      <c r="E550" t="s">
        <v>110</v>
      </c>
      <c r="F550" s="2">
        <v>0.54166666666666663</v>
      </c>
      <c r="G550" s="2">
        <v>0.66666666666666663</v>
      </c>
      <c r="H550" s="5">
        <v>1577</v>
      </c>
      <c r="I550" t="s">
        <v>592</v>
      </c>
      <c r="J550" t="s">
        <v>68</v>
      </c>
      <c r="K550" s="5">
        <v>800</v>
      </c>
      <c r="L550" s="5" t="s">
        <v>57</v>
      </c>
      <c r="M550" s="49">
        <v>1.2</v>
      </c>
      <c r="N550" s="6">
        <f>PLANPRODUCCION[[#This Row],[PIEZAS PLANEADAS]]*PLANPRODUCCION[[#This Row],[PRECIO MAQUILAS]]</f>
        <v>960</v>
      </c>
      <c r="O550" s="5">
        <v>3</v>
      </c>
      <c r="P550" s="2">
        <v>0.54166666666666663</v>
      </c>
      <c r="Q550" s="2">
        <v>0.66666666666666663</v>
      </c>
      <c r="R550" s="5">
        <v>800</v>
      </c>
      <c r="S550" s="7">
        <f>PLANPRODUCCION[[#This Row],[PRECIO MAQUILAS]]*PLANPRODUCCION[[#This Row],[PIEZAS REAL]]</f>
        <v>960</v>
      </c>
      <c r="T55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800</v>
      </c>
      <c r="U55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697.5</v>
      </c>
      <c r="V55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697.5</v>
      </c>
      <c r="W55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262.5</v>
      </c>
      <c r="X550" s="8" t="s">
        <v>602</v>
      </c>
      <c r="Y55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5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50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550" s="13">
        <f>IF(PLANPRODUCCION[[#This Row],[PIEZAS REAL]]&gt;0,PLANPRODUCCION[[#This Row],[PIEZAS REAL]]/PLANPRODUCCION[[#This Row],[PIEZAS ACTUALIZADO]],)</f>
        <v>1</v>
      </c>
      <c r="AC550" t="b">
        <f>PLANPRODUCCION[[#This Row],[INGRESO PLANEADO]]&lt;PLANPRODUCCION[[#This Row],[COSTO PLANEADO]]</f>
        <v>0</v>
      </c>
      <c r="AD550" s="46" t="s">
        <v>707</v>
      </c>
      <c r="AE550" t="s">
        <v>708</v>
      </c>
      <c r="AF550" t="b">
        <f>IF(COUNTIF(PLANPRODUCCION[[#This Row],[OBSERVACIONES]],"NO APLICA BONO*")&gt;0,TRUE,FALSE)</f>
        <v>1</v>
      </c>
    </row>
    <row r="551" spans="1:32" x14ac:dyDescent="0.25">
      <c r="A551" s="46" t="str">
        <f>UPPER(IF(PLANPRODUCCION[[#This Row],[FECHA]]&lt;=45701,_xlfn.CONCAT(TEXT(B551,"MMM"),"-",IF(ROW(A551)&lt;11,"000"&amp;ROW(A551)-1,IF(ROW(A551)&lt;101,"00"&amp;ROW(A551)-1,IF(ROW(A551)&lt;1001,"0"&amp;ROW(A551)-1,ROW(A551)-1))),"-OLD"),_xlfn.CONCAT(TEXT(B551,"MMM"),"-",IF(ROW(A551)&lt;473,"000"&amp;ROW(A551)-463,IF(ROW(A551)&lt;563,"00"&amp;ROW(A551)-463,IF(ROW(A551)&lt;1001,"0"&amp;ROW(A551)-463,ROW(A551)-463))))))</f>
        <v>FEB-0088</v>
      </c>
      <c r="B551" s="39">
        <v>45709</v>
      </c>
      <c r="C551" s="5">
        <v>6</v>
      </c>
      <c r="D551" s="5">
        <v>3</v>
      </c>
      <c r="E551" t="s">
        <v>72</v>
      </c>
      <c r="F551" s="2">
        <v>0.66666666666666663</v>
      </c>
      <c r="G551" s="2">
        <v>0.72916666666666663</v>
      </c>
      <c r="H551" s="5">
        <v>1568</v>
      </c>
      <c r="I551" t="s">
        <v>589</v>
      </c>
      <c r="J551" t="s">
        <v>445</v>
      </c>
      <c r="K551" s="5">
        <v>640</v>
      </c>
      <c r="L551" s="5" t="s">
        <v>57</v>
      </c>
      <c r="M551" s="49">
        <v>1.2</v>
      </c>
      <c r="N551" s="6">
        <f>PLANPRODUCCION[[#This Row],[PIEZAS PLANEADAS]]*PLANPRODUCCION[[#This Row],[PRECIO MAQUILAS]]</f>
        <v>768</v>
      </c>
      <c r="O551" s="5">
        <v>6</v>
      </c>
      <c r="P551" s="2">
        <v>0.66666666666666663</v>
      </c>
      <c r="Q551" s="2">
        <v>0.72916666666666663</v>
      </c>
      <c r="R551" s="5">
        <v>640</v>
      </c>
      <c r="S551" s="7">
        <f>PLANPRODUCCION[[#This Row],[PRECIO MAQUILAS]]*PLANPRODUCCION[[#This Row],[PIEZAS REAL]]</f>
        <v>768</v>
      </c>
      <c r="T55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640</v>
      </c>
      <c r="U55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558</v>
      </c>
      <c r="V55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558</v>
      </c>
      <c r="W55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210</v>
      </c>
      <c r="X551" s="8" t="s">
        <v>606</v>
      </c>
      <c r="Y55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5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5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51" s="13">
        <f>IF(PLANPRODUCCION[[#This Row],[PIEZAS REAL]]&gt;0,PLANPRODUCCION[[#This Row],[PIEZAS REAL]]/PLANPRODUCCION[[#This Row],[PIEZAS ACTUALIZADO]],)</f>
        <v>1</v>
      </c>
      <c r="AC551" t="b">
        <f>PLANPRODUCCION[[#This Row],[INGRESO PLANEADO]]&lt;PLANPRODUCCION[[#This Row],[COSTO PLANEADO]]</f>
        <v>0</v>
      </c>
      <c r="AD551" s="46" t="s">
        <v>709</v>
      </c>
      <c r="AE551" t="s">
        <v>710</v>
      </c>
      <c r="AF551" t="b">
        <f>IF(COUNTIF(PLANPRODUCCION[[#This Row],[OBSERVACIONES]],"NO APLICA BONO*")&gt;0,TRUE,FALSE)</f>
        <v>1</v>
      </c>
    </row>
    <row r="552" spans="1:32" x14ac:dyDescent="0.25">
      <c r="A552" s="46" t="str">
        <f>UPPER(IF(PLANPRODUCCION[[#This Row],[FECHA]]&lt;=45701,_xlfn.CONCAT(TEXT(B552,"MMM"),"-",IF(ROW(A552)&lt;11,"000"&amp;ROW(A552)-1,IF(ROW(A552)&lt;101,"00"&amp;ROW(A552)-1,IF(ROW(A552)&lt;1001,"0"&amp;ROW(A552)-1,ROW(A552)-1))),"-OLD"),_xlfn.CONCAT(TEXT(B552,"MMM"),"-",IF(ROW(A552)&lt;473,"000"&amp;ROW(A552)-463,IF(ROW(A552)&lt;563,"00"&amp;ROW(A552)-463,IF(ROW(A552)&lt;1001,"0"&amp;ROW(A552)-463,ROW(A552)-463))))))</f>
        <v>FEB-0089</v>
      </c>
      <c r="B552" s="39">
        <v>45709</v>
      </c>
      <c r="C552" s="5">
        <v>9</v>
      </c>
      <c r="D552" s="5" t="s">
        <v>666</v>
      </c>
      <c r="E552" t="s">
        <v>72</v>
      </c>
      <c r="F552" s="2">
        <v>0.66666666666666663</v>
      </c>
      <c r="G552" s="2">
        <v>0.875</v>
      </c>
      <c r="H552" s="5">
        <v>1522</v>
      </c>
      <c r="I552" t="s">
        <v>434</v>
      </c>
      <c r="J552" t="s">
        <v>441</v>
      </c>
      <c r="K552" s="5">
        <v>270</v>
      </c>
      <c r="L552" s="10" t="s">
        <v>283</v>
      </c>
      <c r="M552" s="49">
        <v>15</v>
      </c>
      <c r="N552" s="6">
        <f>PLANPRODUCCION[[#This Row],[PIEZAS PLANEADAS]]*PLANPRODUCCION[[#This Row],[PRECIO MAQUILAS]]</f>
        <v>4050</v>
      </c>
      <c r="O552" s="5">
        <v>9</v>
      </c>
      <c r="P552" s="2">
        <v>0.66666666666666663</v>
      </c>
      <c r="Q552" s="2">
        <v>0.875</v>
      </c>
      <c r="R552" s="5">
        <v>137</v>
      </c>
      <c r="S552" s="7">
        <f>PLANPRODUCCION[[#This Row],[PRECIO MAQUILAS]]*PLANPRODUCCION[[#This Row],[PIEZAS REAL]]</f>
        <v>2055</v>
      </c>
      <c r="T55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270</v>
      </c>
      <c r="U55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2790</v>
      </c>
      <c r="V55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2790</v>
      </c>
      <c r="W55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-735</v>
      </c>
      <c r="X552" s="8" t="s">
        <v>602</v>
      </c>
      <c r="Y55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5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5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52" s="13">
        <f>IF(PLANPRODUCCION[[#This Row],[PIEZAS REAL]]&gt;0,PLANPRODUCCION[[#This Row],[PIEZAS REAL]]/PLANPRODUCCION[[#This Row],[PIEZAS ACTUALIZADO]],)</f>
        <v>0.50740740740740742</v>
      </c>
      <c r="AC552" t="b">
        <f>PLANPRODUCCION[[#This Row],[INGRESO PLANEADO]]&lt;PLANPRODUCCION[[#This Row],[COSTO PLANEADO]]</f>
        <v>0</v>
      </c>
      <c r="AD552" s="46" t="s">
        <v>711</v>
      </c>
      <c r="AF552" t="b">
        <f>IF(COUNTIF(PLANPRODUCCION[[#This Row],[OBSERVACIONES]],"NO APLICA BONO*")&gt;0,TRUE,FALSE)</f>
        <v>0</v>
      </c>
    </row>
    <row r="553" spans="1:32" x14ac:dyDescent="0.25">
      <c r="A553" s="46" t="str">
        <f>UPPER(IF(PLANPRODUCCION[[#This Row],[FECHA]]&lt;=45701,_xlfn.CONCAT(TEXT(B553,"MMM"),"-",IF(ROW(A553)&lt;11,"000"&amp;ROW(A553)-1,IF(ROW(A553)&lt;101,"00"&amp;ROW(A553)-1,IF(ROW(A553)&lt;1001,"0"&amp;ROW(A553)-1,ROW(A553)-1))),"-OLD"),_xlfn.CONCAT(TEXT(B553,"MMM"),"-",IF(ROW(A553)&lt;473,"000"&amp;ROW(A553)-463,IF(ROW(A553)&lt;563,"00"&amp;ROW(A553)-463,IF(ROW(A553)&lt;1001,"0"&amp;ROW(A553)-463,ROW(A553)-463))))))</f>
        <v>FEB-0090</v>
      </c>
      <c r="B553" s="39">
        <v>45709</v>
      </c>
      <c r="C553" s="5">
        <v>1</v>
      </c>
      <c r="D553" s="5">
        <v>7</v>
      </c>
      <c r="E553" t="s">
        <v>75</v>
      </c>
      <c r="F553" s="2">
        <v>0.875</v>
      </c>
      <c r="G553" s="2">
        <v>0.25</v>
      </c>
      <c r="H553" s="5">
        <v>1522</v>
      </c>
      <c r="I553" t="s">
        <v>434</v>
      </c>
      <c r="J553" t="s">
        <v>435</v>
      </c>
      <c r="K553" s="5">
        <v>3000</v>
      </c>
      <c r="L553" s="10" t="s">
        <v>57</v>
      </c>
      <c r="M553" s="49">
        <v>0.3</v>
      </c>
      <c r="N553" s="6">
        <f>PLANPRODUCCION[[#This Row],[PIEZAS PLANEADAS]]*PLANPRODUCCION[[#This Row],[PRECIO MAQUILAS]]</f>
        <v>900</v>
      </c>
      <c r="O553" s="5">
        <v>1</v>
      </c>
      <c r="P553" s="2">
        <v>0.875</v>
      </c>
      <c r="Q553" s="2">
        <v>0.25</v>
      </c>
      <c r="R553" s="5">
        <v>1185</v>
      </c>
      <c r="S553" s="7">
        <f>PLANPRODUCCION[[#This Row],[PRECIO MAQUILAS]]*PLANPRODUCCION[[#This Row],[PIEZAS REAL]]</f>
        <v>355.5</v>
      </c>
      <c r="T55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3000</v>
      </c>
      <c r="U55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750</v>
      </c>
      <c r="V55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750</v>
      </c>
      <c r="W55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-394.5</v>
      </c>
      <c r="X553" s="8" t="s">
        <v>602</v>
      </c>
      <c r="Y55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5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5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53" s="13">
        <f>IF(PLANPRODUCCION[[#This Row],[PIEZAS REAL]]&gt;0,PLANPRODUCCION[[#This Row],[PIEZAS REAL]]/PLANPRODUCCION[[#This Row],[PIEZAS ACTUALIZADO]],)</f>
        <v>0.39500000000000002</v>
      </c>
      <c r="AC553" t="b">
        <f>PLANPRODUCCION[[#This Row],[INGRESO PLANEADO]]&lt;PLANPRODUCCION[[#This Row],[COSTO PLANEADO]]</f>
        <v>0</v>
      </c>
      <c r="AD553" s="46" t="s">
        <v>712</v>
      </c>
      <c r="AF553" t="b">
        <f>IF(COUNTIF(PLANPRODUCCION[[#This Row],[OBSERVACIONES]],"NO APLICA BONO*")&gt;0,TRUE,FALSE)</f>
        <v>0</v>
      </c>
    </row>
    <row r="554" spans="1:32" x14ac:dyDescent="0.25">
      <c r="A554" s="46" t="str">
        <f>UPPER(IF(PLANPRODUCCION[[#This Row],[FECHA]]&lt;=45701,_xlfn.CONCAT(TEXT(B554,"MMM"),"-",IF(ROW(A554)&lt;11,"000"&amp;ROW(A554)-1,IF(ROW(A554)&lt;101,"00"&amp;ROW(A554)-1,IF(ROW(A554)&lt;1001,"0"&amp;ROW(A554)-1,ROW(A554)-1))),"-OLD"),_xlfn.CONCAT(TEXT(B554,"MMM"),"-",IF(ROW(A554)&lt;473,"000"&amp;ROW(A554)-463,IF(ROW(A554)&lt;563,"00"&amp;ROW(A554)-463,IF(ROW(A554)&lt;1001,"0"&amp;ROW(A554)-463,ROW(A554)-463))))))</f>
        <v>FEB-0091</v>
      </c>
      <c r="B554" s="39">
        <v>45709</v>
      </c>
      <c r="C554" s="5">
        <v>9</v>
      </c>
      <c r="D554" s="5" t="s">
        <v>666</v>
      </c>
      <c r="E554" t="s">
        <v>75</v>
      </c>
      <c r="F554" s="2">
        <v>0.875</v>
      </c>
      <c r="G554" s="2">
        <v>0.25</v>
      </c>
      <c r="H554" s="5">
        <v>1522</v>
      </c>
      <c r="I554" t="s">
        <v>434</v>
      </c>
      <c r="J554" t="s">
        <v>441</v>
      </c>
      <c r="K554" s="5">
        <v>528</v>
      </c>
      <c r="L554" s="10" t="s">
        <v>283</v>
      </c>
      <c r="M554" s="49">
        <v>15</v>
      </c>
      <c r="N554" s="6">
        <f>PLANPRODUCCION[[#This Row],[PIEZAS PLANEADAS]]*PLANPRODUCCION[[#This Row],[PRECIO MAQUILAS]]</f>
        <v>7920</v>
      </c>
      <c r="O554" s="5">
        <v>7</v>
      </c>
      <c r="P554" s="2">
        <v>0.875</v>
      </c>
      <c r="Q554" s="2">
        <v>0.25</v>
      </c>
      <c r="R554" s="5">
        <v>312</v>
      </c>
      <c r="S554" s="7">
        <f>PLANPRODUCCION[[#This Row],[PRECIO MAQUILAS]]*PLANPRODUCCION[[#This Row],[PIEZAS REAL]]</f>
        <v>4680</v>
      </c>
      <c r="T55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411</v>
      </c>
      <c r="U55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6750</v>
      </c>
      <c r="V55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5250</v>
      </c>
      <c r="W55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-570</v>
      </c>
      <c r="X554" s="8" t="s">
        <v>602</v>
      </c>
      <c r="Y55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5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5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54" s="13">
        <f>IF(PLANPRODUCCION[[#This Row],[PIEZAS REAL]]&gt;0,PLANPRODUCCION[[#This Row],[PIEZAS REAL]]/PLANPRODUCCION[[#This Row],[PIEZAS ACTUALIZADO]],)</f>
        <v>0.75912408759124084</v>
      </c>
      <c r="AC554" t="b">
        <f>PLANPRODUCCION[[#This Row],[INGRESO PLANEADO]]&lt;PLANPRODUCCION[[#This Row],[COSTO PLANEADO]]</f>
        <v>0</v>
      </c>
      <c r="AD554" s="46" t="s">
        <v>713</v>
      </c>
      <c r="AF554" t="b">
        <f>IF(COUNTIF(PLANPRODUCCION[[#This Row],[OBSERVACIONES]],"NO APLICA BONO*")&gt;0,TRUE,FALSE)</f>
        <v>0</v>
      </c>
    </row>
    <row r="555" spans="1:32" x14ac:dyDescent="0.25">
      <c r="A555" s="46" t="str">
        <f>UPPER(IF(PLANPRODUCCION[[#This Row],[FECHA]]&lt;=45701,_xlfn.CONCAT(TEXT(B555,"MMM"),"-",IF(ROW(A555)&lt;11,"000"&amp;ROW(A555)-1,IF(ROW(A555)&lt;101,"00"&amp;ROW(A555)-1,IF(ROW(A555)&lt;1001,"0"&amp;ROW(A555)-1,ROW(A555)-1))),"-OLD"),_xlfn.CONCAT(TEXT(B555,"MMM"),"-",IF(ROW(A555)&lt;473,"000"&amp;ROW(A555)-463,IF(ROW(A555)&lt;563,"00"&amp;ROW(A555)-463,IF(ROW(A555)&lt;1001,"0"&amp;ROW(A555)-463,ROW(A555)-463))))))</f>
        <v>FEB-0092</v>
      </c>
      <c r="B555" s="39">
        <v>45711</v>
      </c>
      <c r="C555" s="5">
        <v>1</v>
      </c>
      <c r="D555" s="5">
        <v>1</v>
      </c>
      <c r="E555" t="s">
        <v>75</v>
      </c>
      <c r="F555" s="2">
        <v>0.875</v>
      </c>
      <c r="G555" s="2">
        <v>0.25</v>
      </c>
      <c r="H555" s="5">
        <v>1522</v>
      </c>
      <c r="I555" t="s">
        <v>434</v>
      </c>
      <c r="J555" t="s">
        <v>435</v>
      </c>
      <c r="K555" s="5">
        <v>3000</v>
      </c>
      <c r="L555" s="10" t="s">
        <v>57</v>
      </c>
      <c r="M555" s="49">
        <v>0.3</v>
      </c>
      <c r="N555" s="6">
        <f>PLANPRODUCCION[[#This Row],[PIEZAS PLANEADAS]]*PLANPRODUCCION[[#This Row],[PRECIO MAQUILAS]]</f>
        <v>900</v>
      </c>
      <c r="O555" s="5">
        <v>1</v>
      </c>
      <c r="P555" s="2">
        <v>0.875</v>
      </c>
      <c r="Q555" s="2">
        <v>0.125</v>
      </c>
      <c r="R555" s="5">
        <v>1911</v>
      </c>
      <c r="S555" s="7">
        <f>PLANPRODUCCION[[#This Row],[PRECIO MAQUILAS]]*PLANPRODUCCION[[#This Row],[PIEZAS REAL]]</f>
        <v>573.29999999999995</v>
      </c>
      <c r="T55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2000</v>
      </c>
      <c r="U55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750</v>
      </c>
      <c r="V55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500</v>
      </c>
      <c r="W55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73.299999999999955</v>
      </c>
      <c r="X555" s="8" t="s">
        <v>602</v>
      </c>
      <c r="Y55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5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5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55" s="13">
        <f>IF(PLANPRODUCCION[[#This Row],[PIEZAS REAL]]&gt;0,PLANPRODUCCION[[#This Row],[PIEZAS REAL]]/PLANPRODUCCION[[#This Row],[PIEZAS ACTUALIZADO]],)</f>
        <v>0.95550000000000002</v>
      </c>
      <c r="AC555" t="b">
        <f>PLANPRODUCCION[[#This Row],[INGRESO PLANEADO]]&lt;PLANPRODUCCION[[#This Row],[COSTO PLANEADO]]</f>
        <v>0</v>
      </c>
      <c r="AD555" s="46" t="s">
        <v>714</v>
      </c>
      <c r="AE555" t="s">
        <v>715</v>
      </c>
      <c r="AF555" t="b">
        <f>IF(COUNTIF(PLANPRODUCCION[[#This Row],[OBSERVACIONES]],"NO APLICA BONO*")&gt;0,TRUE,FALSE)</f>
        <v>0</v>
      </c>
    </row>
    <row r="556" spans="1:32" x14ac:dyDescent="0.25">
      <c r="A556" s="46" t="str">
        <f>UPPER(IF(PLANPRODUCCION[[#This Row],[FECHA]]&lt;=45701,_xlfn.CONCAT(TEXT(B556,"MMM"),"-",IF(ROW(A556)&lt;11,"000"&amp;ROW(A556)-1,IF(ROW(A556)&lt;101,"00"&amp;ROW(A556)-1,IF(ROW(A556)&lt;1001,"0"&amp;ROW(A556)-1,ROW(A556)-1))),"-OLD"),_xlfn.CONCAT(TEXT(B556,"MMM"),"-",IF(ROW(A556)&lt;473,"000"&amp;ROW(A556)-463,IF(ROW(A556)&lt;563,"00"&amp;ROW(A556)-463,IF(ROW(A556)&lt;1001,"0"&amp;ROW(A556)-463,ROW(A556)-463))))))</f>
        <v>FEB-0093</v>
      </c>
      <c r="B556" s="39">
        <v>45711</v>
      </c>
      <c r="C556" s="5">
        <v>5</v>
      </c>
      <c r="D556" s="5" t="s">
        <v>666</v>
      </c>
      <c r="E556" t="s">
        <v>75</v>
      </c>
      <c r="F556" s="2">
        <v>0.875</v>
      </c>
      <c r="G556" s="2">
        <v>0.25</v>
      </c>
      <c r="H556" s="5">
        <v>1522</v>
      </c>
      <c r="I556" t="s">
        <v>434</v>
      </c>
      <c r="J556" t="s">
        <v>441</v>
      </c>
      <c r="K556" s="5">
        <v>270</v>
      </c>
      <c r="L556" s="10" t="s">
        <v>283</v>
      </c>
      <c r="M556" s="49">
        <v>15</v>
      </c>
      <c r="N556" s="6">
        <f>PLANPRODUCCION[[#This Row],[PIEZAS PLANEADAS]]*PLANPRODUCCION[[#This Row],[PRECIO MAQUILAS]]</f>
        <v>4050</v>
      </c>
      <c r="O556" s="5">
        <v>4</v>
      </c>
      <c r="P556" s="2">
        <v>0.875</v>
      </c>
      <c r="Q556" s="2">
        <v>0.25</v>
      </c>
      <c r="R556" s="5">
        <v>260</v>
      </c>
      <c r="S556" s="7">
        <f>PLANPRODUCCION[[#This Row],[PRECIO MAQUILAS]]*PLANPRODUCCION[[#This Row],[PIEZAS REAL]]</f>
        <v>3900</v>
      </c>
      <c r="T55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216</v>
      </c>
      <c r="U55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3750</v>
      </c>
      <c r="V55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3000</v>
      </c>
      <c r="W55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900</v>
      </c>
      <c r="X556" s="8" t="s">
        <v>602</v>
      </c>
      <c r="Y55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5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5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56" s="13">
        <f>IF(PLANPRODUCCION[[#This Row],[PIEZAS REAL]]&gt;0,PLANPRODUCCION[[#This Row],[PIEZAS REAL]]/PLANPRODUCCION[[#This Row],[PIEZAS ACTUALIZADO]],)</f>
        <v>1.2037037037037037</v>
      </c>
      <c r="AC556" t="b">
        <f>PLANPRODUCCION[[#This Row],[INGRESO PLANEADO]]&lt;PLANPRODUCCION[[#This Row],[COSTO PLANEADO]]</f>
        <v>0</v>
      </c>
      <c r="AD556" s="46" t="s">
        <v>716</v>
      </c>
      <c r="AF556" t="b">
        <f>IF(COUNTIF(PLANPRODUCCION[[#This Row],[OBSERVACIONES]],"NO APLICA BONO*")&gt;0,TRUE,FALSE)</f>
        <v>0</v>
      </c>
    </row>
    <row r="557" spans="1:32" x14ac:dyDescent="0.25">
      <c r="A557" s="46" t="str">
        <f>UPPER(IF(PLANPRODUCCION[[#This Row],[FECHA]]&lt;=45701,_xlfn.CONCAT(TEXT(B557,"MMM"),"-",IF(ROW(A557)&lt;11,"000"&amp;ROW(A557)-1,IF(ROW(A557)&lt;101,"00"&amp;ROW(A557)-1,IF(ROW(A557)&lt;1001,"0"&amp;ROW(A557)-1,ROW(A557)-1))),"-OLD"),_xlfn.CONCAT(TEXT(B557,"MMM"),"-",IF(ROW(A557)&lt;473,"000"&amp;ROW(A557)-463,IF(ROW(A557)&lt;563,"00"&amp;ROW(A557)-463,IF(ROW(A557)&lt;1001,"0"&amp;ROW(A557)-463,ROW(A557)-463))))))</f>
        <v>FEB-0094</v>
      </c>
      <c r="B557" s="39">
        <v>45712</v>
      </c>
      <c r="C557" s="5">
        <v>6</v>
      </c>
      <c r="D557" s="5" t="s">
        <v>666</v>
      </c>
      <c r="E557" t="s">
        <v>54</v>
      </c>
      <c r="F557" s="2">
        <v>0.25</v>
      </c>
      <c r="G557" s="2">
        <v>0.66666666666666663</v>
      </c>
      <c r="H557" s="5">
        <v>1522</v>
      </c>
      <c r="I557" t="s">
        <v>434</v>
      </c>
      <c r="J557" t="s">
        <v>441</v>
      </c>
      <c r="K557" s="5">
        <v>360</v>
      </c>
      <c r="L557" s="10" t="s">
        <v>283</v>
      </c>
      <c r="M557" s="49">
        <v>15</v>
      </c>
      <c r="N557" s="6">
        <f>PLANPRODUCCION[[#This Row],[PIEZAS PLANEADAS]]*PLANPRODUCCION[[#This Row],[PRECIO MAQUILAS]]</f>
        <v>5400</v>
      </c>
      <c r="O557" s="5">
        <v>6</v>
      </c>
      <c r="P557" s="2">
        <v>0.25</v>
      </c>
      <c r="Q557" s="2">
        <v>0.66666666666666663</v>
      </c>
      <c r="R557" s="5">
        <v>242</v>
      </c>
      <c r="S557" s="7">
        <f>PLANPRODUCCION[[#This Row],[PRECIO MAQUILAS]]*PLANPRODUCCION[[#This Row],[PIEZAS REAL]]</f>
        <v>3630</v>
      </c>
      <c r="T55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360</v>
      </c>
      <c r="U55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3720</v>
      </c>
      <c r="V55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3720</v>
      </c>
      <c r="W55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-90</v>
      </c>
      <c r="X557" s="8" t="s">
        <v>602</v>
      </c>
      <c r="Y55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5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5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57" s="13">
        <f>IF(PLANPRODUCCION[[#This Row],[PIEZAS REAL]]&gt;0,PLANPRODUCCION[[#This Row],[PIEZAS REAL]]/PLANPRODUCCION[[#This Row],[PIEZAS ACTUALIZADO]],)</f>
        <v>0.67222222222222228</v>
      </c>
      <c r="AC557" t="b">
        <f>PLANPRODUCCION[[#This Row],[INGRESO PLANEADO]]&lt;PLANPRODUCCION[[#This Row],[COSTO PLANEADO]]</f>
        <v>0</v>
      </c>
      <c r="AD557" s="46" t="s">
        <v>717</v>
      </c>
      <c r="AF557" t="b">
        <f>IF(COUNTIF(PLANPRODUCCION[[#This Row],[OBSERVACIONES]],"NO APLICA BONO*")&gt;0,TRUE,FALSE)</f>
        <v>0</v>
      </c>
    </row>
    <row r="558" spans="1:32" x14ac:dyDescent="0.25">
      <c r="A558" s="46" t="str">
        <f>UPPER(IF(PLANPRODUCCION[[#This Row],[FECHA]]&lt;=45701,_xlfn.CONCAT(TEXT(B558,"MMM"),"-",IF(ROW(A558)&lt;11,"000"&amp;ROW(A558)-1,IF(ROW(A558)&lt;101,"00"&amp;ROW(A558)-1,IF(ROW(A558)&lt;1001,"0"&amp;ROW(A558)-1,ROW(A558)-1))),"-OLD"),_xlfn.CONCAT(TEXT(B558,"MMM"),"-",IF(ROW(A558)&lt;473,"000"&amp;ROW(A558)-463,IF(ROW(A558)&lt;563,"00"&amp;ROW(A558)-463,IF(ROW(A558)&lt;1001,"0"&amp;ROW(A558)-463,ROW(A558)-463))))))</f>
        <v>FEB-0095</v>
      </c>
      <c r="B558" s="39">
        <v>45712</v>
      </c>
      <c r="C558" s="5">
        <v>6</v>
      </c>
      <c r="D558" s="5" t="s">
        <v>666</v>
      </c>
      <c r="E558" t="s">
        <v>54</v>
      </c>
      <c r="F558" s="2">
        <v>0.25</v>
      </c>
      <c r="G558" s="2">
        <v>0.66666666666666663</v>
      </c>
      <c r="H558" s="5">
        <v>1522</v>
      </c>
      <c r="I558" t="s">
        <v>434</v>
      </c>
      <c r="J558" t="s">
        <v>441</v>
      </c>
      <c r="K558" s="5">
        <v>360</v>
      </c>
      <c r="L558" s="10" t="s">
        <v>283</v>
      </c>
      <c r="M558" s="49">
        <v>15</v>
      </c>
      <c r="N558" s="6">
        <f>PLANPRODUCCION[[#This Row],[PIEZAS PLANEADAS]]*PLANPRODUCCION[[#This Row],[PRECIO MAQUILAS]]</f>
        <v>5400</v>
      </c>
      <c r="O558" s="5">
        <v>5</v>
      </c>
      <c r="P558" s="2">
        <v>0.25</v>
      </c>
      <c r="Q558" s="2">
        <v>0.66666666666666663</v>
      </c>
      <c r="R558" s="5">
        <v>300</v>
      </c>
      <c r="S558" s="7">
        <f>PLANPRODUCCION[[#This Row],[PRECIO MAQUILAS]]*PLANPRODUCCION[[#This Row],[PIEZAS REAL]]</f>
        <v>4500</v>
      </c>
      <c r="T55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300</v>
      </c>
      <c r="U55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3720</v>
      </c>
      <c r="V55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55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1400</v>
      </c>
      <c r="X558" s="8" t="s">
        <v>602</v>
      </c>
      <c r="Y55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5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5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58" s="13">
        <f>IF(PLANPRODUCCION[[#This Row],[PIEZAS REAL]]&gt;0,PLANPRODUCCION[[#This Row],[PIEZAS REAL]]/PLANPRODUCCION[[#This Row],[PIEZAS ACTUALIZADO]],)</f>
        <v>1</v>
      </c>
      <c r="AC558" t="b">
        <f>PLANPRODUCCION[[#This Row],[INGRESO PLANEADO]]&lt;PLANPRODUCCION[[#This Row],[COSTO PLANEADO]]</f>
        <v>0</v>
      </c>
      <c r="AD558" s="46" t="s">
        <v>718</v>
      </c>
      <c r="AF558" t="b">
        <f>IF(COUNTIF(PLANPRODUCCION[[#This Row],[OBSERVACIONES]],"NO APLICA BONO*")&gt;0,TRUE,FALSE)</f>
        <v>0</v>
      </c>
    </row>
    <row r="559" spans="1:32" x14ac:dyDescent="0.25">
      <c r="A559" s="46" t="str">
        <f>UPPER(IF(PLANPRODUCCION[[#This Row],[FECHA]]&lt;=45701,_xlfn.CONCAT(TEXT(B559,"MMM"),"-",IF(ROW(A559)&lt;11,"000"&amp;ROW(A559)-1,IF(ROW(A559)&lt;101,"00"&amp;ROW(A559)-1,IF(ROW(A559)&lt;1001,"0"&amp;ROW(A559)-1,ROW(A559)-1))),"-OLD"),_xlfn.CONCAT(TEXT(B559,"MMM"),"-",IF(ROW(A559)&lt;473,"000"&amp;ROW(A559)-463,IF(ROW(A559)&lt;563,"00"&amp;ROW(A559)-463,IF(ROW(A559)&lt;1001,"0"&amp;ROW(A559)-463,ROW(A559)-463))))))</f>
        <v>FEB-0096</v>
      </c>
      <c r="B559" s="39">
        <v>45712</v>
      </c>
      <c r="C559" s="5">
        <v>1</v>
      </c>
      <c r="D559" s="5">
        <v>0</v>
      </c>
      <c r="E559" t="s">
        <v>54</v>
      </c>
      <c r="F559" s="2">
        <v>0.25</v>
      </c>
      <c r="G559" s="2">
        <v>0.66666666666666663</v>
      </c>
      <c r="H559" s="5">
        <v>1522</v>
      </c>
      <c r="I559" t="s">
        <v>434</v>
      </c>
      <c r="J559" t="s">
        <v>435</v>
      </c>
      <c r="K559" s="5">
        <v>3300</v>
      </c>
      <c r="L559" s="10" t="s">
        <v>57</v>
      </c>
      <c r="M559" s="49">
        <v>0.3</v>
      </c>
      <c r="N559" s="6">
        <f>PLANPRODUCCION[[#This Row],[PIEZAS PLANEADAS]]*PLANPRODUCCION[[#This Row],[PRECIO MAQUILAS]]</f>
        <v>990</v>
      </c>
      <c r="O559" s="5">
        <v>0</v>
      </c>
      <c r="P559" s="2">
        <v>0</v>
      </c>
      <c r="Q559" s="2">
        <v>0</v>
      </c>
      <c r="R559" s="5">
        <v>0</v>
      </c>
      <c r="S559" s="7">
        <f>PLANPRODUCCION[[#This Row],[PRECIO MAQUILAS]]*PLANPRODUCCION[[#This Row],[PIEZAS REAL]]</f>
        <v>0</v>
      </c>
      <c r="T55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5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5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5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59" s="8" t="s">
        <v>602</v>
      </c>
      <c r="Y559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5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59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59" s="13">
        <f>IF(PLANPRODUCCION[[#This Row],[PIEZAS REAL]]&gt;0,PLANPRODUCCION[[#This Row],[PIEZAS REAL]]/PLANPRODUCCION[[#This Row],[PIEZAS ACTUALIZADO]],)</f>
        <v>0</v>
      </c>
      <c r="AC559" t="b">
        <f>PLANPRODUCCION[[#This Row],[INGRESO PLANEADO]]&lt;PLANPRODUCCION[[#This Row],[COSTO PLANEADO]]</f>
        <v>0</v>
      </c>
      <c r="AD559" s="46" t="s">
        <v>719</v>
      </c>
      <c r="AF559" t="b">
        <f>IF(COUNTIF(PLANPRODUCCION[[#This Row],[OBSERVACIONES]],"NO APLICA BONO*")&gt;0,TRUE,FALSE)</f>
        <v>0</v>
      </c>
    </row>
    <row r="560" spans="1:32" x14ac:dyDescent="0.25">
      <c r="A560" s="46" t="str">
        <f>UPPER(IF(PLANPRODUCCION[[#This Row],[FECHA]]&lt;=45701,_xlfn.CONCAT(TEXT(B560,"MMM"),"-",IF(ROW(A560)&lt;11,"000"&amp;ROW(A560)-1,IF(ROW(A560)&lt;101,"00"&amp;ROW(A560)-1,IF(ROW(A560)&lt;1001,"0"&amp;ROW(A560)-1,ROW(A560)-1))),"-OLD"),_xlfn.CONCAT(TEXT(B560,"MMM"),"-",IF(ROW(A560)&lt;473,"000"&amp;ROW(A560)-463,IF(ROW(A560)&lt;563,"00"&amp;ROW(A560)-463,IF(ROW(A560)&lt;1001,"0"&amp;ROW(A560)-463,ROW(A560)-463))))))</f>
        <v>FEB-0097</v>
      </c>
      <c r="B560" s="39">
        <v>45712</v>
      </c>
      <c r="C560" s="5">
        <v>3</v>
      </c>
      <c r="D560" s="5">
        <v>5</v>
      </c>
      <c r="E560" t="s">
        <v>54</v>
      </c>
      <c r="F560" s="2">
        <v>0.25</v>
      </c>
      <c r="G560" s="2">
        <v>0.66666666666666663</v>
      </c>
      <c r="H560" s="5">
        <v>1582</v>
      </c>
      <c r="I560" t="s">
        <v>642</v>
      </c>
      <c r="J560" t="s">
        <v>643</v>
      </c>
      <c r="K560" s="5">
        <v>150</v>
      </c>
      <c r="L560" s="5" t="s">
        <v>283</v>
      </c>
      <c r="M560" s="49">
        <v>26.5</v>
      </c>
      <c r="N560" s="6">
        <f>PLANPRODUCCION[[#This Row],[PIEZAS PLANEADAS]]*PLANPRODUCCION[[#This Row],[PRECIO MAQUILAS]]</f>
        <v>3975</v>
      </c>
      <c r="O560" s="5">
        <v>3</v>
      </c>
      <c r="P560" s="2">
        <v>0.25</v>
      </c>
      <c r="Q560" s="2">
        <v>0.66666666666666663</v>
      </c>
      <c r="R560" s="5">
        <v>113</v>
      </c>
      <c r="S560" s="7">
        <f>PLANPRODUCCION[[#This Row],[PRECIO MAQUILAS]]*PLANPRODUCCION[[#This Row],[PIEZAS REAL]]</f>
        <v>2994.5</v>
      </c>
      <c r="T56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150</v>
      </c>
      <c r="U56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6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56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1134.5</v>
      </c>
      <c r="X560" s="8" t="s">
        <v>602</v>
      </c>
      <c r="Y56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6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6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60" s="13">
        <f>IF(PLANPRODUCCION[[#This Row],[PIEZAS REAL]]&gt;0,PLANPRODUCCION[[#This Row],[PIEZAS REAL]]/PLANPRODUCCION[[#This Row],[PIEZAS ACTUALIZADO]],)</f>
        <v>0.7533333333333333</v>
      </c>
      <c r="AC560" t="b">
        <f>PLANPRODUCCION[[#This Row],[INGRESO PLANEADO]]&lt;PLANPRODUCCION[[#This Row],[COSTO PLANEADO]]</f>
        <v>0</v>
      </c>
      <c r="AD560" s="46" t="s">
        <v>720</v>
      </c>
      <c r="AF560" t="b">
        <f>IF(COUNTIF(PLANPRODUCCION[[#This Row],[OBSERVACIONES]],"NO APLICA BONO*")&gt;0,TRUE,FALSE)</f>
        <v>0</v>
      </c>
    </row>
    <row r="561" spans="1:32" x14ac:dyDescent="0.25">
      <c r="A561" s="46" t="str">
        <f>UPPER(IF(PLANPRODUCCION[[#This Row],[FECHA]]&lt;=45701,_xlfn.CONCAT(TEXT(B561,"MMM"),"-",IF(ROW(A561)&lt;11,"000"&amp;ROW(A561)-1,IF(ROW(A561)&lt;101,"00"&amp;ROW(A561)-1,IF(ROW(A561)&lt;1001,"0"&amp;ROW(A561)-1,ROW(A561)-1))),"-OLD"),_xlfn.CONCAT(TEXT(B561,"MMM"),"-",IF(ROW(A561)&lt;473,"000"&amp;ROW(A561)-463,IF(ROW(A561)&lt;563,"00"&amp;ROW(A561)-463,IF(ROW(A561)&lt;1001,"0"&amp;ROW(A561)-463,ROW(A561)-463))))))</f>
        <v>FEB-0098</v>
      </c>
      <c r="B561" s="39">
        <v>45712</v>
      </c>
      <c r="C561" s="5">
        <v>3</v>
      </c>
      <c r="D561" s="5">
        <v>0</v>
      </c>
      <c r="E561" t="s">
        <v>54</v>
      </c>
      <c r="F561" s="2">
        <v>0.25</v>
      </c>
      <c r="G561" s="2">
        <v>0.66666666666666663</v>
      </c>
      <c r="H561" s="5">
        <v>1582</v>
      </c>
      <c r="I561" t="s">
        <v>642</v>
      </c>
      <c r="J561" t="s">
        <v>643</v>
      </c>
      <c r="K561" s="5">
        <v>150</v>
      </c>
      <c r="L561" s="5" t="s">
        <v>283</v>
      </c>
      <c r="M561" s="49">
        <v>26.5</v>
      </c>
      <c r="N561" s="6">
        <f>PLANPRODUCCION[[#This Row],[PIEZAS PLANEADAS]]*PLANPRODUCCION[[#This Row],[PRECIO MAQUILAS]]</f>
        <v>3975</v>
      </c>
      <c r="O561" s="5">
        <v>0</v>
      </c>
      <c r="P561" s="2">
        <v>0</v>
      </c>
      <c r="Q561" s="2">
        <v>0</v>
      </c>
      <c r="R561" s="5">
        <v>0</v>
      </c>
      <c r="S561" s="7">
        <f>PLANPRODUCCION[[#This Row],[PRECIO MAQUILAS]]*PLANPRODUCCION[[#This Row],[PIEZAS REAL]]</f>
        <v>0</v>
      </c>
      <c r="T56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6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6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6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61" s="8" t="s">
        <v>602</v>
      </c>
      <c r="Y561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6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61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61" s="13">
        <f>IF(PLANPRODUCCION[[#This Row],[PIEZAS REAL]]&gt;0,PLANPRODUCCION[[#This Row],[PIEZAS REAL]]/PLANPRODUCCION[[#This Row],[PIEZAS ACTUALIZADO]],)</f>
        <v>0</v>
      </c>
      <c r="AC561" t="b">
        <f>PLANPRODUCCION[[#This Row],[INGRESO PLANEADO]]&lt;PLANPRODUCCION[[#This Row],[COSTO PLANEADO]]</f>
        <v>0</v>
      </c>
      <c r="AD561" s="46" t="s">
        <v>721</v>
      </c>
      <c r="AF561" t="b">
        <f>IF(COUNTIF(PLANPRODUCCION[[#This Row],[OBSERVACIONES]],"NO APLICA BONO*")&gt;0,TRUE,FALSE)</f>
        <v>0</v>
      </c>
    </row>
    <row r="562" spans="1:32" x14ac:dyDescent="0.25">
      <c r="A562" s="46" t="str">
        <f>UPPER(IF(PLANPRODUCCION[[#This Row],[FECHA]]&lt;=45701,_xlfn.CONCAT(TEXT(B562,"MMM"),"-",IF(ROW(A562)&lt;11,"000"&amp;ROW(A562)-1,IF(ROW(A562)&lt;101,"00"&amp;ROW(A562)-1,IF(ROW(A562)&lt;1001,"0"&amp;ROW(A562)-1,ROW(A562)-1))),"-OLD"),_xlfn.CONCAT(TEXT(B562,"MMM"),"-",IF(ROW(A562)&lt;473,"000"&amp;ROW(A562)-463,IF(ROW(A562)&lt;563,"00"&amp;ROW(A562)-463,IF(ROW(A562)&lt;1001,"0"&amp;ROW(A562)-463,ROW(A562)-463))))))</f>
        <v>FEB-0099</v>
      </c>
      <c r="B562" s="39">
        <v>45712</v>
      </c>
      <c r="C562" s="5">
        <v>3</v>
      </c>
      <c r="D562" s="5">
        <v>2</v>
      </c>
      <c r="E562" t="s">
        <v>67</v>
      </c>
      <c r="F562" s="2">
        <v>0.33333333333333331</v>
      </c>
      <c r="G562" s="2">
        <v>0.75</v>
      </c>
      <c r="H562" s="5">
        <v>1582</v>
      </c>
      <c r="I562" t="s">
        <v>642</v>
      </c>
      <c r="J562" t="s">
        <v>643</v>
      </c>
      <c r="K562" s="5">
        <v>150</v>
      </c>
      <c r="L562" s="5" t="s">
        <v>283</v>
      </c>
      <c r="M562" s="49">
        <v>26.5</v>
      </c>
      <c r="N562" s="6">
        <f>PLANPRODUCCION[[#This Row],[PIEZAS PLANEADAS]]*PLANPRODUCCION[[#This Row],[PRECIO MAQUILAS]]</f>
        <v>3975</v>
      </c>
      <c r="O562" s="5">
        <v>3</v>
      </c>
      <c r="P562" s="2">
        <v>0.33333333333333331</v>
      </c>
      <c r="Q562" s="2">
        <v>0.75</v>
      </c>
      <c r="R562" s="5">
        <v>102</v>
      </c>
      <c r="S562" s="7">
        <f>PLANPRODUCCION[[#This Row],[PRECIO MAQUILAS]]*PLANPRODUCCION[[#This Row],[PIEZAS REAL]]</f>
        <v>2703</v>
      </c>
      <c r="T56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150</v>
      </c>
      <c r="U56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6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56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843</v>
      </c>
      <c r="X562" s="8" t="s">
        <v>602</v>
      </c>
      <c r="Y56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6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6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62" s="13">
        <f>IF(PLANPRODUCCION[[#This Row],[PIEZAS REAL]]&gt;0,PLANPRODUCCION[[#This Row],[PIEZAS REAL]]/PLANPRODUCCION[[#This Row],[PIEZAS ACTUALIZADO]],)</f>
        <v>0.68</v>
      </c>
      <c r="AC562" t="b">
        <f>PLANPRODUCCION[[#This Row],[INGRESO PLANEADO]]&lt;PLANPRODUCCION[[#This Row],[COSTO PLANEADO]]</f>
        <v>0</v>
      </c>
      <c r="AD562" s="46" t="s">
        <v>722</v>
      </c>
      <c r="AF562" t="b">
        <f>IF(COUNTIF(PLANPRODUCCION[[#This Row],[OBSERVACIONES]],"NO APLICA BONO*")&gt;0,TRUE,FALSE)</f>
        <v>0</v>
      </c>
    </row>
    <row r="563" spans="1:32" x14ac:dyDescent="0.25">
      <c r="A563" s="46" t="str">
        <f>UPPER(IF(PLANPRODUCCION[[#This Row],[FECHA]]&lt;=45701,_xlfn.CONCAT(TEXT(B563,"MMM"),"-",IF(ROW(A563)&lt;11,"000"&amp;ROW(A563)-1,IF(ROW(A563)&lt;101,"00"&amp;ROW(A563)-1,IF(ROW(A563)&lt;1001,"0"&amp;ROW(A563)-1,ROW(A563)-1))),"-OLD"),_xlfn.CONCAT(TEXT(B563,"MMM"),"-",IF(ROW(A563)&lt;473,"000"&amp;ROW(A563)-463,IF(ROW(A563)&lt;563,"00"&amp;ROW(A563)-463,IF(ROW(A563)&lt;1001,"0"&amp;ROW(A563)-463,ROW(A563)-463))))))</f>
        <v>FEB-0100</v>
      </c>
      <c r="B563" s="39">
        <v>45712</v>
      </c>
      <c r="C563" s="5">
        <v>2</v>
      </c>
      <c r="D563" s="5">
        <v>1</v>
      </c>
      <c r="E563" t="s">
        <v>67</v>
      </c>
      <c r="F563" s="2">
        <v>0.33333333333333331</v>
      </c>
      <c r="G563" s="2">
        <v>0.75</v>
      </c>
      <c r="H563" s="5">
        <v>1582</v>
      </c>
      <c r="I563" t="s">
        <v>642</v>
      </c>
      <c r="J563" t="s">
        <v>643</v>
      </c>
      <c r="K563" s="5">
        <v>100</v>
      </c>
      <c r="L563" s="5" t="s">
        <v>283</v>
      </c>
      <c r="M563" s="49">
        <v>26.5</v>
      </c>
      <c r="N563" s="6">
        <f>PLANPRODUCCION[[#This Row],[PIEZAS PLANEADAS]]*PLANPRODUCCION[[#This Row],[PRECIO MAQUILAS]]</f>
        <v>2650</v>
      </c>
      <c r="O563" s="5">
        <v>2</v>
      </c>
      <c r="P563" s="2">
        <v>0.33333333333333331</v>
      </c>
      <c r="Q563" s="2">
        <v>0.75</v>
      </c>
      <c r="R563" s="5">
        <v>87</v>
      </c>
      <c r="S563" s="7">
        <f>PLANPRODUCCION[[#This Row],[PRECIO MAQUILAS]]*PLANPRODUCCION[[#This Row],[PIEZAS REAL]]</f>
        <v>2305.5</v>
      </c>
      <c r="T56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100</v>
      </c>
      <c r="U56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56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56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1065.5</v>
      </c>
      <c r="X563" s="8" t="s">
        <v>602</v>
      </c>
      <c r="Y56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6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6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63" s="13">
        <f>IF(PLANPRODUCCION[[#This Row],[PIEZAS REAL]]&gt;0,PLANPRODUCCION[[#This Row],[PIEZAS REAL]]/PLANPRODUCCION[[#This Row],[PIEZAS ACTUALIZADO]],)</f>
        <v>0.87</v>
      </c>
      <c r="AC563" t="b">
        <f>PLANPRODUCCION[[#This Row],[INGRESO PLANEADO]]&lt;PLANPRODUCCION[[#This Row],[COSTO PLANEADO]]</f>
        <v>0</v>
      </c>
      <c r="AD563" s="46" t="s">
        <v>723</v>
      </c>
      <c r="AF563" t="b">
        <f>IF(COUNTIF(PLANPRODUCCION[[#This Row],[OBSERVACIONES]],"NO APLICA BONO*")&gt;0,TRUE,FALSE)</f>
        <v>0</v>
      </c>
    </row>
    <row r="564" spans="1:32" x14ac:dyDescent="0.25">
      <c r="A564" s="46" t="str">
        <f>UPPER(IF(PLANPRODUCCION[[#This Row],[FECHA]]&lt;=45701,_xlfn.CONCAT(TEXT(B564,"MMM"),"-",IF(ROW(A564)&lt;11,"000"&amp;ROW(A564)-1,IF(ROW(A564)&lt;101,"00"&amp;ROW(A564)-1,IF(ROW(A564)&lt;1001,"0"&amp;ROW(A564)-1,ROW(A564)-1))),"-OLD"),_xlfn.CONCAT(TEXT(B564,"MMM"),"-",IF(ROW(A564)&lt;473,"000"&amp;ROW(A564)-463,IF(ROW(A564)&lt;563,"00"&amp;ROW(A564)-463,IF(ROW(A564)&lt;1001,"0"&amp;ROW(A564)-463,ROW(A564)-463))))))</f>
        <v>FEB-0101</v>
      </c>
      <c r="B564" s="39">
        <v>45712</v>
      </c>
      <c r="C564" s="5">
        <v>1</v>
      </c>
      <c r="D564" s="5">
        <v>3</v>
      </c>
      <c r="E564" t="s">
        <v>110</v>
      </c>
      <c r="F564" s="2">
        <v>0.54166666666666663</v>
      </c>
      <c r="G564" s="2">
        <v>0.66666666666666663</v>
      </c>
      <c r="H564" s="5">
        <v>1522</v>
      </c>
      <c r="I564" t="s">
        <v>434</v>
      </c>
      <c r="J564" t="s">
        <v>435</v>
      </c>
      <c r="K564" s="5">
        <v>900</v>
      </c>
      <c r="L564" s="10" t="s">
        <v>57</v>
      </c>
      <c r="M564" s="49">
        <v>0.3</v>
      </c>
      <c r="N564" s="6">
        <f>PLANPRODUCCION[[#This Row],[PIEZAS PLANEADAS]]*PLANPRODUCCION[[#This Row],[PRECIO MAQUILAS]]</f>
        <v>270</v>
      </c>
      <c r="O564" s="5">
        <v>1</v>
      </c>
      <c r="P564" s="2">
        <v>0.54166666666666663</v>
      </c>
      <c r="Q564" s="2">
        <v>0.66666666666666663</v>
      </c>
      <c r="R564" s="5">
        <v>1728</v>
      </c>
      <c r="S564" s="7">
        <f>PLANPRODUCCION[[#This Row],[PRECIO MAQUILAS]]*PLANPRODUCCION[[#This Row],[PIEZAS REAL]]</f>
        <v>518.4</v>
      </c>
      <c r="T56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900</v>
      </c>
      <c r="U56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232.5</v>
      </c>
      <c r="V56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232.5</v>
      </c>
      <c r="W56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285.89999999999998</v>
      </c>
      <c r="X564" s="8" t="s">
        <v>602</v>
      </c>
      <c r="Y56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6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6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64" s="13">
        <f>IF(PLANPRODUCCION[[#This Row],[PIEZAS REAL]]&gt;0,PLANPRODUCCION[[#This Row],[PIEZAS REAL]]/PLANPRODUCCION[[#This Row],[PIEZAS ACTUALIZADO]],)</f>
        <v>1.92</v>
      </c>
      <c r="AC564" t="b">
        <f>PLANPRODUCCION[[#This Row],[INGRESO PLANEADO]]&lt;PLANPRODUCCION[[#This Row],[COSTO PLANEADO]]</f>
        <v>0</v>
      </c>
      <c r="AD564" s="46" t="s">
        <v>724</v>
      </c>
      <c r="AF564" t="b">
        <f>IF(COUNTIF(PLANPRODUCCION[[#This Row],[OBSERVACIONES]],"NO APLICA BONO*")&gt;0,TRUE,FALSE)</f>
        <v>0</v>
      </c>
    </row>
    <row r="565" spans="1:32" x14ac:dyDescent="0.25">
      <c r="A565" s="46" t="str">
        <f>UPPER(IF(PLANPRODUCCION[[#This Row],[FECHA]]&lt;=45701,_xlfn.CONCAT(TEXT(B565,"MMM"),"-",IF(ROW(A565)&lt;11,"000"&amp;ROW(A565)-1,IF(ROW(A565)&lt;101,"00"&amp;ROW(A565)-1,IF(ROW(A565)&lt;1001,"0"&amp;ROW(A565)-1,ROW(A565)-1))),"-OLD"),_xlfn.CONCAT(TEXT(B565,"MMM"),"-",IF(ROW(A565)&lt;473,"000"&amp;ROW(A565)-463,IF(ROW(A565)&lt;563,"00"&amp;ROW(A565)-463,IF(ROW(A565)&lt;1001,"0"&amp;ROW(A565)-463,ROW(A565)-463))))))</f>
        <v>FEB-0102</v>
      </c>
      <c r="B565" s="39">
        <v>45712</v>
      </c>
      <c r="C565" s="5">
        <v>1</v>
      </c>
      <c r="D565" s="5">
        <v>3</v>
      </c>
      <c r="E565" t="s">
        <v>110</v>
      </c>
      <c r="F565" s="2">
        <v>0.66666666666666663</v>
      </c>
      <c r="G565" s="2">
        <v>0.875</v>
      </c>
      <c r="H565" s="5">
        <v>1582</v>
      </c>
      <c r="I565" t="s">
        <v>642</v>
      </c>
      <c r="J565" t="s">
        <v>643</v>
      </c>
      <c r="K565" s="5">
        <v>25</v>
      </c>
      <c r="L565" s="5" t="s">
        <v>283</v>
      </c>
      <c r="M565" s="49">
        <v>26.5</v>
      </c>
      <c r="N565" s="6">
        <f>PLANPRODUCCION[[#This Row],[PIEZAS PLANEADAS]]*PLANPRODUCCION[[#This Row],[PRECIO MAQUILAS]]</f>
        <v>662.5</v>
      </c>
      <c r="O565" s="5">
        <v>1</v>
      </c>
      <c r="P565" s="2">
        <v>0.66666666666666663</v>
      </c>
      <c r="Q565" s="2">
        <v>0.875</v>
      </c>
      <c r="R565" s="5">
        <v>30</v>
      </c>
      <c r="S565" s="7">
        <f>PLANPRODUCCION[[#This Row],[PRECIO MAQUILAS]]*PLANPRODUCCION[[#This Row],[PIEZAS REAL]]</f>
        <v>795</v>
      </c>
      <c r="T56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</v>
      </c>
      <c r="U56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387.5</v>
      </c>
      <c r="V56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387.5</v>
      </c>
      <c r="W56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407.5</v>
      </c>
      <c r="X565" s="8" t="s">
        <v>602</v>
      </c>
      <c r="Y56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6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6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65" s="13">
        <f>IF(PLANPRODUCCION[[#This Row],[PIEZAS REAL]]&gt;0,PLANPRODUCCION[[#This Row],[PIEZAS REAL]]/PLANPRODUCCION[[#This Row],[PIEZAS ACTUALIZADO]],)</f>
        <v>1.2</v>
      </c>
      <c r="AC565" t="b">
        <f>PLANPRODUCCION[[#This Row],[INGRESO PLANEADO]]&lt;PLANPRODUCCION[[#This Row],[COSTO PLANEADO]]</f>
        <v>0</v>
      </c>
      <c r="AD565" s="46" t="s">
        <v>725</v>
      </c>
      <c r="AF565" t="b">
        <f>IF(COUNTIF(PLANPRODUCCION[[#This Row],[OBSERVACIONES]],"NO APLICA BONO*")&gt;0,TRUE,FALSE)</f>
        <v>0</v>
      </c>
    </row>
    <row r="566" spans="1:32" x14ac:dyDescent="0.25">
      <c r="A566" s="46" t="str">
        <f>UPPER(IF(PLANPRODUCCION[[#This Row],[FECHA]]&lt;=45701,_xlfn.CONCAT(TEXT(B566,"MMM"),"-",IF(ROW(A566)&lt;11,"000"&amp;ROW(A566)-1,IF(ROW(A566)&lt;101,"00"&amp;ROW(A566)-1,IF(ROW(A566)&lt;1001,"0"&amp;ROW(A566)-1,ROW(A566)-1))),"-OLD"),_xlfn.CONCAT(TEXT(B566,"MMM"),"-",IF(ROW(A566)&lt;473,"000"&amp;ROW(A566)-463,IF(ROW(A566)&lt;563,"00"&amp;ROW(A566)-463,IF(ROW(A566)&lt;1001,"0"&amp;ROW(A566)-463,ROW(A566)-463))))))</f>
        <v>FEB-0103</v>
      </c>
      <c r="B566" s="39">
        <v>45712</v>
      </c>
      <c r="C566" s="5">
        <v>1</v>
      </c>
      <c r="D566" s="5">
        <v>3</v>
      </c>
      <c r="E566" t="s">
        <v>110</v>
      </c>
      <c r="F566" s="2">
        <v>0.54166666666666663</v>
      </c>
      <c r="G566" s="2">
        <v>0.875</v>
      </c>
      <c r="H566" s="5">
        <v>1582</v>
      </c>
      <c r="I566" t="s">
        <v>642</v>
      </c>
      <c r="J566" t="s">
        <v>643</v>
      </c>
      <c r="K566" s="5">
        <v>40</v>
      </c>
      <c r="L566" s="5" t="s">
        <v>283</v>
      </c>
      <c r="M566" s="49">
        <v>26.5</v>
      </c>
      <c r="N566" s="6">
        <f>PLANPRODUCCION[[#This Row],[PIEZAS PLANEADAS]]*PLANPRODUCCION[[#This Row],[PRECIO MAQUILAS]]</f>
        <v>1060</v>
      </c>
      <c r="O566" s="5">
        <v>1</v>
      </c>
      <c r="P566" s="2">
        <v>0.5</v>
      </c>
      <c r="Q566" s="2">
        <v>0.79166666666666663</v>
      </c>
      <c r="R566" s="5">
        <v>30</v>
      </c>
      <c r="S566" s="7">
        <f>PLANPRODUCCION[[#This Row],[PRECIO MAQUILAS]]*PLANPRODUCCION[[#This Row],[PIEZAS REAL]]</f>
        <v>795</v>
      </c>
      <c r="T56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35</v>
      </c>
      <c r="U56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56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542.5</v>
      </c>
      <c r="W56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252.5</v>
      </c>
      <c r="X566" s="8" t="s">
        <v>602</v>
      </c>
      <c r="Y566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6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6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66" s="13">
        <f>IF(PLANPRODUCCION[[#This Row],[PIEZAS REAL]]&gt;0,PLANPRODUCCION[[#This Row],[PIEZAS REAL]]/PLANPRODUCCION[[#This Row],[PIEZAS ACTUALIZADO]],)</f>
        <v>0.8571428571428571</v>
      </c>
      <c r="AC566" t="b">
        <f>PLANPRODUCCION[[#This Row],[INGRESO PLANEADO]]&lt;PLANPRODUCCION[[#This Row],[COSTO PLANEADO]]</f>
        <v>0</v>
      </c>
      <c r="AD566" s="46" t="s">
        <v>726</v>
      </c>
      <c r="AF566" t="b">
        <f>IF(COUNTIF(PLANPRODUCCION[[#This Row],[OBSERVACIONES]],"NO APLICA BONO*")&gt;0,TRUE,FALSE)</f>
        <v>0</v>
      </c>
    </row>
    <row r="567" spans="1:32" x14ac:dyDescent="0.25">
      <c r="A567" s="46" t="str">
        <f>UPPER(IF(PLANPRODUCCION[[#This Row],[FECHA]]&lt;=45701,_xlfn.CONCAT(TEXT(B567,"MMM"),"-",IF(ROW(A567)&lt;11,"000"&amp;ROW(A567)-1,IF(ROW(A567)&lt;101,"00"&amp;ROW(A567)-1,IF(ROW(A567)&lt;1001,"0"&amp;ROW(A567)-1,ROW(A567)-1))),"-OLD"),_xlfn.CONCAT(TEXT(B567,"MMM"),"-",IF(ROW(A567)&lt;473,"000"&amp;ROW(A567)-463,IF(ROW(A567)&lt;563,"00"&amp;ROW(A567)-463,IF(ROW(A567)&lt;1001,"0"&amp;ROW(A567)-463,ROW(A567)-463))))))</f>
        <v>FEB-0104</v>
      </c>
      <c r="B567" s="39">
        <v>45712</v>
      </c>
      <c r="C567" s="5">
        <v>3</v>
      </c>
      <c r="D567" s="5">
        <v>4</v>
      </c>
      <c r="E567" t="s">
        <v>72</v>
      </c>
      <c r="F567" s="2">
        <v>0.66666666666666663</v>
      </c>
      <c r="G567" s="2">
        <v>0.875</v>
      </c>
      <c r="H567" s="5">
        <v>1582</v>
      </c>
      <c r="I567" t="s">
        <v>642</v>
      </c>
      <c r="J567" t="s">
        <v>643</v>
      </c>
      <c r="K567" s="5">
        <v>75</v>
      </c>
      <c r="L567" s="5" t="s">
        <v>283</v>
      </c>
      <c r="M567" s="49">
        <v>26.5</v>
      </c>
      <c r="N567" s="6">
        <f>PLANPRODUCCION[[#This Row],[PIEZAS PLANEADAS]]*PLANPRODUCCION[[#This Row],[PRECIO MAQUILAS]]</f>
        <v>1987.5</v>
      </c>
      <c r="O567" s="5">
        <v>3</v>
      </c>
      <c r="P567" s="2">
        <v>0.66666666666666663</v>
      </c>
      <c r="Q567" s="2">
        <v>0.875</v>
      </c>
      <c r="R567" s="5">
        <v>49</v>
      </c>
      <c r="S567" s="7">
        <f>PLANPRODUCCION[[#This Row],[PRECIO MAQUILAS]]*PLANPRODUCCION[[#This Row],[PIEZAS REAL]]</f>
        <v>1298.5</v>
      </c>
      <c r="T56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75</v>
      </c>
      <c r="U56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56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56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368.5</v>
      </c>
      <c r="X567" s="8" t="s">
        <v>602</v>
      </c>
      <c r="Y56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6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6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67" s="13">
        <f>IF(PLANPRODUCCION[[#This Row],[PIEZAS REAL]]&gt;0,PLANPRODUCCION[[#This Row],[PIEZAS REAL]]/PLANPRODUCCION[[#This Row],[PIEZAS ACTUALIZADO]],)</f>
        <v>0.65333333333333332</v>
      </c>
      <c r="AC567" t="b">
        <f>PLANPRODUCCION[[#This Row],[INGRESO PLANEADO]]&lt;PLANPRODUCCION[[#This Row],[COSTO PLANEADO]]</f>
        <v>0</v>
      </c>
      <c r="AD567" s="46" t="s">
        <v>727</v>
      </c>
      <c r="AF567" t="b">
        <f>IF(COUNTIF(PLANPRODUCCION[[#This Row],[OBSERVACIONES]],"NO APLICA BONO*")&gt;0,TRUE,FALSE)</f>
        <v>0</v>
      </c>
    </row>
    <row r="568" spans="1:32" x14ac:dyDescent="0.25">
      <c r="A568" s="46" t="str">
        <f>UPPER(IF(PLANPRODUCCION[[#This Row],[FECHA]]&lt;=45701,_xlfn.CONCAT(TEXT(B568,"MMM"),"-",IF(ROW(A568)&lt;11,"000"&amp;ROW(A568)-1,IF(ROW(A568)&lt;101,"00"&amp;ROW(A568)-1,IF(ROW(A568)&lt;1001,"0"&amp;ROW(A568)-1,ROW(A568)-1))),"-OLD"),_xlfn.CONCAT(TEXT(B568,"MMM"),"-",IF(ROW(A568)&lt;473,"000"&amp;ROW(A568)-463,IF(ROW(A568)&lt;563,"00"&amp;ROW(A568)-463,IF(ROW(A568)&lt;1001,"0"&amp;ROW(A568)-463,ROW(A568)-463))))))</f>
        <v>FEB-0105</v>
      </c>
      <c r="B568" s="39">
        <v>45712</v>
      </c>
      <c r="C568" s="5">
        <v>3</v>
      </c>
      <c r="D568" s="5">
        <v>5</v>
      </c>
      <c r="E568" t="s">
        <v>72</v>
      </c>
      <c r="F568" s="2">
        <v>0.66666666666666663</v>
      </c>
      <c r="G568" s="2">
        <v>0.875</v>
      </c>
      <c r="H568" s="5">
        <v>1582</v>
      </c>
      <c r="I568" t="s">
        <v>642</v>
      </c>
      <c r="J568" t="s">
        <v>643</v>
      </c>
      <c r="K568" s="5">
        <v>75</v>
      </c>
      <c r="L568" s="5" t="s">
        <v>283</v>
      </c>
      <c r="M568" s="49">
        <v>26.5</v>
      </c>
      <c r="N568" s="6">
        <f>PLANPRODUCCION[[#This Row],[PIEZAS PLANEADAS]]*PLANPRODUCCION[[#This Row],[PRECIO MAQUILAS]]</f>
        <v>1987.5</v>
      </c>
      <c r="O568" s="5">
        <v>2</v>
      </c>
      <c r="P568" s="2">
        <v>0.66666666666666663</v>
      </c>
      <c r="Q568" s="2">
        <v>0.875</v>
      </c>
      <c r="R568" s="5">
        <v>33</v>
      </c>
      <c r="S568" s="7">
        <f>PLANPRODUCCION[[#This Row],[PRECIO MAQUILAS]]*PLANPRODUCCION[[#This Row],[PIEZAS REAL]]</f>
        <v>874.5</v>
      </c>
      <c r="T56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50</v>
      </c>
      <c r="U56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56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56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254.5</v>
      </c>
      <c r="X568" s="8" t="s">
        <v>602</v>
      </c>
      <c r="Y56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6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6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68" s="13">
        <f>IF(PLANPRODUCCION[[#This Row],[PIEZAS REAL]]&gt;0,PLANPRODUCCION[[#This Row],[PIEZAS REAL]]/PLANPRODUCCION[[#This Row],[PIEZAS ACTUALIZADO]],)</f>
        <v>0.66</v>
      </c>
      <c r="AC568" t="b">
        <f>PLANPRODUCCION[[#This Row],[INGRESO PLANEADO]]&lt;PLANPRODUCCION[[#This Row],[COSTO PLANEADO]]</f>
        <v>0</v>
      </c>
      <c r="AD568" s="46" t="s">
        <v>728</v>
      </c>
      <c r="AF568" t="b">
        <f>IF(COUNTIF(PLANPRODUCCION[[#This Row],[OBSERVACIONES]],"NO APLICA BONO*")&gt;0,TRUE,FALSE)</f>
        <v>0</v>
      </c>
    </row>
    <row r="569" spans="1:32" x14ac:dyDescent="0.25">
      <c r="A569" s="46" t="str">
        <f>UPPER(IF(PLANPRODUCCION[[#This Row],[FECHA]]&lt;=45701,_xlfn.CONCAT(TEXT(B569,"MMM"),"-",IF(ROW(A569)&lt;11,"000"&amp;ROW(A569)-1,IF(ROW(A569)&lt;101,"00"&amp;ROW(A569)-1,IF(ROW(A569)&lt;1001,"0"&amp;ROW(A569)-1,ROW(A569)-1))),"-OLD"),_xlfn.CONCAT(TEXT(B569,"MMM"),"-",IF(ROW(A569)&lt;473,"000"&amp;ROW(A569)-463,IF(ROW(A569)&lt;563,"00"&amp;ROW(A569)-463,IF(ROW(A569)&lt;1001,"0"&amp;ROW(A569)-463,ROW(A569)-463))))))</f>
        <v>FEB-0106</v>
      </c>
      <c r="B569" s="39">
        <v>45712</v>
      </c>
      <c r="C569" s="5">
        <v>6</v>
      </c>
      <c r="D569" s="5" t="s">
        <v>666</v>
      </c>
      <c r="E569" t="s">
        <v>75</v>
      </c>
      <c r="F569" s="2">
        <v>0.875</v>
      </c>
      <c r="G569" s="2">
        <v>0.25</v>
      </c>
      <c r="H569" s="5">
        <v>1522</v>
      </c>
      <c r="I569" t="s">
        <v>434</v>
      </c>
      <c r="J569" t="s">
        <v>441</v>
      </c>
      <c r="K569" s="5">
        <v>324</v>
      </c>
      <c r="L569" s="10" t="s">
        <v>283</v>
      </c>
      <c r="M569" s="49">
        <v>15</v>
      </c>
      <c r="N569" s="6">
        <f>PLANPRODUCCION[[#This Row],[PIEZAS PLANEADAS]]*PLANPRODUCCION[[#This Row],[PRECIO MAQUILAS]]</f>
        <v>4860</v>
      </c>
      <c r="O569" s="5">
        <v>6</v>
      </c>
      <c r="P569" s="2">
        <v>0.875</v>
      </c>
      <c r="Q569" s="2">
        <v>0.20833333333333334</v>
      </c>
      <c r="R569" s="5">
        <v>288</v>
      </c>
      <c r="S569" s="7">
        <f>PLANPRODUCCION[[#This Row],[PRECIO MAQUILAS]]*PLANPRODUCCION[[#This Row],[PIEZAS REAL]]</f>
        <v>4320</v>
      </c>
      <c r="T56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288</v>
      </c>
      <c r="U56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4500</v>
      </c>
      <c r="V56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4000</v>
      </c>
      <c r="W56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320</v>
      </c>
      <c r="X569" s="8" t="s">
        <v>602</v>
      </c>
      <c r="Y56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6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6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69" s="13">
        <f>IF(PLANPRODUCCION[[#This Row],[PIEZAS REAL]]&gt;0,PLANPRODUCCION[[#This Row],[PIEZAS REAL]]/PLANPRODUCCION[[#This Row],[PIEZAS ACTUALIZADO]],)</f>
        <v>1</v>
      </c>
      <c r="AC569" t="b">
        <f>PLANPRODUCCION[[#This Row],[INGRESO PLANEADO]]&lt;PLANPRODUCCION[[#This Row],[COSTO PLANEADO]]</f>
        <v>0</v>
      </c>
      <c r="AD569" s="46" t="s">
        <v>729</v>
      </c>
      <c r="AE569" t="s">
        <v>730</v>
      </c>
      <c r="AF569" t="b">
        <f>IF(COUNTIF(PLANPRODUCCION[[#This Row],[OBSERVACIONES]],"NO APLICA BONO*")&gt;0,TRUE,FALSE)</f>
        <v>0</v>
      </c>
    </row>
    <row r="570" spans="1:32" x14ac:dyDescent="0.25">
      <c r="A570" s="46" t="str">
        <f>UPPER(IF(PLANPRODUCCION[[#This Row],[FECHA]]&lt;=45701,_xlfn.CONCAT(TEXT(B570,"MMM"),"-",IF(ROW(A570)&lt;11,"000"&amp;ROW(A570)-1,IF(ROW(A570)&lt;101,"00"&amp;ROW(A570)-1,IF(ROW(A570)&lt;1001,"0"&amp;ROW(A570)-1,ROW(A570)-1))),"-OLD"),_xlfn.CONCAT(TEXT(B570,"MMM"),"-",IF(ROW(A570)&lt;473,"000"&amp;ROW(A570)-463,IF(ROW(A570)&lt;563,"00"&amp;ROW(A570)-463,IF(ROW(A570)&lt;1001,"0"&amp;ROW(A570)-463,ROW(A570)-463))))))</f>
        <v>FEB-0107</v>
      </c>
      <c r="B570" s="39">
        <v>45713</v>
      </c>
      <c r="C570" s="5">
        <v>6</v>
      </c>
      <c r="D570" s="5" t="s">
        <v>666</v>
      </c>
      <c r="E570" t="s">
        <v>54</v>
      </c>
      <c r="F570" s="2">
        <v>0.25</v>
      </c>
      <c r="G570" s="2">
        <v>0.66666666666666663</v>
      </c>
      <c r="H570" s="5">
        <v>1522</v>
      </c>
      <c r="I570" t="s">
        <v>434</v>
      </c>
      <c r="J570" t="s">
        <v>441</v>
      </c>
      <c r="K570" s="5">
        <v>360</v>
      </c>
      <c r="L570" s="10" t="s">
        <v>283</v>
      </c>
      <c r="M570" s="49">
        <v>15</v>
      </c>
      <c r="N570" s="6">
        <f>PLANPRODUCCION[[#This Row],[PIEZAS PLANEADAS]]*PLANPRODUCCION[[#This Row],[PRECIO MAQUILAS]]</f>
        <v>5400</v>
      </c>
      <c r="O570" s="5">
        <v>4</v>
      </c>
      <c r="P570" s="2">
        <v>0.25</v>
      </c>
      <c r="Q570" s="2">
        <v>0.3125</v>
      </c>
      <c r="R570" s="5">
        <v>30</v>
      </c>
      <c r="S570" s="7">
        <f>PLANPRODUCCION[[#This Row],[PRECIO MAQUILAS]]*PLANPRODUCCION[[#This Row],[PIEZAS REAL]]</f>
        <v>450</v>
      </c>
      <c r="T57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36</v>
      </c>
      <c r="U57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3720</v>
      </c>
      <c r="V57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57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78</v>
      </c>
      <c r="X570" s="8" t="s">
        <v>602</v>
      </c>
      <c r="Y57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7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7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70" s="13">
        <f>IF(PLANPRODUCCION[[#This Row],[PIEZAS REAL]]&gt;0,PLANPRODUCCION[[#This Row],[PIEZAS REAL]]/PLANPRODUCCION[[#This Row],[PIEZAS ACTUALIZADO]],)</f>
        <v>0.83333333333333337</v>
      </c>
      <c r="AC570" t="b">
        <f>PLANPRODUCCION[[#This Row],[INGRESO PLANEADO]]&lt;PLANPRODUCCION[[#This Row],[COSTO PLANEADO]]</f>
        <v>0</v>
      </c>
      <c r="AD570" s="46" t="s">
        <v>731</v>
      </c>
      <c r="AF570" t="b">
        <f>IF(COUNTIF(PLANPRODUCCION[[#This Row],[OBSERVACIONES]],"NO APLICA BONO*")&gt;0,TRUE,FALSE)</f>
        <v>0</v>
      </c>
    </row>
    <row r="571" spans="1:32" x14ac:dyDescent="0.25">
      <c r="A571" s="46" t="str">
        <f>UPPER(IF(PLANPRODUCCION[[#This Row],[FECHA]]&lt;=45701,_xlfn.CONCAT(TEXT(B571,"MMM"),"-",IF(ROW(A571)&lt;11,"000"&amp;ROW(A571)-1,IF(ROW(A571)&lt;101,"00"&amp;ROW(A571)-1,IF(ROW(A571)&lt;1001,"0"&amp;ROW(A571)-1,ROW(A571)-1))),"-OLD"),_xlfn.CONCAT(TEXT(B571,"MMM"),"-",IF(ROW(A571)&lt;473,"000"&amp;ROW(A571)-463,IF(ROW(A571)&lt;563,"00"&amp;ROW(A571)-463,IF(ROW(A571)&lt;1001,"0"&amp;ROW(A571)-463,ROW(A571)-463))))))</f>
        <v>FEB-0108</v>
      </c>
      <c r="B571" s="39">
        <v>45713</v>
      </c>
      <c r="C571" s="5">
        <v>4</v>
      </c>
      <c r="D571" s="5">
        <v>5</v>
      </c>
      <c r="E571" t="s">
        <v>54</v>
      </c>
      <c r="F571" s="2">
        <v>0.3125</v>
      </c>
      <c r="G571" s="2">
        <v>0.66666666666666663</v>
      </c>
      <c r="H571" s="5">
        <v>1582</v>
      </c>
      <c r="I571" t="s">
        <v>642</v>
      </c>
      <c r="J571" t="s">
        <v>643</v>
      </c>
      <c r="K571" s="5">
        <v>160</v>
      </c>
      <c r="L571" s="5" t="s">
        <v>283</v>
      </c>
      <c r="M571" s="49">
        <v>26.5</v>
      </c>
      <c r="N571" s="6">
        <f>PLANPRODUCCION[[#This Row],[PIEZAS PLANEADAS]]*PLANPRODUCCION[[#This Row],[PRECIO MAQUILAS]]</f>
        <v>4240</v>
      </c>
      <c r="O571" s="5">
        <v>4</v>
      </c>
      <c r="P571" s="2">
        <v>0.3125</v>
      </c>
      <c r="Q571" s="2">
        <v>0.66666666666666663</v>
      </c>
      <c r="R571" s="5">
        <v>170</v>
      </c>
      <c r="S571" s="7">
        <f>PLANPRODUCCION[[#This Row],[PRECIO MAQUILAS]]*PLANPRODUCCION[[#This Row],[PIEZAS REAL]]</f>
        <v>4505</v>
      </c>
      <c r="T57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160</v>
      </c>
      <c r="U57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2108</v>
      </c>
      <c r="V57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2108</v>
      </c>
      <c r="W57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2397</v>
      </c>
      <c r="X571" s="8" t="s">
        <v>606</v>
      </c>
      <c r="Y57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7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7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71" s="13">
        <f>IF(PLANPRODUCCION[[#This Row],[PIEZAS REAL]]&gt;0,PLANPRODUCCION[[#This Row],[PIEZAS REAL]]/PLANPRODUCCION[[#This Row],[PIEZAS ACTUALIZADO]],)</f>
        <v>1.0625</v>
      </c>
      <c r="AC571" t="b">
        <f>PLANPRODUCCION[[#This Row],[INGRESO PLANEADO]]&lt;PLANPRODUCCION[[#This Row],[COSTO PLANEADO]]</f>
        <v>0</v>
      </c>
      <c r="AD571" s="46" t="s">
        <v>732</v>
      </c>
      <c r="AF571" t="b">
        <f>IF(COUNTIF(PLANPRODUCCION[[#This Row],[OBSERVACIONES]],"NO APLICA BONO*")&gt;0,TRUE,FALSE)</f>
        <v>0</v>
      </c>
    </row>
    <row r="572" spans="1:32" x14ac:dyDescent="0.25">
      <c r="A572" s="46" t="str">
        <f>UPPER(IF(PLANPRODUCCION[[#This Row],[FECHA]]&lt;=45701,_xlfn.CONCAT(TEXT(B572,"MMM"),"-",IF(ROW(A572)&lt;11,"000"&amp;ROW(A572)-1,IF(ROW(A572)&lt;101,"00"&amp;ROW(A572)-1,IF(ROW(A572)&lt;1001,"0"&amp;ROW(A572)-1,ROW(A572)-1))),"-OLD"),_xlfn.CONCAT(TEXT(B572,"MMM"),"-",IF(ROW(A572)&lt;473,"000"&amp;ROW(A572)-463,IF(ROW(A572)&lt;563,"00"&amp;ROW(A572)-463,IF(ROW(A572)&lt;1001,"0"&amp;ROW(A572)-463,ROW(A572)-463))))))</f>
        <v>FEB-0109</v>
      </c>
      <c r="B572" s="39">
        <v>45713</v>
      </c>
      <c r="C572" s="5">
        <v>6</v>
      </c>
      <c r="D572" s="5" t="s">
        <v>666</v>
      </c>
      <c r="E572" t="s">
        <v>54</v>
      </c>
      <c r="F572" s="2">
        <v>0.25</v>
      </c>
      <c r="G572" s="2">
        <v>0.66666666666666663</v>
      </c>
      <c r="H572" s="5">
        <v>1522</v>
      </c>
      <c r="I572" t="s">
        <v>434</v>
      </c>
      <c r="J572" t="s">
        <v>441</v>
      </c>
      <c r="K572" s="5">
        <v>360</v>
      </c>
      <c r="L572" s="10" t="s">
        <v>283</v>
      </c>
      <c r="M572" s="49">
        <v>15</v>
      </c>
      <c r="N572" s="6">
        <f>PLANPRODUCCION[[#This Row],[PIEZAS PLANEADAS]]*PLANPRODUCCION[[#This Row],[PRECIO MAQUILAS]]</f>
        <v>5400</v>
      </c>
      <c r="O572" s="5">
        <v>5</v>
      </c>
      <c r="P572" s="2">
        <v>0.25</v>
      </c>
      <c r="Q572" s="2">
        <v>0.33333333333333331</v>
      </c>
      <c r="R572" s="5">
        <v>29</v>
      </c>
      <c r="S572" s="7">
        <f>PLANPRODUCCION[[#This Row],[PRECIO MAQUILAS]]*PLANPRODUCCION[[#This Row],[PIEZAS REAL]]</f>
        <v>435</v>
      </c>
      <c r="T57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60</v>
      </c>
      <c r="U57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3720</v>
      </c>
      <c r="V57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57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-185</v>
      </c>
      <c r="X572" s="8" t="s">
        <v>602</v>
      </c>
      <c r="Y57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7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7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72" s="13">
        <f>IF(PLANPRODUCCION[[#This Row],[PIEZAS REAL]]&gt;0,PLANPRODUCCION[[#This Row],[PIEZAS REAL]]/PLANPRODUCCION[[#This Row],[PIEZAS ACTUALIZADO]],)</f>
        <v>0.48333333333333334</v>
      </c>
      <c r="AC572" t="b">
        <f>PLANPRODUCCION[[#This Row],[INGRESO PLANEADO]]&lt;PLANPRODUCCION[[#This Row],[COSTO PLANEADO]]</f>
        <v>0</v>
      </c>
      <c r="AD572" s="46" t="s">
        <v>733</v>
      </c>
      <c r="AF572" t="b">
        <f>IF(COUNTIF(PLANPRODUCCION[[#This Row],[OBSERVACIONES]],"NO APLICA BONO*")&gt;0,TRUE,FALSE)</f>
        <v>0</v>
      </c>
    </row>
    <row r="573" spans="1:32" x14ac:dyDescent="0.25">
      <c r="A573" s="46" t="str">
        <f>UPPER(IF(PLANPRODUCCION[[#This Row],[FECHA]]&lt;=45701,_xlfn.CONCAT(TEXT(B573,"MMM"),"-",IF(ROW(A573)&lt;11,"000"&amp;ROW(A573)-1,IF(ROW(A573)&lt;101,"00"&amp;ROW(A573)-1,IF(ROW(A573)&lt;1001,"0"&amp;ROW(A573)-1,ROW(A573)-1))),"-OLD"),_xlfn.CONCAT(TEXT(B573,"MMM"),"-",IF(ROW(A573)&lt;473,"000"&amp;ROW(A573)-463,IF(ROW(A573)&lt;563,"00"&amp;ROW(A573)-463,IF(ROW(A573)&lt;1001,"0"&amp;ROW(A573)-463,ROW(A573)-463))))))</f>
        <v>FEB-0110</v>
      </c>
      <c r="B573" s="39">
        <v>45713</v>
      </c>
      <c r="C573" s="5">
        <v>5</v>
      </c>
      <c r="D573" s="5">
        <v>4</v>
      </c>
      <c r="E573" t="s">
        <v>54</v>
      </c>
      <c r="F573" s="2">
        <v>0.33333333333333331</v>
      </c>
      <c r="G573" s="2">
        <v>0.66666666666666663</v>
      </c>
      <c r="H573" s="5">
        <v>1582</v>
      </c>
      <c r="I573" t="s">
        <v>642</v>
      </c>
      <c r="J573" t="s">
        <v>643</v>
      </c>
      <c r="K573" s="5">
        <v>200</v>
      </c>
      <c r="L573" s="5" t="s">
        <v>283</v>
      </c>
      <c r="M573" s="49">
        <v>26.5</v>
      </c>
      <c r="N573" s="6">
        <f>PLANPRODUCCION[[#This Row],[PIEZAS PLANEADAS]]*PLANPRODUCCION[[#This Row],[PRECIO MAQUILAS]]</f>
        <v>5300</v>
      </c>
      <c r="O573" s="5">
        <v>5</v>
      </c>
      <c r="P573" s="2">
        <v>0.33333333333333331</v>
      </c>
      <c r="Q573" s="2">
        <v>0.66666666666666663</v>
      </c>
      <c r="R573" s="5">
        <v>158</v>
      </c>
      <c r="S573" s="7">
        <f>PLANPRODUCCION[[#This Row],[PRECIO MAQUILAS]]*PLANPRODUCCION[[#This Row],[PIEZAS REAL]]</f>
        <v>4187</v>
      </c>
      <c r="T57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200</v>
      </c>
      <c r="U57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2480</v>
      </c>
      <c r="V57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57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1707</v>
      </c>
      <c r="X573" s="8" t="s">
        <v>606</v>
      </c>
      <c r="Y57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7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7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73" s="13">
        <f>IF(PLANPRODUCCION[[#This Row],[PIEZAS REAL]]&gt;0,PLANPRODUCCION[[#This Row],[PIEZAS REAL]]/PLANPRODUCCION[[#This Row],[PIEZAS ACTUALIZADO]],)</f>
        <v>0.79</v>
      </c>
      <c r="AC573" t="b">
        <f>PLANPRODUCCION[[#This Row],[INGRESO PLANEADO]]&lt;PLANPRODUCCION[[#This Row],[COSTO PLANEADO]]</f>
        <v>0</v>
      </c>
      <c r="AD573" s="46" t="s">
        <v>734</v>
      </c>
      <c r="AF573" t="b">
        <f>IF(COUNTIF(PLANPRODUCCION[[#This Row],[OBSERVACIONES]],"NO APLICA BONO*")&gt;0,TRUE,FALSE)</f>
        <v>0</v>
      </c>
    </row>
    <row r="574" spans="1:32" x14ac:dyDescent="0.25">
      <c r="A574" s="46" t="str">
        <f>UPPER(IF(PLANPRODUCCION[[#This Row],[FECHA]]&lt;=45701,_xlfn.CONCAT(TEXT(B574,"MMM"),"-",IF(ROW(A574)&lt;11,"000"&amp;ROW(A574)-1,IF(ROW(A574)&lt;101,"00"&amp;ROW(A574)-1,IF(ROW(A574)&lt;1001,"0"&amp;ROW(A574)-1,ROW(A574)-1))),"-OLD"),_xlfn.CONCAT(TEXT(B574,"MMM"),"-",IF(ROW(A574)&lt;473,"000"&amp;ROW(A574)-463,IF(ROW(A574)&lt;563,"00"&amp;ROW(A574)-463,IF(ROW(A574)&lt;1001,"0"&amp;ROW(A574)-463,ROW(A574)-463))))))</f>
        <v>FEB-0111</v>
      </c>
      <c r="B574" s="39">
        <v>45713</v>
      </c>
      <c r="C574" s="5">
        <v>1</v>
      </c>
      <c r="D574" s="5">
        <v>1</v>
      </c>
      <c r="E574" t="s">
        <v>54</v>
      </c>
      <c r="F574" s="2">
        <v>0.25</v>
      </c>
      <c r="G574" s="2">
        <v>0.66666666666666663</v>
      </c>
      <c r="H574" s="5">
        <v>1587</v>
      </c>
      <c r="I574" t="s">
        <v>735</v>
      </c>
      <c r="J574" t="s">
        <v>736</v>
      </c>
      <c r="K574" s="5">
        <v>1000</v>
      </c>
      <c r="L574" s="5" t="s">
        <v>57</v>
      </c>
      <c r="M574" s="49">
        <v>1</v>
      </c>
      <c r="N574" s="6">
        <f>PLANPRODUCCION[[#This Row],[PIEZAS PLANEADAS]]*PLANPRODUCCION[[#This Row],[PRECIO MAQUILAS]]</f>
        <v>1000</v>
      </c>
      <c r="O574" s="5">
        <v>1</v>
      </c>
      <c r="P574" s="2">
        <v>0.25</v>
      </c>
      <c r="Q574" s="2">
        <v>0.5</v>
      </c>
      <c r="R574" s="5">
        <v>850</v>
      </c>
      <c r="S574" s="7">
        <f>PLANPRODUCCION[[#This Row],[PRECIO MAQUILAS]]*PLANPRODUCCION[[#This Row],[PIEZAS REAL]]</f>
        <v>850</v>
      </c>
      <c r="T57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600</v>
      </c>
      <c r="U57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57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57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478</v>
      </c>
      <c r="X574" s="8" t="s">
        <v>602</v>
      </c>
      <c r="Y57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7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7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74" s="13">
        <f>IF(PLANPRODUCCION[[#This Row],[PIEZAS REAL]]&gt;0,PLANPRODUCCION[[#This Row],[PIEZAS REAL]]/PLANPRODUCCION[[#This Row],[PIEZAS ACTUALIZADO]],)</f>
        <v>1.4166666666666667</v>
      </c>
      <c r="AC574" t="b">
        <f>PLANPRODUCCION[[#This Row],[INGRESO PLANEADO]]&lt;PLANPRODUCCION[[#This Row],[COSTO PLANEADO]]</f>
        <v>0</v>
      </c>
      <c r="AD574" s="46" t="s">
        <v>737</v>
      </c>
      <c r="AF574" t="b">
        <f>IF(COUNTIF(PLANPRODUCCION[[#This Row],[OBSERVACIONES]],"NO APLICA BONO*")&gt;0,TRUE,FALSE)</f>
        <v>0</v>
      </c>
    </row>
    <row r="575" spans="1:32" x14ac:dyDescent="0.25">
      <c r="A575" s="46" t="str">
        <f>UPPER(IF(PLANPRODUCCION[[#This Row],[FECHA]]&lt;=45701,_xlfn.CONCAT(TEXT(B575,"MMM"),"-",IF(ROW(A575)&lt;11,"000"&amp;ROW(A575)-1,IF(ROW(A575)&lt;101,"00"&amp;ROW(A575)-1,IF(ROW(A575)&lt;1001,"0"&amp;ROW(A575)-1,ROW(A575)-1))),"-OLD"),_xlfn.CONCAT(TEXT(B575,"MMM"),"-",IF(ROW(A575)&lt;473,"000"&amp;ROW(A575)-463,IF(ROW(A575)&lt;563,"00"&amp;ROW(A575)-463,IF(ROW(A575)&lt;1001,"0"&amp;ROW(A575)-463,ROW(A575)-463))))))</f>
        <v>FEB-0112</v>
      </c>
      <c r="B575" s="39">
        <v>45713</v>
      </c>
      <c r="C575" s="5">
        <v>11</v>
      </c>
      <c r="D575" s="5">
        <v>12</v>
      </c>
      <c r="E575" t="s">
        <v>54</v>
      </c>
      <c r="F575" s="2">
        <v>0.33333333333333331</v>
      </c>
      <c r="G575" s="2">
        <v>0.45833333333333331</v>
      </c>
      <c r="H575" s="5">
        <v>1585</v>
      </c>
      <c r="I575" t="s">
        <v>81</v>
      </c>
      <c r="J575" t="s">
        <v>82</v>
      </c>
      <c r="K575" s="5">
        <v>1920</v>
      </c>
      <c r="L575" s="5" t="s">
        <v>83</v>
      </c>
      <c r="M575" s="49">
        <v>4.2</v>
      </c>
      <c r="N575" s="6">
        <f>PLANPRODUCCION[[#This Row],[PIEZAS PLANEADAS]]*PLANPRODUCCION[[#This Row],[PRECIO MAQUILAS]]</f>
        <v>8064</v>
      </c>
      <c r="O575" s="5">
        <v>8</v>
      </c>
      <c r="P575" s="2">
        <v>0.33333333333333331</v>
      </c>
      <c r="Q575" s="2">
        <v>0.5</v>
      </c>
      <c r="R575" s="5">
        <v>1920</v>
      </c>
      <c r="S575" s="7">
        <f>PLANPRODUCCION[[#This Row],[PRECIO MAQUILAS]]*PLANPRODUCCION[[#This Row],[PIEZAS REAL]]</f>
        <v>8064</v>
      </c>
      <c r="T57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1862</v>
      </c>
      <c r="U57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2046</v>
      </c>
      <c r="V57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1984</v>
      </c>
      <c r="W57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6080</v>
      </c>
      <c r="X575" s="8" t="s">
        <v>602</v>
      </c>
      <c r="Y57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7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75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575" s="13">
        <f>IF(PLANPRODUCCION[[#This Row],[PIEZAS REAL]]&gt;0,PLANPRODUCCION[[#This Row],[PIEZAS REAL]]/PLANPRODUCCION[[#This Row],[PIEZAS ACTUALIZADO]],)</f>
        <v>1.0311493018259936</v>
      </c>
      <c r="AC575" t="b">
        <f>PLANPRODUCCION[[#This Row],[INGRESO PLANEADO]]&lt;PLANPRODUCCION[[#This Row],[COSTO PLANEADO]]</f>
        <v>0</v>
      </c>
      <c r="AD575" s="46" t="s">
        <v>738</v>
      </c>
      <c r="AE575" t="s">
        <v>739</v>
      </c>
      <c r="AF575" t="b">
        <f>IF(COUNTIF(PLANPRODUCCION[[#This Row],[OBSERVACIONES]],"NO APLICA BONO*")&gt;0,TRUE,FALSE)</f>
        <v>0</v>
      </c>
    </row>
    <row r="576" spans="1:32" x14ac:dyDescent="0.25">
      <c r="A576" s="46" t="str">
        <f>UPPER(IF(PLANPRODUCCION[[#This Row],[FECHA]]&lt;=45701,_xlfn.CONCAT(TEXT(B576,"MMM"),"-",IF(ROW(A576)&lt;11,"000"&amp;ROW(A576)-1,IF(ROW(A576)&lt;101,"00"&amp;ROW(A576)-1,IF(ROW(A576)&lt;1001,"0"&amp;ROW(A576)-1,ROW(A576)-1))),"-OLD"),_xlfn.CONCAT(TEXT(B576,"MMM"),"-",IF(ROW(A576)&lt;473,"000"&amp;ROW(A576)-463,IF(ROW(A576)&lt;563,"00"&amp;ROW(A576)-463,IF(ROW(A576)&lt;1001,"0"&amp;ROW(A576)-463,ROW(A576)-463))))))</f>
        <v>FEB-0113</v>
      </c>
      <c r="B576" s="39">
        <v>45713</v>
      </c>
      <c r="C576" s="5">
        <v>3</v>
      </c>
      <c r="D576" s="5">
        <v>2</v>
      </c>
      <c r="E576" t="s">
        <v>54</v>
      </c>
      <c r="F576" s="2">
        <v>0.25</v>
      </c>
      <c r="G576" s="2">
        <v>0.33333333333333331</v>
      </c>
      <c r="H576" s="5">
        <v>1582</v>
      </c>
      <c r="I576" t="s">
        <v>642</v>
      </c>
      <c r="J576" t="s">
        <v>643</v>
      </c>
      <c r="K576" s="5">
        <v>30</v>
      </c>
      <c r="L576" s="5" t="s">
        <v>283</v>
      </c>
      <c r="M576" s="49">
        <v>26.5</v>
      </c>
      <c r="N576" s="6">
        <f>PLANPRODUCCION[[#This Row],[PIEZAS PLANEADAS]]*PLANPRODUCCION[[#This Row],[PRECIO MAQUILAS]]</f>
        <v>795</v>
      </c>
      <c r="O576" s="5">
        <v>2</v>
      </c>
      <c r="P576" s="2">
        <v>0.25</v>
      </c>
      <c r="Q576" s="2">
        <v>0.33333333333333331</v>
      </c>
      <c r="R576" s="5">
        <v>20</v>
      </c>
      <c r="S576" s="7">
        <f>PLANPRODUCCION[[#This Row],[PRECIO MAQUILAS]]*PLANPRODUCCION[[#This Row],[PIEZAS REAL]]</f>
        <v>530</v>
      </c>
      <c r="T57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</v>
      </c>
      <c r="U57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</v>
      </c>
      <c r="V57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57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282</v>
      </c>
      <c r="X576" s="8" t="s">
        <v>602</v>
      </c>
      <c r="Y57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7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7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76" s="13">
        <f>IF(PLANPRODUCCION[[#This Row],[PIEZAS REAL]]&gt;0,PLANPRODUCCION[[#This Row],[PIEZAS REAL]]/PLANPRODUCCION[[#This Row],[PIEZAS ACTUALIZADO]],)</f>
        <v>1</v>
      </c>
      <c r="AC576" t="b">
        <f>PLANPRODUCCION[[#This Row],[INGRESO PLANEADO]]&lt;PLANPRODUCCION[[#This Row],[COSTO PLANEADO]]</f>
        <v>0</v>
      </c>
      <c r="AD576" s="46" t="s">
        <v>740</v>
      </c>
      <c r="AF576" t="b">
        <f>IF(COUNTIF(PLANPRODUCCION[[#This Row],[OBSERVACIONES]],"NO APLICA BONO*")&gt;0,TRUE,FALSE)</f>
        <v>0</v>
      </c>
    </row>
    <row r="577" spans="1:32" x14ac:dyDescent="0.25">
      <c r="A577" s="46" t="str">
        <f>UPPER(IF(PLANPRODUCCION[[#This Row],[FECHA]]&lt;=45701,_xlfn.CONCAT(TEXT(B577,"MMM"),"-",IF(ROW(A577)&lt;11,"000"&amp;ROW(A577)-1,IF(ROW(A577)&lt;101,"00"&amp;ROW(A577)-1,IF(ROW(A577)&lt;1001,"0"&amp;ROW(A577)-1,ROW(A577)-1))),"-OLD"),_xlfn.CONCAT(TEXT(B577,"MMM"),"-",IF(ROW(A577)&lt;473,"000"&amp;ROW(A577)-463,IF(ROW(A577)&lt;563,"00"&amp;ROW(A577)-463,IF(ROW(A577)&lt;1001,"0"&amp;ROW(A577)-463,ROW(A577)-463))))))</f>
        <v>FEB-0114</v>
      </c>
      <c r="B577" s="39">
        <v>45713</v>
      </c>
      <c r="C577" s="5">
        <v>3</v>
      </c>
      <c r="D577" s="5">
        <v>0</v>
      </c>
      <c r="E577" t="s">
        <v>54</v>
      </c>
      <c r="F577" s="2">
        <v>0.33333333333333331</v>
      </c>
      <c r="G577" s="2">
        <v>0.45833333333333331</v>
      </c>
      <c r="H577" s="5">
        <v>1585</v>
      </c>
      <c r="I577" t="s">
        <v>81</v>
      </c>
      <c r="J577" t="s">
        <v>82</v>
      </c>
      <c r="K577" s="5">
        <v>523</v>
      </c>
      <c r="L577" s="5" t="s">
        <v>83</v>
      </c>
      <c r="M577" s="49">
        <v>4.2</v>
      </c>
      <c r="N577" s="6">
        <f>PLANPRODUCCION[[#This Row],[PIEZAS PLANEADAS]]*PLANPRODUCCION[[#This Row],[PRECIO MAQUILAS]]</f>
        <v>2196.6</v>
      </c>
      <c r="O577" s="5">
        <v>0</v>
      </c>
      <c r="P577" s="2">
        <v>0</v>
      </c>
      <c r="Q577" s="2">
        <v>0</v>
      </c>
      <c r="R577" s="5">
        <v>0</v>
      </c>
      <c r="S577" s="7">
        <f>PLANPRODUCCION[[#This Row],[PRECIO MAQUILAS]]*PLANPRODUCCION[[#This Row],[PIEZAS REAL]]</f>
        <v>0</v>
      </c>
      <c r="T57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7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7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7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77" s="8" t="s">
        <v>602</v>
      </c>
      <c r="Y577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7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77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77" s="13">
        <f>IF(PLANPRODUCCION[[#This Row],[PIEZAS REAL]]&gt;0,PLANPRODUCCION[[#This Row],[PIEZAS REAL]]/PLANPRODUCCION[[#This Row],[PIEZAS ACTUALIZADO]],)</f>
        <v>0</v>
      </c>
      <c r="AC577" t="b">
        <f>PLANPRODUCCION[[#This Row],[INGRESO PLANEADO]]&lt;PLANPRODUCCION[[#This Row],[COSTO PLANEADO]]</f>
        <v>0</v>
      </c>
      <c r="AD577" s="46" t="s">
        <v>741</v>
      </c>
      <c r="AF577" t="b">
        <f>IF(COUNTIF(PLANPRODUCCION[[#This Row],[OBSERVACIONES]],"NO APLICA BONO*")&gt;0,TRUE,FALSE)</f>
        <v>0</v>
      </c>
    </row>
    <row r="578" spans="1:32" x14ac:dyDescent="0.25">
      <c r="A578" s="46" t="str">
        <f>UPPER(IF(PLANPRODUCCION[[#This Row],[FECHA]]&lt;=45701,_xlfn.CONCAT(TEXT(B578,"MMM"),"-",IF(ROW(A578)&lt;11,"000"&amp;ROW(A578)-1,IF(ROW(A578)&lt;101,"00"&amp;ROW(A578)-1,IF(ROW(A578)&lt;1001,"0"&amp;ROW(A578)-1,ROW(A578)-1))),"-OLD"),_xlfn.CONCAT(TEXT(B578,"MMM"),"-",IF(ROW(A578)&lt;473,"000"&amp;ROW(A578)-463,IF(ROW(A578)&lt;563,"00"&amp;ROW(A578)-463,IF(ROW(A578)&lt;1001,"0"&amp;ROW(A578)-463,ROW(A578)-463))))))</f>
        <v>FEB-0115</v>
      </c>
      <c r="B578" s="39">
        <v>45713</v>
      </c>
      <c r="C578" s="5">
        <v>3</v>
      </c>
      <c r="D578" s="5">
        <v>2</v>
      </c>
      <c r="E578" t="s">
        <v>54</v>
      </c>
      <c r="F578" s="2">
        <v>0.45833333333333331</v>
      </c>
      <c r="G578" s="2">
        <v>0.66666666666666663</v>
      </c>
      <c r="H578" s="5">
        <v>1582</v>
      </c>
      <c r="I578" t="s">
        <v>642</v>
      </c>
      <c r="J578" t="s">
        <v>643</v>
      </c>
      <c r="K578" s="5">
        <v>75</v>
      </c>
      <c r="L578" s="5" t="s">
        <v>283</v>
      </c>
      <c r="M578" s="49">
        <v>26.5</v>
      </c>
      <c r="N578" s="6">
        <f>PLANPRODUCCION[[#This Row],[PIEZAS PLANEADAS]]*PLANPRODUCCION[[#This Row],[PRECIO MAQUILAS]]</f>
        <v>1987.5</v>
      </c>
      <c r="O578" s="5">
        <v>2</v>
      </c>
      <c r="P578" s="2">
        <v>0.5</v>
      </c>
      <c r="Q578" s="2">
        <v>0.66666666666666663</v>
      </c>
      <c r="R578" s="5">
        <v>34</v>
      </c>
      <c r="S578" s="7">
        <f>PLANPRODUCCION[[#This Row],[PRECIO MAQUILAS]]*PLANPRODUCCION[[#This Row],[PIEZAS REAL]]</f>
        <v>901</v>
      </c>
      <c r="T57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40</v>
      </c>
      <c r="U57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57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496</v>
      </c>
      <c r="W57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405</v>
      </c>
      <c r="X578" s="8" t="s">
        <v>602</v>
      </c>
      <c r="Y57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7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7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78" s="13">
        <f>IF(PLANPRODUCCION[[#This Row],[PIEZAS REAL]]&gt;0,PLANPRODUCCION[[#This Row],[PIEZAS REAL]]/PLANPRODUCCION[[#This Row],[PIEZAS ACTUALIZADO]],)</f>
        <v>0.85</v>
      </c>
      <c r="AC578" t="b">
        <f>PLANPRODUCCION[[#This Row],[INGRESO PLANEADO]]&lt;PLANPRODUCCION[[#This Row],[COSTO PLANEADO]]</f>
        <v>0</v>
      </c>
      <c r="AD578" s="46" t="s">
        <v>742</v>
      </c>
      <c r="AF578" t="b">
        <f>IF(COUNTIF(PLANPRODUCCION[[#This Row],[OBSERVACIONES]],"NO APLICA BONO*")&gt;0,TRUE,FALSE)</f>
        <v>0</v>
      </c>
    </row>
    <row r="579" spans="1:32" x14ac:dyDescent="0.25">
      <c r="A579" s="46" t="str">
        <f>UPPER(IF(PLANPRODUCCION[[#This Row],[FECHA]]&lt;=45701,_xlfn.CONCAT(TEXT(B579,"MMM"),"-",IF(ROW(A579)&lt;11,"000"&amp;ROW(A579)-1,IF(ROW(A579)&lt;101,"00"&amp;ROW(A579)-1,IF(ROW(A579)&lt;1001,"0"&amp;ROW(A579)-1,ROW(A579)-1))),"-OLD"),_xlfn.CONCAT(TEXT(B579,"MMM"),"-",IF(ROW(A579)&lt;473,"000"&amp;ROW(A579)-463,IF(ROW(A579)&lt;563,"00"&amp;ROW(A579)-463,IF(ROW(A579)&lt;1001,"0"&amp;ROW(A579)-463,ROW(A579)-463))))))</f>
        <v>FEB-0116</v>
      </c>
      <c r="B579" s="39">
        <v>45713</v>
      </c>
      <c r="C579" s="5">
        <v>3</v>
      </c>
      <c r="D579" s="5">
        <v>2</v>
      </c>
      <c r="E579" t="s">
        <v>54</v>
      </c>
      <c r="F579" s="2">
        <v>0.25</v>
      </c>
      <c r="G579" s="2">
        <v>0.33333333333333331</v>
      </c>
      <c r="H579" s="5">
        <v>1582</v>
      </c>
      <c r="I579" t="s">
        <v>642</v>
      </c>
      <c r="J579" t="s">
        <v>643</v>
      </c>
      <c r="K579" s="5">
        <v>30</v>
      </c>
      <c r="L579" s="5" t="s">
        <v>283</v>
      </c>
      <c r="M579" s="49">
        <v>26.5</v>
      </c>
      <c r="N579" s="6">
        <f>PLANPRODUCCION[[#This Row],[PIEZAS PLANEADAS]]*PLANPRODUCCION[[#This Row],[PRECIO MAQUILAS]]</f>
        <v>795</v>
      </c>
      <c r="O579" s="5">
        <v>2</v>
      </c>
      <c r="P579" s="2">
        <v>0.25</v>
      </c>
      <c r="Q579" s="2">
        <v>0.33333333333333331</v>
      </c>
      <c r="R579" s="5">
        <v>20</v>
      </c>
      <c r="S579" s="7">
        <f>PLANPRODUCCION[[#This Row],[PRECIO MAQUILAS]]*PLANPRODUCCION[[#This Row],[PIEZAS REAL]]</f>
        <v>530</v>
      </c>
      <c r="T57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</v>
      </c>
      <c r="U57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</v>
      </c>
      <c r="V57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57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282</v>
      </c>
      <c r="X579" s="8" t="s">
        <v>602</v>
      </c>
      <c r="Y57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7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7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79" s="13">
        <f>IF(PLANPRODUCCION[[#This Row],[PIEZAS REAL]]&gt;0,PLANPRODUCCION[[#This Row],[PIEZAS REAL]]/PLANPRODUCCION[[#This Row],[PIEZAS ACTUALIZADO]],)</f>
        <v>1</v>
      </c>
      <c r="AC579" t="b">
        <f>PLANPRODUCCION[[#This Row],[INGRESO PLANEADO]]&lt;PLANPRODUCCION[[#This Row],[COSTO PLANEADO]]</f>
        <v>0</v>
      </c>
      <c r="AD579" s="46" t="s">
        <v>743</v>
      </c>
      <c r="AF579" t="b">
        <f>IF(COUNTIF(PLANPRODUCCION[[#This Row],[OBSERVACIONES]],"NO APLICA BONO*")&gt;0,TRUE,FALSE)</f>
        <v>0</v>
      </c>
    </row>
    <row r="580" spans="1:32" x14ac:dyDescent="0.25">
      <c r="A580" s="46" t="str">
        <f>UPPER(IF(PLANPRODUCCION[[#This Row],[FECHA]]&lt;=45701,_xlfn.CONCAT(TEXT(B580,"MMM"),"-",IF(ROW(A580)&lt;11,"000"&amp;ROW(A580)-1,IF(ROW(A580)&lt;101,"00"&amp;ROW(A580)-1,IF(ROW(A580)&lt;1001,"0"&amp;ROW(A580)-1,ROW(A580)-1))),"-OLD"),_xlfn.CONCAT(TEXT(B580,"MMM"),"-",IF(ROW(A580)&lt;473,"000"&amp;ROW(A580)-463,IF(ROW(A580)&lt;563,"00"&amp;ROW(A580)-463,IF(ROW(A580)&lt;1001,"0"&amp;ROW(A580)-463,ROW(A580)-463))))))</f>
        <v>FEB-0117</v>
      </c>
      <c r="B580" s="39">
        <v>45713</v>
      </c>
      <c r="C580" s="5">
        <v>3</v>
      </c>
      <c r="D580" s="5">
        <v>0</v>
      </c>
      <c r="E580" t="s">
        <v>54</v>
      </c>
      <c r="F580" s="2">
        <v>0.33333333333333331</v>
      </c>
      <c r="G580" s="2">
        <v>0.45833333333333331</v>
      </c>
      <c r="H580" s="5">
        <v>1585</v>
      </c>
      <c r="I580" t="s">
        <v>81</v>
      </c>
      <c r="J580" t="s">
        <v>82</v>
      </c>
      <c r="K580" s="5">
        <v>523</v>
      </c>
      <c r="L580" s="5" t="s">
        <v>83</v>
      </c>
      <c r="M580" s="49">
        <v>4.2</v>
      </c>
      <c r="N580" s="6">
        <f>PLANPRODUCCION[[#This Row],[PIEZAS PLANEADAS]]*PLANPRODUCCION[[#This Row],[PRECIO MAQUILAS]]</f>
        <v>2196.6</v>
      </c>
      <c r="O580" s="5">
        <v>0</v>
      </c>
      <c r="P580" s="2">
        <v>0</v>
      </c>
      <c r="Q580" s="2">
        <v>0</v>
      </c>
      <c r="R580" s="5">
        <v>0</v>
      </c>
      <c r="S580" s="7">
        <f>PLANPRODUCCION[[#This Row],[PRECIO MAQUILAS]]*PLANPRODUCCION[[#This Row],[PIEZAS REAL]]</f>
        <v>0</v>
      </c>
      <c r="T58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8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8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8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80" s="8" t="s">
        <v>602</v>
      </c>
      <c r="Y580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8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80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80" s="13">
        <f>IF(PLANPRODUCCION[[#This Row],[PIEZAS REAL]]&gt;0,PLANPRODUCCION[[#This Row],[PIEZAS REAL]]/PLANPRODUCCION[[#This Row],[PIEZAS ACTUALIZADO]],)</f>
        <v>0</v>
      </c>
      <c r="AC580" t="b">
        <f>PLANPRODUCCION[[#This Row],[INGRESO PLANEADO]]&lt;PLANPRODUCCION[[#This Row],[COSTO PLANEADO]]</f>
        <v>0</v>
      </c>
      <c r="AD580" s="46" t="s">
        <v>744</v>
      </c>
      <c r="AF580" t="b">
        <f>IF(COUNTIF(PLANPRODUCCION[[#This Row],[OBSERVACIONES]],"NO APLICA BONO*")&gt;0,TRUE,FALSE)</f>
        <v>0</v>
      </c>
    </row>
    <row r="581" spans="1:32" x14ac:dyDescent="0.25">
      <c r="A581" s="46" t="str">
        <f>UPPER(IF(PLANPRODUCCION[[#This Row],[FECHA]]&lt;=45701,_xlfn.CONCAT(TEXT(B581,"MMM"),"-",IF(ROW(A581)&lt;11,"000"&amp;ROW(A581)-1,IF(ROW(A581)&lt;101,"00"&amp;ROW(A581)-1,IF(ROW(A581)&lt;1001,"0"&amp;ROW(A581)-1,ROW(A581)-1))),"-OLD"),_xlfn.CONCAT(TEXT(B581,"MMM"),"-",IF(ROW(A581)&lt;473,"000"&amp;ROW(A581)-463,IF(ROW(A581)&lt;563,"00"&amp;ROW(A581)-463,IF(ROW(A581)&lt;1001,"0"&amp;ROW(A581)-463,ROW(A581)-463))))))</f>
        <v>FEB-0118</v>
      </c>
      <c r="B581" s="39">
        <v>45713</v>
      </c>
      <c r="C581" s="5">
        <v>3</v>
      </c>
      <c r="D581" s="5">
        <v>1</v>
      </c>
      <c r="E581" t="s">
        <v>54</v>
      </c>
      <c r="F581" s="2">
        <v>0.45833333333333331</v>
      </c>
      <c r="G581" s="2">
        <v>0.66666666666666663</v>
      </c>
      <c r="H581" s="5">
        <v>1582</v>
      </c>
      <c r="I581" t="s">
        <v>642</v>
      </c>
      <c r="J581" t="s">
        <v>643</v>
      </c>
      <c r="K581" s="5">
        <v>75</v>
      </c>
      <c r="L581" s="5" t="s">
        <v>283</v>
      </c>
      <c r="M581" s="49">
        <v>26.5</v>
      </c>
      <c r="N581" s="6">
        <f>PLANPRODUCCION[[#This Row],[PIEZAS PLANEADAS]]*PLANPRODUCCION[[#This Row],[PRECIO MAQUILAS]]</f>
        <v>1987.5</v>
      </c>
      <c r="O581" s="5">
        <v>2</v>
      </c>
      <c r="P581" s="2">
        <v>0.5</v>
      </c>
      <c r="Q581" s="2">
        <v>0.66666666666666663</v>
      </c>
      <c r="R581" s="5">
        <v>36</v>
      </c>
      <c r="S581" s="7">
        <f>PLANPRODUCCION[[#This Row],[PRECIO MAQUILAS]]*PLANPRODUCCION[[#This Row],[PIEZAS REAL]]</f>
        <v>954</v>
      </c>
      <c r="T58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40</v>
      </c>
      <c r="U58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58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496</v>
      </c>
      <c r="W58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458</v>
      </c>
      <c r="X581" s="8" t="s">
        <v>602</v>
      </c>
      <c r="Y58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8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8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81" s="13">
        <f>IF(PLANPRODUCCION[[#This Row],[PIEZAS REAL]]&gt;0,PLANPRODUCCION[[#This Row],[PIEZAS REAL]]/PLANPRODUCCION[[#This Row],[PIEZAS ACTUALIZADO]],)</f>
        <v>0.9</v>
      </c>
      <c r="AC581" t="b">
        <f>PLANPRODUCCION[[#This Row],[INGRESO PLANEADO]]&lt;PLANPRODUCCION[[#This Row],[COSTO PLANEADO]]</f>
        <v>0</v>
      </c>
      <c r="AD581" s="46" t="s">
        <v>745</v>
      </c>
      <c r="AF581" t="b">
        <f>IF(COUNTIF(PLANPRODUCCION[[#This Row],[OBSERVACIONES]],"NO APLICA BONO*")&gt;0,TRUE,FALSE)</f>
        <v>0</v>
      </c>
    </row>
    <row r="582" spans="1:32" x14ac:dyDescent="0.25">
      <c r="A582" s="46" t="str">
        <f>UPPER(IF(PLANPRODUCCION[[#This Row],[FECHA]]&lt;=45701,_xlfn.CONCAT(TEXT(B582,"MMM"),"-",IF(ROW(A582)&lt;11,"000"&amp;ROW(A582)-1,IF(ROW(A582)&lt;101,"00"&amp;ROW(A582)-1,IF(ROW(A582)&lt;1001,"0"&amp;ROW(A582)-1,ROW(A582)-1))),"-OLD"),_xlfn.CONCAT(TEXT(B582,"MMM"),"-",IF(ROW(A582)&lt;473,"000"&amp;ROW(A582)-463,IF(ROW(A582)&lt;563,"00"&amp;ROW(A582)-463,IF(ROW(A582)&lt;1001,"0"&amp;ROW(A582)-463,ROW(A582)-463))))))</f>
        <v>FEB-0119</v>
      </c>
      <c r="B582" s="39">
        <v>45713</v>
      </c>
      <c r="C582" s="5">
        <v>3</v>
      </c>
      <c r="D582" s="5">
        <v>0</v>
      </c>
      <c r="E582" t="s">
        <v>67</v>
      </c>
      <c r="F582" s="2">
        <v>0.33333333333333331</v>
      </c>
      <c r="G582" s="2">
        <v>0.45833333333333331</v>
      </c>
      <c r="H582" s="5">
        <v>1585</v>
      </c>
      <c r="I582" t="s">
        <v>81</v>
      </c>
      <c r="J582" t="s">
        <v>82</v>
      </c>
      <c r="K582" s="5">
        <v>523</v>
      </c>
      <c r="L582" s="5" t="s">
        <v>83</v>
      </c>
      <c r="M582" s="49">
        <v>4.2</v>
      </c>
      <c r="N582" s="6">
        <f>PLANPRODUCCION[[#This Row],[PIEZAS PLANEADAS]]*PLANPRODUCCION[[#This Row],[PRECIO MAQUILAS]]</f>
        <v>2196.6</v>
      </c>
      <c r="O582" s="5">
        <v>0</v>
      </c>
      <c r="P582" s="2">
        <v>0</v>
      </c>
      <c r="Q582" s="2">
        <v>0</v>
      </c>
      <c r="R582" s="5">
        <v>0</v>
      </c>
      <c r="S582" s="7">
        <f>PLANPRODUCCION[[#This Row],[PRECIO MAQUILAS]]*PLANPRODUCCION[[#This Row],[PIEZAS REAL]]</f>
        <v>0</v>
      </c>
      <c r="T58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8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8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8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82" s="8" t="s">
        <v>602</v>
      </c>
      <c r="Y582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8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82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82" s="13">
        <f>IF(PLANPRODUCCION[[#This Row],[PIEZAS REAL]]&gt;0,PLANPRODUCCION[[#This Row],[PIEZAS REAL]]/PLANPRODUCCION[[#This Row],[PIEZAS ACTUALIZADO]],)</f>
        <v>0</v>
      </c>
      <c r="AC582" t="b">
        <f>PLANPRODUCCION[[#This Row],[INGRESO PLANEADO]]&lt;PLANPRODUCCION[[#This Row],[COSTO PLANEADO]]</f>
        <v>0</v>
      </c>
      <c r="AD582" s="46" t="s">
        <v>746</v>
      </c>
      <c r="AF582" t="b">
        <f>IF(COUNTIF(PLANPRODUCCION[[#This Row],[OBSERVACIONES]],"NO APLICA BONO*")&gt;0,TRUE,FALSE)</f>
        <v>0</v>
      </c>
    </row>
    <row r="583" spans="1:32" x14ac:dyDescent="0.25">
      <c r="A583" s="46" t="str">
        <f>UPPER(IF(PLANPRODUCCION[[#This Row],[FECHA]]&lt;=45701,_xlfn.CONCAT(TEXT(B583,"MMM"),"-",IF(ROW(A583)&lt;11,"000"&amp;ROW(A583)-1,IF(ROW(A583)&lt;101,"00"&amp;ROW(A583)-1,IF(ROW(A583)&lt;1001,"0"&amp;ROW(A583)-1,ROW(A583)-1))),"-OLD"),_xlfn.CONCAT(TEXT(B583,"MMM"),"-",IF(ROW(A583)&lt;473,"000"&amp;ROW(A583)-463,IF(ROW(A583)&lt;563,"00"&amp;ROW(A583)-463,IF(ROW(A583)&lt;1001,"0"&amp;ROW(A583)-463,ROW(A583)-463))))))</f>
        <v>FEB-0120</v>
      </c>
      <c r="B583" s="39">
        <v>45713</v>
      </c>
      <c r="C583" s="5">
        <v>3</v>
      </c>
      <c r="D583" s="5">
        <v>3</v>
      </c>
      <c r="E583" t="s">
        <v>67</v>
      </c>
      <c r="F583" s="2">
        <v>0.45833333333333331</v>
      </c>
      <c r="G583" s="2">
        <v>0.75</v>
      </c>
      <c r="H583" s="5">
        <v>1588</v>
      </c>
      <c r="I583" t="s">
        <v>747</v>
      </c>
      <c r="J583" t="s">
        <v>748</v>
      </c>
      <c r="K583" s="5">
        <v>3300</v>
      </c>
      <c r="L583" s="5" t="s">
        <v>57</v>
      </c>
      <c r="M583" s="49">
        <v>0.4</v>
      </c>
      <c r="N583" s="6">
        <f>PLANPRODUCCION[[#This Row],[PIEZAS PLANEADAS]]*PLANPRODUCCION[[#This Row],[PRECIO MAQUILAS]]</f>
        <v>1320</v>
      </c>
      <c r="O583" s="5">
        <v>3</v>
      </c>
      <c r="P583" s="2">
        <v>0.5</v>
      </c>
      <c r="Q583" s="2">
        <v>0.75</v>
      </c>
      <c r="R583" s="5">
        <v>2821</v>
      </c>
      <c r="S583" s="7">
        <f>PLANPRODUCCION[[#This Row],[PRECIO MAQUILAS]]*PLANPRODUCCION[[#This Row],[PIEZAS REAL]]</f>
        <v>1128.4000000000001</v>
      </c>
      <c r="T58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2829</v>
      </c>
      <c r="U58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1302</v>
      </c>
      <c r="V58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1116</v>
      </c>
      <c r="W58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12.400000000000091</v>
      </c>
      <c r="X583" s="8" t="s">
        <v>602</v>
      </c>
      <c r="Y58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8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8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83" s="13">
        <f>IF(PLANPRODUCCION[[#This Row],[PIEZAS REAL]]&gt;0,PLANPRODUCCION[[#This Row],[PIEZAS REAL]]/PLANPRODUCCION[[#This Row],[PIEZAS ACTUALIZADO]],)</f>
        <v>0.99717214563449985</v>
      </c>
      <c r="AC583" t="b">
        <f>PLANPRODUCCION[[#This Row],[INGRESO PLANEADO]]&lt;PLANPRODUCCION[[#This Row],[COSTO PLANEADO]]</f>
        <v>0</v>
      </c>
      <c r="AD583" s="46" t="s">
        <v>749</v>
      </c>
      <c r="AF583" t="b">
        <f>IF(COUNTIF(PLANPRODUCCION[[#This Row],[OBSERVACIONES]],"NO APLICA BONO*")&gt;0,TRUE,FALSE)</f>
        <v>0</v>
      </c>
    </row>
    <row r="584" spans="1:32" x14ac:dyDescent="0.25">
      <c r="A584" s="46" t="str">
        <f>UPPER(IF(PLANPRODUCCION[[#This Row],[FECHA]]&lt;=45701,_xlfn.CONCAT(TEXT(B584,"MMM"),"-",IF(ROW(A584)&lt;11,"000"&amp;ROW(A584)-1,IF(ROW(A584)&lt;101,"00"&amp;ROW(A584)-1,IF(ROW(A584)&lt;1001,"0"&amp;ROW(A584)-1,ROW(A584)-1))),"-OLD"),_xlfn.CONCAT(TEXT(B584,"MMM"),"-",IF(ROW(A584)&lt;473,"000"&amp;ROW(A584)-463,IF(ROW(A584)&lt;563,"00"&amp;ROW(A584)-463,IF(ROW(A584)&lt;1001,"0"&amp;ROW(A584)-463,ROW(A584)-463))))))</f>
        <v>FEB-0121</v>
      </c>
      <c r="B584" s="39">
        <v>45713</v>
      </c>
      <c r="C584" s="5">
        <v>2</v>
      </c>
      <c r="D584" s="5">
        <v>0</v>
      </c>
      <c r="E584" t="s">
        <v>67</v>
      </c>
      <c r="F584" s="2">
        <v>0.33333333333333331</v>
      </c>
      <c r="G584" s="2">
        <v>0.45833333333333331</v>
      </c>
      <c r="H584" s="5">
        <v>1585</v>
      </c>
      <c r="I584" t="s">
        <v>81</v>
      </c>
      <c r="J584" t="s">
        <v>82</v>
      </c>
      <c r="K584" s="5">
        <v>351</v>
      </c>
      <c r="L584" s="5" t="s">
        <v>83</v>
      </c>
      <c r="M584" s="49">
        <v>4.2</v>
      </c>
      <c r="N584" s="6">
        <f>PLANPRODUCCION[[#This Row],[PIEZAS PLANEADAS]]*PLANPRODUCCION[[#This Row],[PRECIO MAQUILAS]]</f>
        <v>1474.2</v>
      </c>
      <c r="O584" s="5">
        <v>0</v>
      </c>
      <c r="P584" s="2">
        <v>0</v>
      </c>
      <c r="Q584" s="2">
        <v>0</v>
      </c>
      <c r="R584" s="5">
        <v>0</v>
      </c>
      <c r="S584" s="7">
        <f>PLANPRODUCCION[[#This Row],[PRECIO MAQUILAS]]*PLANPRODUCCION[[#This Row],[PIEZAS REAL]]</f>
        <v>0</v>
      </c>
      <c r="T58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8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8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8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84" s="8" t="s">
        <v>602</v>
      </c>
      <c r="Y584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8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84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84" s="13">
        <f>IF(PLANPRODUCCION[[#This Row],[PIEZAS REAL]]&gt;0,PLANPRODUCCION[[#This Row],[PIEZAS REAL]]/PLANPRODUCCION[[#This Row],[PIEZAS ACTUALIZADO]],)</f>
        <v>0</v>
      </c>
      <c r="AC584" t="b">
        <f>PLANPRODUCCION[[#This Row],[INGRESO PLANEADO]]&lt;PLANPRODUCCION[[#This Row],[COSTO PLANEADO]]</f>
        <v>0</v>
      </c>
      <c r="AD584" s="46" t="s">
        <v>750</v>
      </c>
      <c r="AF584" t="b">
        <f>IF(COUNTIF(PLANPRODUCCION[[#This Row],[OBSERVACIONES]],"NO APLICA BONO*")&gt;0,TRUE,FALSE)</f>
        <v>0</v>
      </c>
    </row>
    <row r="585" spans="1:32" x14ac:dyDescent="0.25">
      <c r="A585" s="46" t="str">
        <f>UPPER(IF(PLANPRODUCCION[[#This Row],[FECHA]]&lt;=45701,_xlfn.CONCAT(TEXT(B585,"MMM"),"-",IF(ROW(A585)&lt;11,"000"&amp;ROW(A585)-1,IF(ROW(A585)&lt;101,"00"&amp;ROW(A585)-1,IF(ROW(A585)&lt;1001,"0"&amp;ROW(A585)-1,ROW(A585)-1))),"-OLD"),_xlfn.CONCAT(TEXT(B585,"MMM"),"-",IF(ROW(A585)&lt;473,"000"&amp;ROW(A585)-463,IF(ROW(A585)&lt;563,"00"&amp;ROW(A585)-463,IF(ROW(A585)&lt;1001,"0"&amp;ROW(A585)-463,ROW(A585)-463))))))</f>
        <v>FEB-0122</v>
      </c>
      <c r="B585" s="39">
        <v>45713</v>
      </c>
      <c r="C585" s="5">
        <v>2</v>
      </c>
      <c r="D585" s="5">
        <v>3</v>
      </c>
      <c r="E585" t="s">
        <v>67</v>
      </c>
      <c r="F585" s="2">
        <v>0.45833333333333331</v>
      </c>
      <c r="G585" s="2">
        <v>0.75</v>
      </c>
      <c r="H585" s="5">
        <v>1582</v>
      </c>
      <c r="I585" t="s">
        <v>642</v>
      </c>
      <c r="J585" t="s">
        <v>643</v>
      </c>
      <c r="K585" s="5">
        <v>70</v>
      </c>
      <c r="L585" s="5" t="s">
        <v>283</v>
      </c>
      <c r="M585" s="49">
        <v>26.5</v>
      </c>
      <c r="N585" s="6">
        <f>PLANPRODUCCION[[#This Row],[PIEZAS PLANEADAS]]*PLANPRODUCCION[[#This Row],[PRECIO MAQUILAS]]</f>
        <v>1855</v>
      </c>
      <c r="O585" s="5">
        <v>2</v>
      </c>
      <c r="P585" s="2">
        <v>0.5</v>
      </c>
      <c r="Q585" s="2">
        <v>0.75</v>
      </c>
      <c r="R585" s="5">
        <v>39</v>
      </c>
      <c r="S585" s="7">
        <f>PLANPRODUCCION[[#This Row],[PRECIO MAQUILAS]]*PLANPRODUCCION[[#This Row],[PIEZAS REAL]]</f>
        <v>1033.5</v>
      </c>
      <c r="T58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60</v>
      </c>
      <c r="U58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868</v>
      </c>
      <c r="V58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58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289.5</v>
      </c>
      <c r="X585" s="8" t="s">
        <v>602</v>
      </c>
      <c r="Y58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8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8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85" s="13">
        <f>IF(PLANPRODUCCION[[#This Row],[PIEZAS REAL]]&gt;0,PLANPRODUCCION[[#This Row],[PIEZAS REAL]]/PLANPRODUCCION[[#This Row],[PIEZAS ACTUALIZADO]],)</f>
        <v>0.65</v>
      </c>
      <c r="AC585" t="b">
        <f>PLANPRODUCCION[[#This Row],[INGRESO PLANEADO]]&lt;PLANPRODUCCION[[#This Row],[COSTO PLANEADO]]</f>
        <v>0</v>
      </c>
      <c r="AD585" s="46" t="s">
        <v>751</v>
      </c>
      <c r="AF585" t="b">
        <f>IF(COUNTIF(PLANPRODUCCION[[#This Row],[OBSERVACIONES]],"NO APLICA BONO*")&gt;0,TRUE,FALSE)</f>
        <v>0</v>
      </c>
    </row>
    <row r="586" spans="1:32" x14ac:dyDescent="0.25">
      <c r="A586" s="46" t="str">
        <f>UPPER(IF(PLANPRODUCCION[[#This Row],[FECHA]]&lt;=45701,_xlfn.CONCAT(TEXT(B586,"MMM"),"-",IF(ROW(A586)&lt;11,"000"&amp;ROW(A586)-1,IF(ROW(A586)&lt;101,"00"&amp;ROW(A586)-1,IF(ROW(A586)&lt;1001,"0"&amp;ROW(A586)-1,ROW(A586)-1))),"-OLD"),_xlfn.CONCAT(TEXT(B586,"MMM"),"-",IF(ROW(A586)&lt;473,"000"&amp;ROW(A586)-463,IF(ROW(A586)&lt;563,"00"&amp;ROW(A586)-463,IF(ROW(A586)&lt;1001,"0"&amp;ROW(A586)-463,ROW(A586)-463))))))</f>
        <v>FEB-0123</v>
      </c>
      <c r="B586" s="39">
        <v>45713</v>
      </c>
      <c r="C586" s="5">
        <v>3</v>
      </c>
      <c r="D586" s="5">
        <v>10</v>
      </c>
      <c r="E586" t="s">
        <v>110</v>
      </c>
      <c r="F586" s="2">
        <v>0.54166666666666663</v>
      </c>
      <c r="G586" s="2">
        <v>0.875</v>
      </c>
      <c r="H586" s="5">
        <v>1582</v>
      </c>
      <c r="I586" t="s">
        <v>642</v>
      </c>
      <c r="J586" t="s">
        <v>643</v>
      </c>
      <c r="K586" s="5">
        <v>120</v>
      </c>
      <c r="L586" s="5" t="s">
        <v>283</v>
      </c>
      <c r="M586" s="49">
        <v>26.5</v>
      </c>
      <c r="N586" s="6">
        <f>PLANPRODUCCION[[#This Row],[PIEZAS PLANEADAS]]*PLANPRODUCCION[[#This Row],[PRECIO MAQUILAS]]</f>
        <v>3180</v>
      </c>
      <c r="O586" s="5">
        <v>3</v>
      </c>
      <c r="P586" s="2">
        <v>0.54166666666666663</v>
      </c>
      <c r="Q586" s="2">
        <v>0.875</v>
      </c>
      <c r="R586" s="5">
        <v>90</v>
      </c>
      <c r="S586" s="7">
        <f>PLANPRODUCCION[[#This Row],[PRECIO MAQUILAS]]*PLANPRODUCCION[[#This Row],[PIEZAS REAL]]</f>
        <v>2385</v>
      </c>
      <c r="T58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120</v>
      </c>
      <c r="U58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8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58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525</v>
      </c>
      <c r="X586" s="8" t="s">
        <v>602</v>
      </c>
      <c r="Y586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8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8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86" s="13">
        <f>IF(PLANPRODUCCION[[#This Row],[PIEZAS REAL]]&gt;0,PLANPRODUCCION[[#This Row],[PIEZAS REAL]]/PLANPRODUCCION[[#This Row],[PIEZAS ACTUALIZADO]],)</f>
        <v>0.75</v>
      </c>
      <c r="AC586" t="b">
        <f>PLANPRODUCCION[[#This Row],[INGRESO PLANEADO]]&lt;PLANPRODUCCION[[#This Row],[COSTO PLANEADO]]</f>
        <v>0</v>
      </c>
      <c r="AD586" s="46" t="s">
        <v>752</v>
      </c>
      <c r="AF586" t="b">
        <f>IF(COUNTIF(PLANPRODUCCION[[#This Row],[OBSERVACIONES]],"NO APLICA BONO*")&gt;0,TRUE,FALSE)</f>
        <v>0</v>
      </c>
    </row>
    <row r="587" spans="1:32" x14ac:dyDescent="0.25">
      <c r="A587" s="46" t="str">
        <f>UPPER(IF(PLANPRODUCCION[[#This Row],[FECHA]]&lt;=45701,_xlfn.CONCAT(TEXT(B587,"MMM"),"-",IF(ROW(A587)&lt;11,"000"&amp;ROW(A587)-1,IF(ROW(A587)&lt;101,"00"&amp;ROW(A587)-1,IF(ROW(A587)&lt;1001,"0"&amp;ROW(A587)-1,ROW(A587)-1))),"-OLD"),_xlfn.CONCAT(TEXT(B587,"MMM"),"-",IF(ROW(A587)&lt;473,"000"&amp;ROW(A587)-463,IF(ROW(A587)&lt;563,"00"&amp;ROW(A587)-463,IF(ROW(A587)&lt;1001,"0"&amp;ROW(A587)-463,ROW(A587)-463))))))</f>
        <v>FEB-0124</v>
      </c>
      <c r="B587" s="39">
        <v>45713</v>
      </c>
      <c r="C587" s="5">
        <v>3</v>
      </c>
      <c r="D587" s="5">
        <v>6</v>
      </c>
      <c r="E587" t="s">
        <v>110</v>
      </c>
      <c r="F587" s="2">
        <v>0.54166666666666663</v>
      </c>
      <c r="G587" s="2">
        <v>0.875</v>
      </c>
      <c r="H587" s="5">
        <v>1582</v>
      </c>
      <c r="I587" t="s">
        <v>642</v>
      </c>
      <c r="J587" t="s">
        <v>643</v>
      </c>
      <c r="K587" s="5">
        <v>120</v>
      </c>
      <c r="L587" s="5" t="s">
        <v>283</v>
      </c>
      <c r="M587" s="49">
        <v>26.5</v>
      </c>
      <c r="N587" s="6">
        <f>PLANPRODUCCION[[#This Row],[PIEZAS PLANEADAS]]*PLANPRODUCCION[[#This Row],[PRECIO MAQUILAS]]</f>
        <v>3180</v>
      </c>
      <c r="O587" s="5">
        <v>2</v>
      </c>
      <c r="P587" s="2">
        <v>0.54166666666666663</v>
      </c>
      <c r="Q587" s="2">
        <v>0.875</v>
      </c>
      <c r="R587" s="5">
        <v>80</v>
      </c>
      <c r="S587" s="7">
        <f>PLANPRODUCCION[[#This Row],[PRECIO MAQUILAS]]*PLANPRODUCCION[[#This Row],[PIEZAS REAL]]</f>
        <v>2120</v>
      </c>
      <c r="T58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80</v>
      </c>
      <c r="U58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8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58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880</v>
      </c>
      <c r="X587" s="8" t="s">
        <v>602</v>
      </c>
      <c r="Y58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8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8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87" s="13">
        <f>IF(PLANPRODUCCION[[#This Row],[PIEZAS REAL]]&gt;0,PLANPRODUCCION[[#This Row],[PIEZAS REAL]]/PLANPRODUCCION[[#This Row],[PIEZAS ACTUALIZADO]],)</f>
        <v>1</v>
      </c>
      <c r="AC587" t="b">
        <f>PLANPRODUCCION[[#This Row],[INGRESO PLANEADO]]&lt;PLANPRODUCCION[[#This Row],[COSTO PLANEADO]]</f>
        <v>0</v>
      </c>
      <c r="AD587" s="46" t="s">
        <v>753</v>
      </c>
      <c r="AF587" t="b">
        <f>IF(COUNTIF(PLANPRODUCCION[[#This Row],[OBSERVACIONES]],"NO APLICA BONO*")&gt;0,TRUE,FALSE)</f>
        <v>0</v>
      </c>
    </row>
    <row r="588" spans="1:32" x14ac:dyDescent="0.25">
      <c r="A588" s="46" t="str">
        <f>UPPER(IF(PLANPRODUCCION[[#This Row],[FECHA]]&lt;=45701,_xlfn.CONCAT(TEXT(B588,"MMM"),"-",IF(ROW(A588)&lt;11,"000"&amp;ROW(A588)-1,IF(ROW(A588)&lt;101,"00"&amp;ROW(A588)-1,IF(ROW(A588)&lt;1001,"0"&amp;ROW(A588)-1,ROW(A588)-1))),"-OLD"),_xlfn.CONCAT(TEXT(B588,"MMM"),"-",IF(ROW(A588)&lt;473,"000"&amp;ROW(A588)-463,IF(ROW(A588)&lt;563,"00"&amp;ROW(A588)-463,IF(ROW(A588)&lt;1001,"0"&amp;ROW(A588)-463,ROW(A588)-463))))))</f>
        <v>FEB-0125</v>
      </c>
      <c r="B588" s="39">
        <v>45713</v>
      </c>
      <c r="C588" s="5">
        <v>1</v>
      </c>
      <c r="D588" s="5">
        <v>9</v>
      </c>
      <c r="E588" t="s">
        <v>72</v>
      </c>
      <c r="F588" s="2">
        <v>0.66666666666666663</v>
      </c>
      <c r="G588" s="2">
        <v>0.875</v>
      </c>
      <c r="H588" s="5">
        <v>1587</v>
      </c>
      <c r="I588" t="s">
        <v>735</v>
      </c>
      <c r="J588" t="s">
        <v>736</v>
      </c>
      <c r="K588" s="5">
        <v>750</v>
      </c>
      <c r="L588" s="5" t="s">
        <v>57</v>
      </c>
      <c r="M588" s="49">
        <v>1</v>
      </c>
      <c r="N588" s="6">
        <f>PLANPRODUCCION[[#This Row],[PIEZAS PLANEADAS]]*PLANPRODUCCION[[#This Row],[PRECIO MAQUILAS]]</f>
        <v>750</v>
      </c>
      <c r="O588" s="5">
        <v>1</v>
      </c>
      <c r="P588" s="2">
        <v>0.66666666666666663</v>
      </c>
      <c r="Q588" s="2">
        <v>0.875</v>
      </c>
      <c r="R588" s="5">
        <v>663</v>
      </c>
      <c r="S588" s="7">
        <f>PLANPRODUCCION[[#This Row],[PRECIO MAQUILAS]]*PLANPRODUCCION[[#This Row],[PIEZAS REAL]]</f>
        <v>663</v>
      </c>
      <c r="T58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750</v>
      </c>
      <c r="U58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310</v>
      </c>
      <c r="V58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58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353</v>
      </c>
      <c r="X588" s="8" t="s">
        <v>602</v>
      </c>
      <c r="Y588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8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8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88" s="13">
        <f>IF(PLANPRODUCCION[[#This Row],[PIEZAS REAL]]&gt;0,PLANPRODUCCION[[#This Row],[PIEZAS REAL]]/PLANPRODUCCION[[#This Row],[PIEZAS ACTUALIZADO]],)</f>
        <v>0.88400000000000001</v>
      </c>
      <c r="AC588" t="b">
        <f>PLANPRODUCCION[[#This Row],[INGRESO PLANEADO]]&lt;PLANPRODUCCION[[#This Row],[COSTO PLANEADO]]</f>
        <v>0</v>
      </c>
      <c r="AD588" s="46" t="s">
        <v>754</v>
      </c>
      <c r="AF588" t="b">
        <f>IF(COUNTIF(PLANPRODUCCION[[#This Row],[OBSERVACIONES]],"NO APLICA BONO*")&gt;0,TRUE,FALSE)</f>
        <v>0</v>
      </c>
    </row>
    <row r="589" spans="1:32" x14ac:dyDescent="0.25">
      <c r="A589" s="46" t="str">
        <f>UPPER(IF(PLANPRODUCCION[[#This Row],[FECHA]]&lt;=45701,_xlfn.CONCAT(TEXT(B589,"MMM"),"-",IF(ROW(A589)&lt;11,"000"&amp;ROW(A589)-1,IF(ROW(A589)&lt;101,"00"&amp;ROW(A589)-1,IF(ROW(A589)&lt;1001,"0"&amp;ROW(A589)-1,ROW(A589)-1))),"-OLD"),_xlfn.CONCAT(TEXT(B589,"MMM"),"-",IF(ROW(A589)&lt;473,"000"&amp;ROW(A589)-463,IF(ROW(A589)&lt;563,"00"&amp;ROW(A589)-463,IF(ROW(A589)&lt;1001,"0"&amp;ROW(A589)-463,ROW(A589)-463))))))</f>
        <v>FEB-0126</v>
      </c>
      <c r="B589" s="39">
        <v>45713</v>
      </c>
      <c r="C589" s="5">
        <v>3</v>
      </c>
      <c r="D589" s="5">
        <v>0</v>
      </c>
      <c r="E589" t="s">
        <v>72</v>
      </c>
      <c r="F589" s="2">
        <v>0.66666666666666663</v>
      </c>
      <c r="G589" s="2">
        <v>0.875</v>
      </c>
      <c r="H589" s="5">
        <v>1582</v>
      </c>
      <c r="I589" t="s">
        <v>642</v>
      </c>
      <c r="J589" t="s">
        <v>643</v>
      </c>
      <c r="K589" s="5">
        <v>75</v>
      </c>
      <c r="L589" s="5" t="s">
        <v>283</v>
      </c>
      <c r="M589" s="49">
        <v>26.5</v>
      </c>
      <c r="N589" s="6">
        <f>PLANPRODUCCION[[#This Row],[PIEZAS PLANEADAS]]*PLANPRODUCCION[[#This Row],[PRECIO MAQUILAS]]</f>
        <v>1987.5</v>
      </c>
      <c r="O589" s="5">
        <v>0</v>
      </c>
      <c r="P589" s="2">
        <v>0</v>
      </c>
      <c r="Q589" s="2">
        <v>0</v>
      </c>
      <c r="R589" s="5">
        <v>0</v>
      </c>
      <c r="S589" s="7">
        <f>PLANPRODUCCION[[#This Row],[PRECIO MAQUILAS]]*PLANPRODUCCION[[#This Row],[PIEZAS REAL]]</f>
        <v>0</v>
      </c>
      <c r="T58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8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8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8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89" s="8" t="s">
        <v>602</v>
      </c>
      <c r="Y589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8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89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89" s="13">
        <f>IF(PLANPRODUCCION[[#This Row],[PIEZAS REAL]]&gt;0,PLANPRODUCCION[[#This Row],[PIEZAS REAL]]/PLANPRODUCCION[[#This Row],[PIEZAS ACTUALIZADO]],)</f>
        <v>0</v>
      </c>
      <c r="AC589" t="b">
        <f>PLANPRODUCCION[[#This Row],[INGRESO PLANEADO]]&lt;PLANPRODUCCION[[#This Row],[COSTO PLANEADO]]</f>
        <v>0</v>
      </c>
      <c r="AD589" s="46" t="s">
        <v>755</v>
      </c>
      <c r="AF589" t="b">
        <f>IF(COUNTIF(PLANPRODUCCION[[#This Row],[OBSERVACIONES]],"NO APLICA BONO*")&gt;0,TRUE,FALSE)</f>
        <v>0</v>
      </c>
    </row>
    <row r="590" spans="1:32" x14ac:dyDescent="0.25">
      <c r="A590" s="46" t="str">
        <f>UPPER(IF(PLANPRODUCCION[[#This Row],[FECHA]]&lt;=45701,_xlfn.CONCAT(TEXT(B590,"MMM"),"-",IF(ROW(A590)&lt;11,"000"&amp;ROW(A590)-1,IF(ROW(A590)&lt;101,"00"&amp;ROW(A590)-1,IF(ROW(A590)&lt;1001,"0"&amp;ROW(A590)-1,ROW(A590)-1))),"-OLD"),_xlfn.CONCAT(TEXT(B590,"MMM"),"-",IF(ROW(A590)&lt;473,"000"&amp;ROW(A590)-463,IF(ROW(A590)&lt;563,"00"&amp;ROW(A590)-463,IF(ROW(A590)&lt;1001,"0"&amp;ROW(A590)-463,ROW(A590)-463))))))</f>
        <v>FEB-0127</v>
      </c>
      <c r="B590" s="39">
        <v>45713</v>
      </c>
      <c r="C590" s="5">
        <v>2</v>
      </c>
      <c r="D590" s="5">
        <v>1</v>
      </c>
      <c r="E590" t="s">
        <v>72</v>
      </c>
      <c r="F590" s="2">
        <v>0.66666666666666663</v>
      </c>
      <c r="G590" s="2">
        <v>0.875</v>
      </c>
      <c r="H590" s="5">
        <v>1588</v>
      </c>
      <c r="I590" t="s">
        <v>747</v>
      </c>
      <c r="J590" t="s">
        <v>748</v>
      </c>
      <c r="K590" s="5">
        <v>1600</v>
      </c>
      <c r="L590" s="5" t="s">
        <v>57</v>
      </c>
      <c r="M590" s="49">
        <v>0.4</v>
      </c>
      <c r="N590" s="6">
        <f>PLANPRODUCCION[[#This Row],[PIEZAS PLANEADAS]]*PLANPRODUCCION[[#This Row],[PRECIO MAQUILAS]]</f>
        <v>640</v>
      </c>
      <c r="O590" s="5">
        <v>3</v>
      </c>
      <c r="P590" s="2">
        <v>0.66666666666666663</v>
      </c>
      <c r="Q590" s="2">
        <v>0.875</v>
      </c>
      <c r="R590" s="5">
        <v>2579</v>
      </c>
      <c r="S590" s="7">
        <f>PLANPRODUCCION[[#This Row],[PRECIO MAQUILAS]]*PLANPRODUCCION[[#This Row],[PIEZAS REAL]]</f>
        <v>1031.6000000000001</v>
      </c>
      <c r="T59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2400</v>
      </c>
      <c r="U59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59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59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101.60000000000014</v>
      </c>
      <c r="X590" s="8" t="s">
        <v>602</v>
      </c>
      <c r="Y59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9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9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90" s="13">
        <f>IF(PLANPRODUCCION[[#This Row],[PIEZAS REAL]]&gt;0,PLANPRODUCCION[[#This Row],[PIEZAS REAL]]/PLANPRODUCCION[[#This Row],[PIEZAS ACTUALIZADO]],)</f>
        <v>1.0745833333333332</v>
      </c>
      <c r="AC590" t="b">
        <f>PLANPRODUCCION[[#This Row],[INGRESO PLANEADO]]&lt;PLANPRODUCCION[[#This Row],[COSTO PLANEADO]]</f>
        <v>0</v>
      </c>
      <c r="AD590" s="46" t="s">
        <v>756</v>
      </c>
      <c r="AF590" t="b">
        <f>IF(COUNTIF(PLANPRODUCCION[[#This Row],[OBSERVACIONES]],"NO APLICA BONO*")&gt;0,TRUE,FALSE)</f>
        <v>0</v>
      </c>
    </row>
    <row r="591" spans="1:32" x14ac:dyDescent="0.25">
      <c r="A591" s="46" t="str">
        <f>UPPER(IF(PLANPRODUCCION[[#This Row],[FECHA]]&lt;=45701,_xlfn.CONCAT(TEXT(B591,"MMM"),"-",IF(ROW(A591)&lt;11,"000"&amp;ROW(A591)-1,IF(ROW(A591)&lt;101,"00"&amp;ROW(A591)-1,IF(ROW(A591)&lt;1001,"0"&amp;ROW(A591)-1,ROW(A591)-1))),"-OLD"),_xlfn.CONCAT(TEXT(B591,"MMM"),"-",IF(ROW(A591)&lt;473,"000"&amp;ROW(A591)-463,IF(ROW(A591)&lt;563,"00"&amp;ROW(A591)-463,IF(ROW(A591)&lt;1001,"0"&amp;ROW(A591)-463,ROW(A591)-463))))))</f>
        <v>FEB-0128</v>
      </c>
      <c r="B591" s="39">
        <v>45713</v>
      </c>
      <c r="C591" s="5">
        <v>6</v>
      </c>
      <c r="D591" s="5" t="s">
        <v>666</v>
      </c>
      <c r="E591" t="s">
        <v>75</v>
      </c>
      <c r="F591" s="2">
        <v>0.875</v>
      </c>
      <c r="G591" s="2">
        <v>0.25</v>
      </c>
      <c r="H591" s="5">
        <v>1522</v>
      </c>
      <c r="I591" t="s">
        <v>434</v>
      </c>
      <c r="J591" t="s">
        <v>441</v>
      </c>
      <c r="K591" s="5">
        <v>324</v>
      </c>
      <c r="L591" s="10" t="s">
        <v>283</v>
      </c>
      <c r="M591" s="49">
        <v>15</v>
      </c>
      <c r="N591" s="6">
        <f>PLANPRODUCCION[[#This Row],[PIEZAS PLANEADAS]]*PLANPRODUCCION[[#This Row],[PRECIO MAQUILAS]]</f>
        <v>4860</v>
      </c>
      <c r="O591" s="5">
        <v>6</v>
      </c>
      <c r="P591" s="2">
        <v>0.875</v>
      </c>
      <c r="Q591" s="2">
        <v>0.20833333333333334</v>
      </c>
      <c r="R591" s="5">
        <v>336</v>
      </c>
      <c r="S591" s="7">
        <f>PLANPRODUCCION[[#This Row],[PRECIO MAQUILAS]]*PLANPRODUCCION[[#This Row],[PIEZAS REAL]]</f>
        <v>5040</v>
      </c>
      <c r="T59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288</v>
      </c>
      <c r="U59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4500</v>
      </c>
      <c r="V59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4000</v>
      </c>
      <c r="W59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1040</v>
      </c>
      <c r="X591" s="8" t="s">
        <v>602</v>
      </c>
      <c r="Y59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9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9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91" s="13">
        <f>IF(PLANPRODUCCION[[#This Row],[PIEZAS REAL]]&gt;0,PLANPRODUCCION[[#This Row],[PIEZAS REAL]]/PLANPRODUCCION[[#This Row],[PIEZAS ACTUALIZADO]],)</f>
        <v>1.1666666666666667</v>
      </c>
      <c r="AC591" t="b">
        <f>PLANPRODUCCION[[#This Row],[INGRESO PLANEADO]]&lt;PLANPRODUCCION[[#This Row],[COSTO PLANEADO]]</f>
        <v>0</v>
      </c>
      <c r="AD591" s="46" t="s">
        <v>757</v>
      </c>
      <c r="AF591" t="b">
        <f>IF(COUNTIF(PLANPRODUCCION[[#This Row],[OBSERVACIONES]],"NO APLICA BONO*")&gt;0,TRUE,FALSE)</f>
        <v>0</v>
      </c>
    </row>
    <row r="592" spans="1:32" x14ac:dyDescent="0.25">
      <c r="A592" s="46" t="str">
        <f>UPPER(IF(PLANPRODUCCION[[#This Row],[FECHA]]&lt;=45701,_xlfn.CONCAT(TEXT(B592,"MMM"),"-",IF(ROW(A592)&lt;11,"000"&amp;ROW(A592)-1,IF(ROW(A592)&lt;101,"00"&amp;ROW(A592)-1,IF(ROW(A592)&lt;1001,"0"&amp;ROW(A592)-1,ROW(A592)-1))),"-OLD"),_xlfn.CONCAT(TEXT(B592,"MMM"),"-",IF(ROW(A592)&lt;473,"000"&amp;ROW(A592)-463,IF(ROW(A592)&lt;563,"00"&amp;ROW(A592)-463,IF(ROW(A592)&lt;1001,"0"&amp;ROW(A592)-463,ROW(A592)-463))))))</f>
        <v>FEB-0129</v>
      </c>
      <c r="B592" s="39">
        <v>45713</v>
      </c>
      <c r="C592" s="5">
        <v>5</v>
      </c>
      <c r="D592" s="5" t="s">
        <v>666</v>
      </c>
      <c r="E592" t="s">
        <v>75</v>
      </c>
      <c r="F592" s="2">
        <v>0.875</v>
      </c>
      <c r="G592" s="2">
        <v>0.25</v>
      </c>
      <c r="H592" s="5">
        <v>1522</v>
      </c>
      <c r="I592" t="s">
        <v>434</v>
      </c>
      <c r="J592" t="s">
        <v>441</v>
      </c>
      <c r="K592" s="5">
        <v>270</v>
      </c>
      <c r="L592" s="10" t="s">
        <v>283</v>
      </c>
      <c r="M592" s="49">
        <v>15</v>
      </c>
      <c r="N592" s="6">
        <f>PLANPRODUCCION[[#This Row],[PIEZAS PLANEADAS]]*PLANPRODUCCION[[#This Row],[PRECIO MAQUILAS]]</f>
        <v>4050</v>
      </c>
      <c r="O592" s="5">
        <v>0</v>
      </c>
      <c r="P592" s="2">
        <v>0</v>
      </c>
      <c r="Q592" s="2">
        <v>0</v>
      </c>
      <c r="R592" s="5">
        <v>0</v>
      </c>
      <c r="S592" s="7">
        <f>PLANPRODUCCION[[#This Row],[PRECIO MAQUILAS]]*PLANPRODUCCION[[#This Row],[PIEZAS REAL]]</f>
        <v>0</v>
      </c>
      <c r="T59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9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9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9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92" s="8" t="s">
        <v>602</v>
      </c>
      <c r="Y592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9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92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92" s="13">
        <f>IF(PLANPRODUCCION[[#This Row],[PIEZAS REAL]]&gt;0,PLANPRODUCCION[[#This Row],[PIEZAS REAL]]/PLANPRODUCCION[[#This Row],[PIEZAS ACTUALIZADO]],)</f>
        <v>0</v>
      </c>
      <c r="AC592" t="b">
        <f>PLANPRODUCCION[[#This Row],[INGRESO PLANEADO]]&lt;PLANPRODUCCION[[#This Row],[COSTO PLANEADO]]</f>
        <v>0</v>
      </c>
      <c r="AD592" s="46" t="s">
        <v>758</v>
      </c>
      <c r="AF592" t="b">
        <f>IF(COUNTIF(PLANPRODUCCION[[#This Row],[OBSERVACIONES]],"NO APLICA BONO*")&gt;0,TRUE,FALSE)</f>
        <v>0</v>
      </c>
    </row>
    <row r="593" spans="1:32" x14ac:dyDescent="0.25">
      <c r="A593" s="46" t="str">
        <f>UPPER(IF(PLANPRODUCCION[[#This Row],[FECHA]]&lt;=45701,_xlfn.CONCAT(TEXT(B593,"MMM"),"-",IF(ROW(A593)&lt;11,"000"&amp;ROW(A593)-1,IF(ROW(A593)&lt;101,"00"&amp;ROW(A593)-1,IF(ROW(A593)&lt;1001,"0"&amp;ROW(A593)-1,ROW(A593)-1))),"-OLD"),_xlfn.CONCAT(TEXT(B593,"MMM"),"-",IF(ROW(A593)&lt;473,"000"&amp;ROW(A593)-463,IF(ROW(A593)&lt;563,"00"&amp;ROW(A593)-463,IF(ROW(A593)&lt;1001,"0"&amp;ROW(A593)-463,ROW(A593)-463))))))</f>
        <v>FEB-0130</v>
      </c>
      <c r="B593" s="39">
        <v>45713</v>
      </c>
      <c r="C593" s="5">
        <v>1</v>
      </c>
      <c r="D593" s="5">
        <v>0</v>
      </c>
      <c r="E593" t="s">
        <v>75</v>
      </c>
      <c r="F593" s="2">
        <v>0.875</v>
      </c>
      <c r="G593" s="2">
        <v>0.25</v>
      </c>
      <c r="H593" s="5">
        <v>1522</v>
      </c>
      <c r="I593" t="s">
        <v>434</v>
      </c>
      <c r="J593" t="s">
        <v>435</v>
      </c>
      <c r="K593" s="5">
        <v>900</v>
      </c>
      <c r="L593" s="10" t="s">
        <v>57</v>
      </c>
      <c r="M593" s="49">
        <v>0.3</v>
      </c>
      <c r="N593" s="6">
        <f>PLANPRODUCCION[[#This Row],[PIEZAS PLANEADAS]]*PLANPRODUCCION[[#This Row],[PRECIO MAQUILAS]]</f>
        <v>270</v>
      </c>
      <c r="O593" s="5">
        <v>0</v>
      </c>
      <c r="P593" s="2">
        <v>0</v>
      </c>
      <c r="Q593" s="2">
        <v>0</v>
      </c>
      <c r="R593" s="5">
        <v>0</v>
      </c>
      <c r="S593" s="7">
        <f>PLANPRODUCCION[[#This Row],[PRECIO MAQUILAS]]*PLANPRODUCCION[[#This Row],[PIEZAS REAL]]</f>
        <v>0</v>
      </c>
      <c r="T59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9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9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9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93" s="8" t="s">
        <v>602</v>
      </c>
      <c r="Y593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9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93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93" s="13">
        <f>IF(PLANPRODUCCION[[#This Row],[PIEZAS REAL]]&gt;0,PLANPRODUCCION[[#This Row],[PIEZAS REAL]]/PLANPRODUCCION[[#This Row],[PIEZAS ACTUALIZADO]],)</f>
        <v>0</v>
      </c>
      <c r="AC593" t="b">
        <f>PLANPRODUCCION[[#This Row],[INGRESO PLANEADO]]&lt;PLANPRODUCCION[[#This Row],[COSTO PLANEADO]]</f>
        <v>0</v>
      </c>
      <c r="AD593" s="46" t="s">
        <v>759</v>
      </c>
      <c r="AF593" t="b">
        <f>IF(COUNTIF(PLANPRODUCCION[[#This Row],[OBSERVACIONES]],"NO APLICA BONO*")&gt;0,TRUE,FALSE)</f>
        <v>0</v>
      </c>
    </row>
    <row r="594" spans="1:32" x14ac:dyDescent="0.25">
      <c r="A594" s="46" t="str">
        <f>UPPER(IF(PLANPRODUCCION[[#This Row],[FECHA]]&lt;=45701,_xlfn.CONCAT(TEXT(B594,"MMM"),"-",IF(ROW(A594)&lt;11,"000"&amp;ROW(A594)-1,IF(ROW(A594)&lt;101,"00"&amp;ROW(A594)-1,IF(ROW(A594)&lt;1001,"0"&amp;ROW(A594)-1,ROW(A594)-1))),"-OLD"),_xlfn.CONCAT(TEXT(B594,"MMM"),"-",IF(ROW(A594)&lt;473,"000"&amp;ROW(A594)-463,IF(ROW(A594)&lt;563,"00"&amp;ROW(A594)-463,IF(ROW(A594)&lt;1001,"0"&amp;ROW(A594)-463,ROW(A594)-463))))))</f>
        <v>FEB-0131</v>
      </c>
      <c r="B594" s="39">
        <v>45714</v>
      </c>
      <c r="C594" s="5">
        <v>4</v>
      </c>
      <c r="D594" s="5" t="s">
        <v>666</v>
      </c>
      <c r="E594" t="s">
        <v>54</v>
      </c>
      <c r="F594" s="2">
        <v>0.25</v>
      </c>
      <c r="G594" s="2">
        <v>0.375</v>
      </c>
      <c r="H594" s="5">
        <v>1522</v>
      </c>
      <c r="I594" t="s">
        <v>434</v>
      </c>
      <c r="J594" t="s">
        <v>441</v>
      </c>
      <c r="K594" s="5">
        <v>66</v>
      </c>
      <c r="L594" s="10" t="s">
        <v>283</v>
      </c>
      <c r="M594" s="49">
        <v>15</v>
      </c>
      <c r="N594" s="6">
        <f>PLANPRODUCCION[[#This Row],[PIEZAS PLANEADAS]]*PLANPRODUCCION[[#This Row],[PRECIO MAQUILAS]]</f>
        <v>990</v>
      </c>
      <c r="O594" s="5">
        <v>0</v>
      </c>
      <c r="P594" s="2">
        <v>0</v>
      </c>
      <c r="Q594" s="2">
        <v>0</v>
      </c>
      <c r="R594" s="5">
        <v>0</v>
      </c>
      <c r="S594" s="7">
        <f>PLANPRODUCCION[[#This Row],[PRECIO MAQUILAS]]*PLANPRODUCCION[[#This Row],[PIEZAS REAL]]</f>
        <v>0</v>
      </c>
      <c r="T59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59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59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59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594" s="8" t="s">
        <v>602</v>
      </c>
      <c r="Y594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59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594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594" s="13">
        <f>IF(PLANPRODUCCION[[#This Row],[PIEZAS REAL]]&gt;0,PLANPRODUCCION[[#This Row],[PIEZAS REAL]]/PLANPRODUCCION[[#This Row],[PIEZAS ACTUALIZADO]],)</f>
        <v>0</v>
      </c>
      <c r="AC594" t="b">
        <f>PLANPRODUCCION[[#This Row],[INGRESO PLANEADO]]&lt;PLANPRODUCCION[[#This Row],[COSTO PLANEADO]]</f>
        <v>0</v>
      </c>
      <c r="AD594" s="46" t="s">
        <v>760</v>
      </c>
      <c r="AF594" t="b">
        <f>IF(COUNTIF(PLANPRODUCCION[[#This Row],[OBSERVACIONES]],"NO APLICA BONO*")&gt;0,TRUE,FALSE)</f>
        <v>0</v>
      </c>
    </row>
    <row r="595" spans="1:32" x14ac:dyDescent="0.25">
      <c r="A595" s="46" t="str">
        <f>UPPER(IF(PLANPRODUCCION[[#This Row],[FECHA]]&lt;=45701,_xlfn.CONCAT(TEXT(B595,"MMM"),"-",IF(ROW(A595)&lt;11,"000"&amp;ROW(A595)-1,IF(ROW(A595)&lt;101,"00"&amp;ROW(A595)-1,IF(ROW(A595)&lt;1001,"0"&amp;ROW(A595)-1,ROW(A595)-1))),"-OLD"),_xlfn.CONCAT(TEXT(B595,"MMM"),"-",IF(ROW(A595)&lt;473,"000"&amp;ROW(A595)-463,IF(ROW(A595)&lt;563,"00"&amp;ROW(A595)-463,IF(ROW(A595)&lt;1001,"0"&amp;ROW(A595)-463,ROW(A595)-463))))))</f>
        <v>FEB-0132</v>
      </c>
      <c r="B595" s="39">
        <v>45714</v>
      </c>
      <c r="C595" s="5">
        <v>4</v>
      </c>
      <c r="D595" s="5">
        <v>9</v>
      </c>
      <c r="E595" t="s">
        <v>54</v>
      </c>
      <c r="F595" s="2">
        <v>0.375</v>
      </c>
      <c r="G595" s="2">
        <v>0.66666666666666663</v>
      </c>
      <c r="H595" s="5">
        <v>1577</v>
      </c>
      <c r="I595" t="s">
        <v>592</v>
      </c>
      <c r="J595" t="s">
        <v>68</v>
      </c>
      <c r="K595" s="5">
        <v>2520</v>
      </c>
      <c r="L595" s="5" t="s">
        <v>57</v>
      </c>
      <c r="M595" s="49">
        <v>1.2</v>
      </c>
      <c r="N595" s="6">
        <f>PLANPRODUCCION[[#This Row],[PIEZAS PLANEADAS]]*PLANPRODUCCION[[#This Row],[PRECIO MAQUILAS]]</f>
        <v>3024</v>
      </c>
      <c r="O595" s="5">
        <v>4</v>
      </c>
      <c r="P595" s="2">
        <v>0.25</v>
      </c>
      <c r="Q595" s="2">
        <v>0.66666666666666663</v>
      </c>
      <c r="R595" s="5">
        <v>3700</v>
      </c>
      <c r="S595" s="7">
        <f>PLANPRODUCCION[[#This Row],[PRECIO MAQUILAS]]*PLANPRODUCCION[[#This Row],[PIEZAS REAL]]</f>
        <v>4440</v>
      </c>
      <c r="T59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3600</v>
      </c>
      <c r="U59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1736</v>
      </c>
      <c r="V59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59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1960</v>
      </c>
      <c r="X595" s="8" t="s">
        <v>602</v>
      </c>
      <c r="Y59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9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59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95" s="13">
        <f>IF(PLANPRODUCCION[[#This Row],[PIEZAS REAL]]&gt;0,PLANPRODUCCION[[#This Row],[PIEZAS REAL]]/PLANPRODUCCION[[#This Row],[PIEZAS ACTUALIZADO]],)</f>
        <v>1.0277777777777777</v>
      </c>
      <c r="AC595" t="b">
        <f>PLANPRODUCCION[[#This Row],[INGRESO PLANEADO]]&lt;PLANPRODUCCION[[#This Row],[COSTO PLANEADO]]</f>
        <v>0</v>
      </c>
      <c r="AD595" s="46" t="s">
        <v>761</v>
      </c>
      <c r="AF595" t="b">
        <f>IF(COUNTIF(PLANPRODUCCION[[#This Row],[OBSERVACIONES]],"NO APLICA BONO*")&gt;0,TRUE,FALSE)</f>
        <v>0</v>
      </c>
    </row>
    <row r="596" spans="1:32" x14ac:dyDescent="0.25">
      <c r="A596" s="46" t="str">
        <f>UPPER(IF(PLANPRODUCCION[[#This Row],[FECHA]]&lt;=45701,_xlfn.CONCAT(TEXT(B596,"MMM"),"-",IF(ROW(A596)&lt;11,"000"&amp;ROW(A596)-1,IF(ROW(A596)&lt;101,"00"&amp;ROW(A596)-1,IF(ROW(A596)&lt;1001,"0"&amp;ROW(A596)-1,ROW(A596)-1))),"-OLD"),_xlfn.CONCAT(TEXT(B596,"MMM"),"-",IF(ROW(A596)&lt;473,"000"&amp;ROW(A596)-463,IF(ROW(A596)&lt;563,"00"&amp;ROW(A596)-463,IF(ROW(A596)&lt;1001,"0"&amp;ROW(A596)-463,ROW(A596)-463))))))</f>
        <v>FEB-0133</v>
      </c>
      <c r="B596" s="39">
        <v>45714</v>
      </c>
      <c r="C596" s="5">
        <v>10</v>
      </c>
      <c r="D596" s="5">
        <v>1</v>
      </c>
      <c r="E596" t="s">
        <v>54</v>
      </c>
      <c r="F596" s="2">
        <v>0.25</v>
      </c>
      <c r="G596" s="2">
        <v>0.66666666666666663</v>
      </c>
      <c r="H596" s="5">
        <v>1590</v>
      </c>
      <c r="I596" t="s">
        <v>762</v>
      </c>
      <c r="J596" t="s">
        <v>763</v>
      </c>
      <c r="K596" s="5">
        <v>130</v>
      </c>
      <c r="L596" s="5" t="s">
        <v>57</v>
      </c>
      <c r="M596" s="49">
        <v>32.14</v>
      </c>
      <c r="N596" s="6">
        <f>PLANPRODUCCION[[#This Row],[PIEZAS PLANEADAS]]*PLANPRODUCCION[[#This Row],[PRECIO MAQUILAS]]</f>
        <v>4178.2</v>
      </c>
      <c r="O596" s="5">
        <v>10</v>
      </c>
      <c r="P596" s="2">
        <v>0.25</v>
      </c>
      <c r="Q596" s="2">
        <v>0.66666666666666663</v>
      </c>
      <c r="R596" s="5">
        <v>20</v>
      </c>
      <c r="S596" s="7">
        <f>PLANPRODUCCION[[#This Row],[PRECIO MAQUILAS]]*PLANPRODUCCION[[#This Row],[PIEZAS REAL]]</f>
        <v>642.79999999999995</v>
      </c>
      <c r="T59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130</v>
      </c>
      <c r="U59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6200</v>
      </c>
      <c r="V59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6200</v>
      </c>
      <c r="W59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-5557.2</v>
      </c>
      <c r="X596" s="8" t="s">
        <v>602</v>
      </c>
      <c r="Y596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9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9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96" s="13">
        <f>IF(PLANPRODUCCION[[#This Row],[PIEZAS REAL]]&gt;0,PLANPRODUCCION[[#This Row],[PIEZAS REAL]]/PLANPRODUCCION[[#This Row],[PIEZAS ACTUALIZADO]],)</f>
        <v>0.15384615384615385</v>
      </c>
      <c r="AC596" t="b">
        <f>PLANPRODUCCION[[#This Row],[INGRESO PLANEADO]]&lt;PLANPRODUCCION[[#This Row],[COSTO PLANEADO]]</f>
        <v>1</v>
      </c>
      <c r="AD596" s="46" t="s">
        <v>764</v>
      </c>
      <c r="AF596" t="b">
        <f>IF(COUNTIF(PLANPRODUCCION[[#This Row],[OBSERVACIONES]],"NO APLICA BONO*")&gt;0,TRUE,FALSE)</f>
        <v>0</v>
      </c>
    </row>
    <row r="597" spans="1:32" x14ac:dyDescent="0.25">
      <c r="A597" s="46" t="str">
        <f>UPPER(IF(PLANPRODUCCION[[#This Row],[FECHA]]&lt;=45701,_xlfn.CONCAT(TEXT(B597,"MMM"),"-",IF(ROW(A597)&lt;11,"000"&amp;ROW(A597)-1,IF(ROW(A597)&lt;101,"00"&amp;ROW(A597)-1,IF(ROW(A597)&lt;1001,"0"&amp;ROW(A597)-1,ROW(A597)-1))),"-OLD"),_xlfn.CONCAT(TEXT(B597,"MMM"),"-",IF(ROW(A597)&lt;473,"000"&amp;ROW(A597)-463,IF(ROW(A597)&lt;563,"00"&amp;ROW(A597)-463,IF(ROW(A597)&lt;1001,"0"&amp;ROW(A597)-463,ROW(A597)-463))))))</f>
        <v>FEB-0134</v>
      </c>
      <c r="B597" s="39">
        <v>45714</v>
      </c>
      <c r="C597" s="5">
        <v>3</v>
      </c>
      <c r="D597" s="5">
        <v>7</v>
      </c>
      <c r="E597" t="s">
        <v>67</v>
      </c>
      <c r="F597" s="2">
        <v>0.33333333333333331</v>
      </c>
      <c r="G597" s="2">
        <v>0.75</v>
      </c>
      <c r="H597" s="5">
        <v>1577</v>
      </c>
      <c r="I597" t="s">
        <v>592</v>
      </c>
      <c r="J597" t="s">
        <v>68</v>
      </c>
      <c r="K597" s="5">
        <v>2520</v>
      </c>
      <c r="L597" s="5" t="s">
        <v>57</v>
      </c>
      <c r="M597" s="49">
        <v>1.2</v>
      </c>
      <c r="N597" s="6">
        <f>PLANPRODUCCION[[#This Row],[PIEZAS PLANEADAS]]*PLANPRODUCCION[[#This Row],[PRECIO MAQUILAS]]</f>
        <v>3024</v>
      </c>
      <c r="O597" s="5">
        <v>3</v>
      </c>
      <c r="P597" s="2">
        <v>0.33333333333333331</v>
      </c>
      <c r="Q597" s="2">
        <v>0.75</v>
      </c>
      <c r="R597" s="5">
        <v>2050</v>
      </c>
      <c r="S597" s="7">
        <f>PLANPRODUCCION[[#This Row],[PRECIO MAQUILAS]]*PLANPRODUCCION[[#This Row],[PIEZAS REAL]]</f>
        <v>2460</v>
      </c>
      <c r="T59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2520</v>
      </c>
      <c r="U59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59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59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600</v>
      </c>
      <c r="X597" s="8" t="s">
        <v>602</v>
      </c>
      <c r="Y59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9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9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97" s="13">
        <f>IF(PLANPRODUCCION[[#This Row],[PIEZAS REAL]]&gt;0,PLANPRODUCCION[[#This Row],[PIEZAS REAL]]/PLANPRODUCCION[[#This Row],[PIEZAS ACTUALIZADO]],)</f>
        <v>0.81349206349206349</v>
      </c>
      <c r="AC597" t="b">
        <f>PLANPRODUCCION[[#This Row],[INGRESO PLANEADO]]&lt;PLANPRODUCCION[[#This Row],[COSTO PLANEADO]]</f>
        <v>0</v>
      </c>
      <c r="AD597" s="46" t="s">
        <v>765</v>
      </c>
      <c r="AF597" t="b">
        <f>IF(COUNTIF(PLANPRODUCCION[[#This Row],[OBSERVACIONES]],"NO APLICA BONO*")&gt;0,TRUE,FALSE)</f>
        <v>0</v>
      </c>
    </row>
    <row r="598" spans="1:32" x14ac:dyDescent="0.25">
      <c r="A598" s="46" t="str">
        <f>UPPER(IF(PLANPRODUCCION[[#This Row],[FECHA]]&lt;=45701,_xlfn.CONCAT(TEXT(B598,"MMM"),"-",IF(ROW(A598)&lt;11,"000"&amp;ROW(A598)-1,IF(ROW(A598)&lt;101,"00"&amp;ROW(A598)-1,IF(ROW(A598)&lt;1001,"0"&amp;ROW(A598)-1,ROW(A598)-1))),"-OLD"),_xlfn.CONCAT(TEXT(B598,"MMM"),"-",IF(ROW(A598)&lt;473,"000"&amp;ROW(A598)-463,IF(ROW(A598)&lt;563,"00"&amp;ROW(A598)-463,IF(ROW(A598)&lt;1001,"0"&amp;ROW(A598)-463,ROW(A598)-463))))))</f>
        <v>FEB-0135</v>
      </c>
      <c r="B598" s="39">
        <v>45714</v>
      </c>
      <c r="C598" s="5">
        <v>2</v>
      </c>
      <c r="D598" s="5">
        <v>8</v>
      </c>
      <c r="E598" t="s">
        <v>67</v>
      </c>
      <c r="F598" s="2">
        <v>0.33333333333333331</v>
      </c>
      <c r="G598" s="2">
        <v>0.75</v>
      </c>
      <c r="H598" s="5">
        <v>1577</v>
      </c>
      <c r="I598" t="s">
        <v>592</v>
      </c>
      <c r="J598" t="s">
        <v>68</v>
      </c>
      <c r="K598" s="5">
        <v>1680</v>
      </c>
      <c r="L598" s="5" t="s">
        <v>57</v>
      </c>
      <c r="M598" s="49">
        <v>1.2</v>
      </c>
      <c r="N598" s="6">
        <f>PLANPRODUCCION[[#This Row],[PIEZAS PLANEADAS]]*PLANPRODUCCION[[#This Row],[PRECIO MAQUILAS]]</f>
        <v>2016</v>
      </c>
      <c r="O598" s="5">
        <v>2</v>
      </c>
      <c r="P598" s="2">
        <v>0.33333333333333331</v>
      </c>
      <c r="Q598" s="2">
        <v>0.75</v>
      </c>
      <c r="R598" s="5">
        <v>1350</v>
      </c>
      <c r="S598" s="7">
        <f>PLANPRODUCCION[[#This Row],[PRECIO MAQUILAS]]*PLANPRODUCCION[[#This Row],[PIEZAS REAL]]</f>
        <v>1620</v>
      </c>
      <c r="T59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1680</v>
      </c>
      <c r="U59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59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59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380</v>
      </c>
      <c r="X598" s="8" t="s">
        <v>602</v>
      </c>
      <c r="Y598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59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9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98" s="13">
        <f>IF(PLANPRODUCCION[[#This Row],[PIEZAS REAL]]&gt;0,PLANPRODUCCION[[#This Row],[PIEZAS REAL]]/PLANPRODUCCION[[#This Row],[PIEZAS ACTUALIZADO]],)</f>
        <v>0.8035714285714286</v>
      </c>
      <c r="AC598" t="b">
        <f>PLANPRODUCCION[[#This Row],[INGRESO PLANEADO]]&lt;PLANPRODUCCION[[#This Row],[COSTO PLANEADO]]</f>
        <v>0</v>
      </c>
      <c r="AD598" s="46" t="s">
        <v>766</v>
      </c>
      <c r="AF598" t="b">
        <f>IF(COUNTIF(PLANPRODUCCION[[#This Row],[OBSERVACIONES]],"NO APLICA BONO*")&gt;0,TRUE,FALSE)</f>
        <v>0</v>
      </c>
    </row>
    <row r="599" spans="1:32" x14ac:dyDescent="0.25">
      <c r="A599" s="46" t="str">
        <f>UPPER(IF(PLANPRODUCCION[[#This Row],[FECHA]]&lt;=45701,_xlfn.CONCAT(TEXT(B599,"MMM"),"-",IF(ROW(A599)&lt;11,"000"&amp;ROW(A599)-1,IF(ROW(A599)&lt;101,"00"&amp;ROW(A599)-1,IF(ROW(A599)&lt;1001,"0"&amp;ROW(A599)-1,ROW(A599)-1))),"-OLD"),_xlfn.CONCAT(TEXT(B599,"MMM"),"-",IF(ROW(A599)&lt;473,"000"&amp;ROW(A599)-463,IF(ROW(A599)&lt;563,"00"&amp;ROW(A599)-463,IF(ROW(A599)&lt;1001,"0"&amp;ROW(A599)-463,ROW(A599)-463))))))</f>
        <v>FEB-0136</v>
      </c>
      <c r="B599" s="39">
        <v>45714</v>
      </c>
      <c r="C599" s="5">
        <v>2</v>
      </c>
      <c r="D599" s="5">
        <v>10</v>
      </c>
      <c r="E599" t="s">
        <v>110</v>
      </c>
      <c r="F599" s="2">
        <v>0.54166666666666663</v>
      </c>
      <c r="G599" s="2">
        <v>0.875</v>
      </c>
      <c r="H599" s="5">
        <v>1591</v>
      </c>
      <c r="I599" t="s">
        <v>767</v>
      </c>
      <c r="J599" t="s">
        <v>68</v>
      </c>
      <c r="K599" s="5">
        <v>2000</v>
      </c>
      <c r="L599" s="5" t="s">
        <v>57</v>
      </c>
      <c r="M599" s="49">
        <v>0.65</v>
      </c>
      <c r="N599" s="6">
        <f>PLANPRODUCCION[[#This Row],[PIEZAS PLANEADAS]]*PLANPRODUCCION[[#This Row],[PRECIO MAQUILAS]]</f>
        <v>1300</v>
      </c>
      <c r="O599" s="5">
        <v>5</v>
      </c>
      <c r="P599" s="2">
        <v>0.54166666666666663</v>
      </c>
      <c r="Q599" s="2">
        <v>0.875</v>
      </c>
      <c r="R599" s="5">
        <v>4420</v>
      </c>
      <c r="S599" s="7">
        <f>PLANPRODUCCION[[#This Row],[PRECIO MAQUILAS]]*PLANPRODUCCION[[#This Row],[PIEZAS REAL]]</f>
        <v>2873</v>
      </c>
      <c r="T59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5000</v>
      </c>
      <c r="U59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59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3100</v>
      </c>
      <c r="W59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-227</v>
      </c>
      <c r="X599" s="8" t="s">
        <v>602</v>
      </c>
      <c r="Y59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59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59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599" s="13">
        <f>IF(PLANPRODUCCION[[#This Row],[PIEZAS REAL]]&gt;0,PLANPRODUCCION[[#This Row],[PIEZAS REAL]]/PLANPRODUCCION[[#This Row],[PIEZAS ACTUALIZADO]],)</f>
        <v>0.88400000000000001</v>
      </c>
      <c r="AC599" t="b">
        <f>PLANPRODUCCION[[#This Row],[INGRESO PLANEADO]]&lt;PLANPRODUCCION[[#This Row],[COSTO PLANEADO]]</f>
        <v>0</v>
      </c>
      <c r="AD599" s="46" t="s">
        <v>768</v>
      </c>
      <c r="AF599" t="b">
        <f>IF(COUNTIF(PLANPRODUCCION[[#This Row],[OBSERVACIONES]],"NO APLICA BONO*")&gt;0,TRUE,FALSE)</f>
        <v>0</v>
      </c>
    </row>
    <row r="600" spans="1:32" x14ac:dyDescent="0.25">
      <c r="A600" s="46" t="str">
        <f>UPPER(IF(PLANPRODUCCION[[#This Row],[FECHA]]&lt;=45701,_xlfn.CONCAT(TEXT(B600,"MMM"),"-",IF(ROW(A600)&lt;11,"000"&amp;ROW(A600)-1,IF(ROW(A600)&lt;101,"00"&amp;ROW(A600)-1,IF(ROW(A600)&lt;1001,"0"&amp;ROW(A600)-1,ROW(A600)-1))),"-OLD"),_xlfn.CONCAT(TEXT(B600,"MMM"),"-",IF(ROW(A600)&lt;473,"000"&amp;ROW(A600)-463,IF(ROW(A600)&lt;563,"00"&amp;ROW(A600)-463,IF(ROW(A600)&lt;1001,"0"&amp;ROW(A600)-463,ROW(A600)-463))))))</f>
        <v>FEB-0137</v>
      </c>
      <c r="B600" s="39">
        <v>45714</v>
      </c>
      <c r="C600" s="5">
        <v>3</v>
      </c>
      <c r="D600" s="5">
        <v>0</v>
      </c>
      <c r="E600" t="s">
        <v>110</v>
      </c>
      <c r="F600" s="2">
        <v>0.54166666666666663</v>
      </c>
      <c r="G600" s="2">
        <v>0.875</v>
      </c>
      <c r="H600" s="5">
        <v>1591</v>
      </c>
      <c r="I600" t="s">
        <v>767</v>
      </c>
      <c r="J600" t="s">
        <v>68</v>
      </c>
      <c r="K600" s="5">
        <v>3000</v>
      </c>
      <c r="L600" s="5" t="s">
        <v>57</v>
      </c>
      <c r="M600" s="49">
        <v>0.65</v>
      </c>
      <c r="N600" s="6">
        <f>PLANPRODUCCION[[#This Row],[PIEZAS PLANEADAS]]*PLANPRODUCCION[[#This Row],[PRECIO MAQUILAS]]</f>
        <v>1950</v>
      </c>
      <c r="O600" s="5">
        <v>0</v>
      </c>
      <c r="P600" s="2">
        <v>0</v>
      </c>
      <c r="Q600" s="2">
        <v>0</v>
      </c>
      <c r="R600" s="5">
        <v>0</v>
      </c>
      <c r="S600" s="7">
        <f>PLANPRODUCCION[[#This Row],[PRECIO MAQUILAS]]*PLANPRODUCCION[[#This Row],[PIEZAS REAL]]</f>
        <v>0</v>
      </c>
      <c r="T60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0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0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0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00" s="8" t="s">
        <v>602</v>
      </c>
      <c r="Y600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0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00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00" s="13">
        <f>IF(PLANPRODUCCION[[#This Row],[PIEZAS REAL]]&gt;0,PLANPRODUCCION[[#This Row],[PIEZAS REAL]]/PLANPRODUCCION[[#This Row],[PIEZAS ACTUALIZADO]],)</f>
        <v>0</v>
      </c>
      <c r="AC600" t="b">
        <f>PLANPRODUCCION[[#This Row],[INGRESO PLANEADO]]&lt;PLANPRODUCCION[[#This Row],[COSTO PLANEADO]]</f>
        <v>0</v>
      </c>
      <c r="AD600" s="46" t="s">
        <v>769</v>
      </c>
      <c r="AF600" t="b">
        <f>IF(COUNTIF(PLANPRODUCCION[[#This Row],[OBSERVACIONES]],"NO APLICA BONO*")&gt;0,TRUE,FALSE)</f>
        <v>0</v>
      </c>
    </row>
    <row r="601" spans="1:32" x14ac:dyDescent="0.25">
      <c r="A601" s="46" t="str">
        <f>UPPER(IF(PLANPRODUCCION[[#This Row],[FECHA]]&lt;=45701,_xlfn.CONCAT(TEXT(B601,"MMM"),"-",IF(ROW(A601)&lt;11,"000"&amp;ROW(A601)-1,IF(ROW(A601)&lt;101,"00"&amp;ROW(A601)-1,IF(ROW(A601)&lt;1001,"0"&amp;ROW(A601)-1,ROW(A601)-1))),"-OLD"),_xlfn.CONCAT(TEXT(B601,"MMM"),"-",IF(ROW(A601)&lt;473,"000"&amp;ROW(A601)-463,IF(ROW(A601)&lt;563,"00"&amp;ROW(A601)-463,IF(ROW(A601)&lt;1001,"0"&amp;ROW(A601)-463,ROW(A601)-463))))))</f>
        <v>FEB-0138</v>
      </c>
      <c r="B601" s="39">
        <v>45714</v>
      </c>
      <c r="C601" s="5">
        <v>3</v>
      </c>
      <c r="D601" s="5">
        <v>2</v>
      </c>
      <c r="E601" t="s">
        <v>72</v>
      </c>
      <c r="F601" s="2">
        <v>0.66666666666666663</v>
      </c>
      <c r="G601" s="2">
        <v>0.875</v>
      </c>
      <c r="H601" s="5">
        <v>1577</v>
      </c>
      <c r="I601" t="s">
        <v>592</v>
      </c>
      <c r="J601" t="s">
        <v>68</v>
      </c>
      <c r="K601" s="5">
        <v>1260</v>
      </c>
      <c r="L601" s="5" t="s">
        <v>57</v>
      </c>
      <c r="M601" s="49">
        <v>1.2</v>
      </c>
      <c r="N601" s="6">
        <f>PLANPRODUCCION[[#This Row],[PIEZAS PLANEADAS]]*PLANPRODUCCION[[#This Row],[PRECIO MAQUILAS]]</f>
        <v>1512</v>
      </c>
      <c r="O601" s="5">
        <v>2</v>
      </c>
      <c r="P601" s="2">
        <v>0.66666666666666663</v>
      </c>
      <c r="Q601" s="2">
        <v>0.875</v>
      </c>
      <c r="R601" s="5">
        <v>750</v>
      </c>
      <c r="S601" s="7">
        <f>PLANPRODUCCION[[#This Row],[PRECIO MAQUILAS]]*PLANPRODUCCION[[#This Row],[PIEZAS REAL]]</f>
        <v>900</v>
      </c>
      <c r="T60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840</v>
      </c>
      <c r="U60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60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60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280</v>
      </c>
      <c r="X601" s="8" t="s">
        <v>602</v>
      </c>
      <c r="Y60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0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0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01" s="13">
        <f>IF(PLANPRODUCCION[[#This Row],[PIEZAS REAL]]&gt;0,PLANPRODUCCION[[#This Row],[PIEZAS REAL]]/PLANPRODUCCION[[#This Row],[PIEZAS ACTUALIZADO]],)</f>
        <v>0.8928571428571429</v>
      </c>
      <c r="AC601" t="b">
        <f>PLANPRODUCCION[[#This Row],[INGRESO PLANEADO]]&lt;PLANPRODUCCION[[#This Row],[COSTO PLANEADO]]</f>
        <v>0</v>
      </c>
      <c r="AD601" s="46" t="s">
        <v>770</v>
      </c>
      <c r="AF601" t="b">
        <f>IF(COUNTIF(PLANPRODUCCION[[#This Row],[OBSERVACIONES]],"NO APLICA BONO*")&gt;0,TRUE,FALSE)</f>
        <v>0</v>
      </c>
    </row>
    <row r="602" spans="1:32" x14ac:dyDescent="0.25">
      <c r="A602" s="46" t="str">
        <f>UPPER(IF(PLANPRODUCCION[[#This Row],[FECHA]]&lt;=45701,_xlfn.CONCAT(TEXT(B602,"MMM"),"-",IF(ROW(A602)&lt;11,"000"&amp;ROW(A602)-1,IF(ROW(A602)&lt;101,"00"&amp;ROW(A602)-1,IF(ROW(A602)&lt;1001,"0"&amp;ROW(A602)-1,ROW(A602)-1))),"-OLD"),_xlfn.CONCAT(TEXT(B602,"MMM"),"-",IF(ROW(A602)&lt;473,"000"&amp;ROW(A602)-463,IF(ROW(A602)&lt;563,"00"&amp;ROW(A602)-463,IF(ROW(A602)&lt;1001,"0"&amp;ROW(A602)-463,ROW(A602)-463))))))</f>
        <v>FEB-0139</v>
      </c>
      <c r="B602" s="39">
        <v>45714</v>
      </c>
      <c r="C602" s="5">
        <v>3</v>
      </c>
      <c r="D602" s="5">
        <v>1</v>
      </c>
      <c r="E602" t="s">
        <v>72</v>
      </c>
      <c r="F602" s="2">
        <v>0.66666666666666663</v>
      </c>
      <c r="G602" s="2">
        <v>0.875</v>
      </c>
      <c r="H602" s="5">
        <v>1577</v>
      </c>
      <c r="I602" t="s">
        <v>592</v>
      </c>
      <c r="J602" t="s">
        <v>68</v>
      </c>
      <c r="K602" s="5">
        <v>1260</v>
      </c>
      <c r="L602" s="5" t="s">
        <v>57</v>
      </c>
      <c r="M602" s="49">
        <v>1.2</v>
      </c>
      <c r="N602" s="6">
        <f>PLANPRODUCCION[[#This Row],[PIEZAS PLANEADAS]]*PLANPRODUCCION[[#This Row],[PRECIO MAQUILAS]]</f>
        <v>1512</v>
      </c>
      <c r="O602" s="5">
        <v>3</v>
      </c>
      <c r="P602" s="2">
        <v>0.66666666666666663</v>
      </c>
      <c r="Q602" s="2">
        <v>0.875</v>
      </c>
      <c r="R602" s="5">
        <v>1250</v>
      </c>
      <c r="S602" s="7">
        <f>PLANPRODUCCION[[#This Row],[PRECIO MAQUILAS]]*PLANPRODUCCION[[#This Row],[PIEZAS REAL]]</f>
        <v>1500</v>
      </c>
      <c r="T60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1260</v>
      </c>
      <c r="U60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60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60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570</v>
      </c>
      <c r="X602" s="8" t="s">
        <v>602</v>
      </c>
      <c r="Y60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0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0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02" s="13">
        <f>IF(PLANPRODUCCION[[#This Row],[PIEZAS REAL]]&gt;0,PLANPRODUCCION[[#This Row],[PIEZAS REAL]]/PLANPRODUCCION[[#This Row],[PIEZAS ACTUALIZADO]],)</f>
        <v>0.99206349206349209</v>
      </c>
      <c r="AC602" t="b">
        <f>PLANPRODUCCION[[#This Row],[INGRESO PLANEADO]]&lt;PLANPRODUCCION[[#This Row],[COSTO PLANEADO]]</f>
        <v>0</v>
      </c>
      <c r="AD602" s="46" t="s">
        <v>771</v>
      </c>
      <c r="AF602" t="b">
        <f>IF(COUNTIF(PLANPRODUCCION[[#This Row],[OBSERVACIONES]],"NO APLICA BONO*")&gt;0,TRUE,FALSE)</f>
        <v>0</v>
      </c>
    </row>
    <row r="603" spans="1:32" x14ac:dyDescent="0.25">
      <c r="A603" s="46" t="str">
        <f>UPPER(IF(PLANPRODUCCION[[#This Row],[FECHA]]&lt;=45701,_xlfn.CONCAT(TEXT(B603,"MMM"),"-",IF(ROW(A603)&lt;11,"000"&amp;ROW(A603)-1,IF(ROW(A603)&lt;101,"00"&amp;ROW(A603)-1,IF(ROW(A603)&lt;1001,"0"&amp;ROW(A603)-1,ROW(A603)-1))),"-OLD"),_xlfn.CONCAT(TEXT(B603,"MMM"),"-",IF(ROW(A603)&lt;473,"000"&amp;ROW(A603)-463,IF(ROW(A603)&lt;563,"00"&amp;ROW(A603)-463,IF(ROW(A603)&lt;1001,"0"&amp;ROW(A603)-463,ROW(A603)-463))))))</f>
        <v>FEB-0140</v>
      </c>
      <c r="B603" s="39">
        <v>45715</v>
      </c>
      <c r="C603" s="5">
        <v>1</v>
      </c>
      <c r="D603" s="5" t="s">
        <v>62</v>
      </c>
      <c r="E603" t="s">
        <v>54</v>
      </c>
      <c r="F603" s="2">
        <v>0.25</v>
      </c>
      <c r="G603" s="2">
        <v>0.33333333333333331</v>
      </c>
      <c r="H603" s="5">
        <v>1581</v>
      </c>
      <c r="I603" t="s">
        <v>772</v>
      </c>
      <c r="J603" t="s">
        <v>773</v>
      </c>
      <c r="K603" s="5">
        <v>1000</v>
      </c>
      <c r="L603" s="5" t="s">
        <v>65</v>
      </c>
      <c r="M603" s="49">
        <v>1.2</v>
      </c>
      <c r="N603" s="6">
        <f>PLANPRODUCCION[[#This Row],[PIEZAS PLANEADAS]]*PLANPRODUCCION[[#This Row],[PRECIO MAQUILAS]]</f>
        <v>1200</v>
      </c>
      <c r="O603" s="5">
        <v>0</v>
      </c>
      <c r="P603" s="2">
        <v>0</v>
      </c>
      <c r="Q603" s="2">
        <v>0</v>
      </c>
      <c r="R603" s="5">
        <v>0</v>
      </c>
      <c r="S603" s="7">
        <f>PLANPRODUCCION[[#This Row],[PRECIO MAQUILAS]]*PLANPRODUCCION[[#This Row],[PIEZAS REAL]]</f>
        <v>0</v>
      </c>
      <c r="T60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0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0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0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03" s="8" t="s">
        <v>602</v>
      </c>
      <c r="Y603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0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03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03" s="13">
        <f>IF(PLANPRODUCCION[[#This Row],[PIEZAS REAL]]&gt;0,PLANPRODUCCION[[#This Row],[PIEZAS REAL]]/PLANPRODUCCION[[#This Row],[PIEZAS ACTUALIZADO]],)</f>
        <v>0</v>
      </c>
      <c r="AC603" t="b">
        <f>PLANPRODUCCION[[#This Row],[INGRESO PLANEADO]]&lt;PLANPRODUCCION[[#This Row],[COSTO PLANEADO]]</f>
        <v>0</v>
      </c>
      <c r="AD603" s="46" t="s">
        <v>774</v>
      </c>
      <c r="AF603" t="b">
        <f>IF(COUNTIF(PLANPRODUCCION[[#This Row],[OBSERVACIONES]],"NO APLICA BONO*")&gt;0,TRUE,FALSE)</f>
        <v>0</v>
      </c>
    </row>
    <row r="604" spans="1:32" x14ac:dyDescent="0.25">
      <c r="A604" s="46" t="str">
        <f>UPPER(IF(PLANPRODUCCION[[#This Row],[FECHA]]&lt;=45701,_xlfn.CONCAT(TEXT(B604,"MMM"),"-",IF(ROW(A604)&lt;11,"000"&amp;ROW(A604)-1,IF(ROW(A604)&lt;101,"00"&amp;ROW(A604)-1,IF(ROW(A604)&lt;1001,"0"&amp;ROW(A604)-1,ROW(A604)-1))),"-OLD"),_xlfn.CONCAT(TEXT(B604,"MMM"),"-",IF(ROW(A604)&lt;473,"000"&amp;ROW(A604)-463,IF(ROW(A604)&lt;563,"00"&amp;ROW(A604)-463,IF(ROW(A604)&lt;1001,"0"&amp;ROW(A604)-463,ROW(A604)-463))))))</f>
        <v>FEB-0141</v>
      </c>
      <c r="B604" s="39">
        <v>45715</v>
      </c>
      <c r="C604" s="5">
        <v>4</v>
      </c>
      <c r="D604" s="5">
        <v>1</v>
      </c>
      <c r="E604" t="s">
        <v>54</v>
      </c>
      <c r="F604" s="2">
        <v>0.25</v>
      </c>
      <c r="G604" s="2">
        <v>0.66666666666666663</v>
      </c>
      <c r="H604" s="5">
        <v>1577</v>
      </c>
      <c r="I604" t="s">
        <v>592</v>
      </c>
      <c r="J604" t="s">
        <v>68</v>
      </c>
      <c r="K604" s="5">
        <v>3360</v>
      </c>
      <c r="L604" s="5" t="s">
        <v>57</v>
      </c>
      <c r="M604" s="49">
        <v>1.2</v>
      </c>
      <c r="N604" s="6">
        <f>PLANPRODUCCION[[#This Row],[PIEZAS PLANEADAS]]*PLANPRODUCCION[[#This Row],[PRECIO MAQUILAS]]</f>
        <v>4032</v>
      </c>
      <c r="O604" s="5">
        <v>4</v>
      </c>
      <c r="P604" s="2">
        <v>0.25</v>
      </c>
      <c r="Q604" s="2">
        <v>0.66666666666666663</v>
      </c>
      <c r="R604" s="5">
        <v>3857</v>
      </c>
      <c r="S604" s="7">
        <f>PLANPRODUCCION[[#This Row],[PRECIO MAQUILAS]]*PLANPRODUCCION[[#This Row],[PIEZAS REAL]]</f>
        <v>4628.3999999999996</v>
      </c>
      <c r="T60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3360</v>
      </c>
      <c r="U60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2480</v>
      </c>
      <c r="V60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60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2148.3999999999996</v>
      </c>
      <c r="X604" s="8" t="s">
        <v>602</v>
      </c>
      <c r="Y60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0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0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04" s="13">
        <f>IF(PLANPRODUCCION[[#This Row],[PIEZAS REAL]]&gt;0,PLANPRODUCCION[[#This Row],[PIEZAS REAL]]/PLANPRODUCCION[[#This Row],[PIEZAS ACTUALIZADO]],)</f>
        <v>1.1479166666666667</v>
      </c>
      <c r="AC604" t="b">
        <f>PLANPRODUCCION[[#This Row],[INGRESO PLANEADO]]&lt;PLANPRODUCCION[[#This Row],[COSTO PLANEADO]]</f>
        <v>0</v>
      </c>
      <c r="AD604" s="46" t="s">
        <v>775</v>
      </c>
      <c r="AF604" t="b">
        <f>IF(COUNTIF(PLANPRODUCCION[[#This Row],[OBSERVACIONES]],"NO APLICA BONO*")&gt;0,TRUE,FALSE)</f>
        <v>0</v>
      </c>
    </row>
    <row r="605" spans="1:32" x14ac:dyDescent="0.25">
      <c r="A605" s="46" t="str">
        <f>UPPER(IF(PLANPRODUCCION[[#This Row],[FECHA]]&lt;=45701,_xlfn.CONCAT(TEXT(B605,"MMM"),"-",IF(ROW(A605)&lt;11,"000"&amp;ROW(A605)-1,IF(ROW(A605)&lt;101,"00"&amp;ROW(A605)-1,IF(ROW(A605)&lt;1001,"0"&amp;ROW(A605)-1,ROW(A605)-1))),"-OLD"),_xlfn.CONCAT(TEXT(B605,"MMM"),"-",IF(ROW(A605)&lt;473,"000"&amp;ROW(A605)-463,IF(ROW(A605)&lt;563,"00"&amp;ROW(A605)-463,IF(ROW(A605)&lt;1001,"0"&amp;ROW(A605)-463,ROW(A605)-463))))))</f>
        <v>FEB-0142</v>
      </c>
      <c r="B605" s="39">
        <v>45715</v>
      </c>
      <c r="C605" s="5">
        <v>10</v>
      </c>
      <c r="D605" s="5">
        <v>2</v>
      </c>
      <c r="E605" t="s">
        <v>54</v>
      </c>
      <c r="F605" s="2">
        <v>0.25</v>
      </c>
      <c r="G605" s="2">
        <v>0.66666666666666663</v>
      </c>
      <c r="H605" s="5">
        <v>1590</v>
      </c>
      <c r="I605" t="s">
        <v>762</v>
      </c>
      <c r="J605" t="s">
        <v>763</v>
      </c>
      <c r="K605" s="5">
        <v>130</v>
      </c>
      <c r="L605" s="5" t="s">
        <v>57</v>
      </c>
      <c r="M605" s="49">
        <v>32.14</v>
      </c>
      <c r="N605" s="6">
        <f>PLANPRODUCCION[[#This Row],[PIEZAS PLANEADAS]]*PLANPRODUCCION[[#This Row],[PRECIO MAQUILAS]]</f>
        <v>4178.2</v>
      </c>
      <c r="O605" s="5">
        <v>10</v>
      </c>
      <c r="P605" s="2">
        <v>0.25</v>
      </c>
      <c r="Q605" s="2">
        <v>0.66666666666666663</v>
      </c>
      <c r="R605" s="5">
        <v>66</v>
      </c>
      <c r="S605" s="7">
        <f>PLANPRODUCCION[[#This Row],[PRECIO MAQUILAS]]*PLANPRODUCCION[[#This Row],[PIEZAS REAL]]</f>
        <v>2121.2400000000002</v>
      </c>
      <c r="T60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130</v>
      </c>
      <c r="U60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6200</v>
      </c>
      <c r="V60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6200</v>
      </c>
      <c r="W60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-4078.7599999999998</v>
      </c>
      <c r="X605" s="8" t="s">
        <v>602</v>
      </c>
      <c r="Y60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0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0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05" s="13">
        <f>IF(PLANPRODUCCION[[#This Row],[PIEZAS REAL]]&gt;0,PLANPRODUCCION[[#This Row],[PIEZAS REAL]]/PLANPRODUCCION[[#This Row],[PIEZAS ACTUALIZADO]],)</f>
        <v>0.50769230769230766</v>
      </c>
      <c r="AC605" t="b">
        <f>PLANPRODUCCION[[#This Row],[INGRESO PLANEADO]]&lt;PLANPRODUCCION[[#This Row],[COSTO PLANEADO]]</f>
        <v>1</v>
      </c>
      <c r="AD605" s="46" t="s">
        <v>776</v>
      </c>
      <c r="AF605" t="b">
        <f>IF(COUNTIF(PLANPRODUCCION[[#This Row],[OBSERVACIONES]],"NO APLICA BONO*")&gt;0,TRUE,FALSE)</f>
        <v>0</v>
      </c>
    </row>
    <row r="606" spans="1:32" x14ac:dyDescent="0.25">
      <c r="A606" s="46" t="str">
        <f>UPPER(IF(PLANPRODUCCION[[#This Row],[FECHA]]&lt;=45701,_xlfn.CONCAT(TEXT(B606,"MMM"),"-",IF(ROW(A606)&lt;11,"000"&amp;ROW(A606)-1,IF(ROW(A606)&lt;101,"00"&amp;ROW(A606)-1,IF(ROW(A606)&lt;1001,"0"&amp;ROW(A606)-1,ROW(A606)-1))),"-OLD"),_xlfn.CONCAT(TEXT(B606,"MMM"),"-",IF(ROW(A606)&lt;473,"000"&amp;ROW(A606)-463,IF(ROW(A606)&lt;563,"00"&amp;ROW(A606)-463,IF(ROW(A606)&lt;1001,"0"&amp;ROW(A606)-463,ROW(A606)-463))))))</f>
        <v>FEB-0143</v>
      </c>
      <c r="B606" s="39">
        <v>45715</v>
      </c>
      <c r="C606" s="5">
        <v>3</v>
      </c>
      <c r="D606" s="5">
        <v>6</v>
      </c>
      <c r="E606" t="s">
        <v>67</v>
      </c>
      <c r="F606" s="2">
        <v>0.33333333333333331</v>
      </c>
      <c r="G606" s="2">
        <v>0.4375</v>
      </c>
      <c r="H606" s="5">
        <v>1591</v>
      </c>
      <c r="I606" t="s">
        <v>767</v>
      </c>
      <c r="J606" t="s">
        <v>68</v>
      </c>
      <c r="K606" s="5">
        <v>937</v>
      </c>
      <c r="L606" s="5" t="s">
        <v>57</v>
      </c>
      <c r="M606" s="49">
        <v>0.65</v>
      </c>
      <c r="N606" s="6">
        <f>PLANPRODUCCION[[#This Row],[PIEZAS PLANEADAS]]*PLANPRODUCCION[[#This Row],[PRECIO MAQUILAS]]</f>
        <v>609.05000000000007</v>
      </c>
      <c r="O606" s="5">
        <v>3</v>
      </c>
      <c r="P606" s="2">
        <v>0.33333333333333331</v>
      </c>
      <c r="Q606" s="2">
        <v>0.4375</v>
      </c>
      <c r="R606" s="5">
        <v>987</v>
      </c>
      <c r="S606" s="7">
        <f>PLANPRODUCCION[[#This Row],[PRECIO MAQUILAS]]*PLANPRODUCCION[[#This Row],[PIEZAS REAL]]</f>
        <v>641.55000000000007</v>
      </c>
      <c r="T60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937</v>
      </c>
      <c r="U60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465</v>
      </c>
      <c r="V60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465</v>
      </c>
      <c r="W60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176.55000000000007</v>
      </c>
      <c r="X606" s="8" t="s">
        <v>606</v>
      </c>
      <c r="Y60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0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0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06" s="13">
        <f>IF(PLANPRODUCCION[[#This Row],[PIEZAS REAL]]&gt;0,PLANPRODUCCION[[#This Row],[PIEZAS REAL]]/PLANPRODUCCION[[#This Row],[PIEZAS ACTUALIZADO]],)</f>
        <v>1.0533617929562433</v>
      </c>
      <c r="AC606" t="b">
        <f>PLANPRODUCCION[[#This Row],[INGRESO PLANEADO]]&lt;PLANPRODUCCION[[#This Row],[COSTO PLANEADO]]</f>
        <v>0</v>
      </c>
      <c r="AD606" s="46" t="s">
        <v>777</v>
      </c>
      <c r="AF606" t="b">
        <f>IF(COUNTIF(PLANPRODUCCION[[#This Row],[OBSERVACIONES]],"NO APLICA BONO*")&gt;0,TRUE,FALSE)</f>
        <v>0</v>
      </c>
    </row>
    <row r="607" spans="1:32" x14ac:dyDescent="0.25">
      <c r="A607" s="46" t="str">
        <f>UPPER(IF(PLANPRODUCCION[[#This Row],[FECHA]]&lt;=45701,_xlfn.CONCAT(TEXT(B607,"MMM"),"-",IF(ROW(A607)&lt;11,"000"&amp;ROW(A607)-1,IF(ROW(A607)&lt;101,"00"&amp;ROW(A607)-1,IF(ROW(A607)&lt;1001,"0"&amp;ROW(A607)-1,ROW(A607)-1))),"-OLD"),_xlfn.CONCAT(TEXT(B607,"MMM"),"-",IF(ROW(A607)&lt;473,"000"&amp;ROW(A607)-463,IF(ROW(A607)&lt;563,"00"&amp;ROW(A607)-463,IF(ROW(A607)&lt;1001,"0"&amp;ROW(A607)-463,ROW(A607)-463))))))</f>
        <v>FEB-0144</v>
      </c>
      <c r="B607" s="39">
        <v>45715</v>
      </c>
      <c r="C607" s="5">
        <v>3</v>
      </c>
      <c r="D607" s="5">
        <v>6</v>
      </c>
      <c r="E607" t="s">
        <v>67</v>
      </c>
      <c r="F607" s="2">
        <v>0.33333333333333331</v>
      </c>
      <c r="G607" s="2">
        <v>0.75</v>
      </c>
      <c r="H607" s="5">
        <v>1580</v>
      </c>
      <c r="I607" t="s">
        <v>444</v>
      </c>
      <c r="J607" t="s">
        <v>445</v>
      </c>
      <c r="K607" s="5">
        <v>1560</v>
      </c>
      <c r="L607" s="5" t="s">
        <v>57</v>
      </c>
      <c r="M607" s="49">
        <v>1.2</v>
      </c>
      <c r="N607" s="6">
        <f>PLANPRODUCCION[[#This Row],[PIEZAS PLANEADAS]]*PLANPRODUCCION[[#This Row],[PRECIO MAQUILAS]]</f>
        <v>1872</v>
      </c>
      <c r="O607" s="5">
        <v>3</v>
      </c>
      <c r="P607" s="2">
        <v>0.45833333333333331</v>
      </c>
      <c r="Q607" s="2">
        <v>0.75</v>
      </c>
      <c r="R607" s="5">
        <v>640</v>
      </c>
      <c r="S607" s="7">
        <f>PLANPRODUCCION[[#This Row],[PRECIO MAQUILAS]]*PLANPRODUCCION[[#This Row],[PIEZAS REAL]]</f>
        <v>768</v>
      </c>
      <c r="T60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1092</v>
      </c>
      <c r="U60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60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1302</v>
      </c>
      <c r="W60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-534</v>
      </c>
      <c r="X607" s="8" t="s">
        <v>602</v>
      </c>
      <c r="Y60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0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0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07" s="13">
        <f>IF(PLANPRODUCCION[[#This Row],[PIEZAS REAL]]&gt;0,PLANPRODUCCION[[#This Row],[PIEZAS REAL]]/PLANPRODUCCION[[#This Row],[PIEZAS ACTUALIZADO]],)</f>
        <v>0.58608058608058611</v>
      </c>
      <c r="AC607" t="b">
        <f>PLANPRODUCCION[[#This Row],[INGRESO PLANEADO]]&lt;PLANPRODUCCION[[#This Row],[COSTO PLANEADO]]</f>
        <v>0</v>
      </c>
      <c r="AD607" s="46" t="s">
        <v>778</v>
      </c>
      <c r="AF607" t="b">
        <f>IF(COUNTIF(PLANPRODUCCION[[#This Row],[OBSERVACIONES]],"NO APLICA BONO*")&gt;0,TRUE,FALSE)</f>
        <v>0</v>
      </c>
    </row>
    <row r="608" spans="1:32" x14ac:dyDescent="0.25">
      <c r="A608" s="46" t="str">
        <f>UPPER(IF(PLANPRODUCCION[[#This Row],[FECHA]]&lt;=45701,_xlfn.CONCAT(TEXT(B608,"MMM"),"-",IF(ROW(A608)&lt;11,"000"&amp;ROW(A608)-1,IF(ROW(A608)&lt;101,"00"&amp;ROW(A608)-1,IF(ROW(A608)&lt;1001,"0"&amp;ROW(A608)-1,ROW(A608)-1))),"-OLD"),_xlfn.CONCAT(TEXT(B608,"MMM"),"-",IF(ROW(A608)&lt;473,"000"&amp;ROW(A608)-463,IF(ROW(A608)&lt;563,"00"&amp;ROW(A608)-463,IF(ROW(A608)&lt;1001,"0"&amp;ROW(A608)-463,ROW(A608)-463))))))</f>
        <v>FEB-0145</v>
      </c>
      <c r="B608" s="39">
        <v>45715</v>
      </c>
      <c r="C608" s="5">
        <v>2</v>
      </c>
      <c r="D608" s="5">
        <v>3</v>
      </c>
      <c r="E608" t="s">
        <v>67</v>
      </c>
      <c r="F608" s="2">
        <v>0.33333333333333331</v>
      </c>
      <c r="G608" s="2">
        <v>0.75</v>
      </c>
      <c r="H608" s="5">
        <v>1581</v>
      </c>
      <c r="I608" t="s">
        <v>772</v>
      </c>
      <c r="J608" t="s">
        <v>445</v>
      </c>
      <c r="K608" s="5">
        <v>1040</v>
      </c>
      <c r="L608" s="5" t="s">
        <v>57</v>
      </c>
      <c r="M608" s="49">
        <v>1.2</v>
      </c>
      <c r="N608" s="6">
        <f>PLANPRODUCCION[[#This Row],[PIEZAS PLANEADAS]]*PLANPRODUCCION[[#This Row],[PRECIO MAQUILAS]]</f>
        <v>1248</v>
      </c>
      <c r="O608" s="5">
        <v>2</v>
      </c>
      <c r="P608" s="2">
        <v>0.33333333333333331</v>
      </c>
      <c r="Q608" s="2">
        <v>0.75</v>
      </c>
      <c r="R608" s="5">
        <v>1040</v>
      </c>
      <c r="S608" s="7">
        <f>PLANPRODUCCION[[#This Row],[PRECIO MAQUILAS]]*PLANPRODUCCION[[#This Row],[PIEZAS REAL]]</f>
        <v>1248</v>
      </c>
      <c r="T60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1040</v>
      </c>
      <c r="U60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60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60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</v>
      </c>
      <c r="X608" s="8" t="s">
        <v>602</v>
      </c>
      <c r="Y608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0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08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608" s="13">
        <f>IF(PLANPRODUCCION[[#This Row],[PIEZAS REAL]]&gt;0,PLANPRODUCCION[[#This Row],[PIEZAS REAL]]/PLANPRODUCCION[[#This Row],[PIEZAS ACTUALIZADO]],)</f>
        <v>1</v>
      </c>
      <c r="AC608" t="b">
        <f>PLANPRODUCCION[[#This Row],[INGRESO PLANEADO]]&lt;PLANPRODUCCION[[#This Row],[COSTO PLANEADO]]</f>
        <v>0</v>
      </c>
      <c r="AD608" s="46" t="s">
        <v>779</v>
      </c>
      <c r="AF608" t="b">
        <f>IF(COUNTIF(PLANPRODUCCION[[#This Row],[OBSERVACIONES]],"NO APLICA BONO*")&gt;0,TRUE,FALSE)</f>
        <v>0</v>
      </c>
    </row>
    <row r="609" spans="1:32" x14ac:dyDescent="0.25">
      <c r="A609" s="46" t="str">
        <f>UPPER(IF(PLANPRODUCCION[[#This Row],[FECHA]]&lt;=45701,_xlfn.CONCAT(TEXT(B609,"MMM"),"-",IF(ROW(A609)&lt;11,"000"&amp;ROW(A609)-1,IF(ROW(A609)&lt;101,"00"&amp;ROW(A609)-1,IF(ROW(A609)&lt;1001,"0"&amp;ROW(A609)-1,ROW(A609)-1))),"-OLD"),_xlfn.CONCAT(TEXT(B609,"MMM"),"-",IF(ROW(A609)&lt;473,"000"&amp;ROW(A609)-463,IF(ROW(A609)&lt;563,"00"&amp;ROW(A609)-463,IF(ROW(A609)&lt;1001,"0"&amp;ROW(A609)-463,ROW(A609)-463))))))</f>
        <v>FEB-0146</v>
      </c>
      <c r="B609" s="39">
        <v>45715</v>
      </c>
      <c r="C609" s="5">
        <v>7</v>
      </c>
      <c r="D609" s="5">
        <v>9</v>
      </c>
      <c r="E609" t="s">
        <v>110</v>
      </c>
      <c r="F609" s="2">
        <v>0.54166666666666663</v>
      </c>
      <c r="G609" s="2">
        <v>0.64583333333333337</v>
      </c>
      <c r="H609" s="5">
        <v>1581</v>
      </c>
      <c r="I609" t="s">
        <v>780</v>
      </c>
      <c r="J609" t="s">
        <v>781</v>
      </c>
      <c r="K609" s="5">
        <v>2000</v>
      </c>
      <c r="L609" s="5" t="s">
        <v>57</v>
      </c>
      <c r="M609" s="49">
        <v>0.64</v>
      </c>
      <c r="N609" s="6">
        <f>PLANPRODUCCION[[#This Row],[PIEZAS PLANEADAS]]*PLANPRODUCCION[[#This Row],[PRECIO MAQUILAS]]</f>
        <v>1280</v>
      </c>
      <c r="O609" s="5">
        <v>7</v>
      </c>
      <c r="P609" s="2">
        <v>0.54166666666666663</v>
      </c>
      <c r="Q609" s="2">
        <v>0.625</v>
      </c>
      <c r="R609" s="5">
        <v>2000</v>
      </c>
      <c r="S609" s="7">
        <f>PLANPRODUCCION[[#This Row],[PRECIO MAQUILAS]]*PLANPRODUCCION[[#This Row],[PIEZAS REAL]]</f>
        <v>1280</v>
      </c>
      <c r="T60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1600</v>
      </c>
      <c r="U60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1356.25</v>
      </c>
      <c r="V60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1085</v>
      </c>
      <c r="W60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195</v>
      </c>
      <c r="X609" s="8" t="s">
        <v>602</v>
      </c>
      <c r="Y60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0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09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609" s="13">
        <f>IF(PLANPRODUCCION[[#This Row],[PIEZAS REAL]]&gt;0,PLANPRODUCCION[[#This Row],[PIEZAS REAL]]/PLANPRODUCCION[[#This Row],[PIEZAS ACTUALIZADO]],)</f>
        <v>1.25</v>
      </c>
      <c r="AC609" t="b">
        <f>PLANPRODUCCION[[#This Row],[INGRESO PLANEADO]]&lt;PLANPRODUCCION[[#This Row],[COSTO PLANEADO]]</f>
        <v>1</v>
      </c>
      <c r="AD609" s="46" t="s">
        <v>782</v>
      </c>
      <c r="AF609" t="b">
        <f>IF(COUNTIF(PLANPRODUCCION[[#This Row],[OBSERVACIONES]],"NO APLICA BONO*")&gt;0,TRUE,FALSE)</f>
        <v>0</v>
      </c>
    </row>
    <row r="610" spans="1:32" x14ac:dyDescent="0.25">
      <c r="A610" s="46" t="str">
        <f>UPPER(IF(PLANPRODUCCION[[#This Row],[FECHA]]&lt;=45701,_xlfn.CONCAT(TEXT(B610,"MMM"),"-",IF(ROW(A610)&lt;11,"000"&amp;ROW(A610)-1,IF(ROW(A610)&lt;101,"00"&amp;ROW(A610)-1,IF(ROW(A610)&lt;1001,"0"&amp;ROW(A610)-1,ROW(A610)-1))),"-OLD"),_xlfn.CONCAT(TEXT(B610,"MMM"),"-",IF(ROW(A610)&lt;473,"000"&amp;ROW(A610)-463,IF(ROW(A610)&lt;563,"00"&amp;ROW(A610)-463,IF(ROW(A610)&lt;1001,"0"&amp;ROW(A610)-463,ROW(A610)-463))))))</f>
        <v>FEB-0147</v>
      </c>
      <c r="B610" s="39">
        <v>45715</v>
      </c>
      <c r="C610" s="5">
        <v>3</v>
      </c>
      <c r="D610" s="5">
        <v>12</v>
      </c>
      <c r="E610" t="s">
        <v>110</v>
      </c>
      <c r="F610" s="2">
        <v>0.64583333333333337</v>
      </c>
      <c r="G610" s="2">
        <v>0.79166666666666663</v>
      </c>
      <c r="H610" s="5">
        <v>1577</v>
      </c>
      <c r="I610" t="s">
        <v>592</v>
      </c>
      <c r="J610" t="s">
        <v>68</v>
      </c>
      <c r="K610" s="5">
        <v>880</v>
      </c>
      <c r="L610" s="5" t="s">
        <v>57</v>
      </c>
      <c r="M610" s="49">
        <v>1.2</v>
      </c>
      <c r="N610" s="6">
        <f>PLANPRODUCCION[[#This Row],[PIEZAS PLANEADAS]]*PLANPRODUCCION[[#This Row],[PRECIO MAQUILAS]]</f>
        <v>1056</v>
      </c>
      <c r="O610" s="5">
        <v>4</v>
      </c>
      <c r="P610" s="2">
        <v>0.625</v>
      </c>
      <c r="Q610" s="2">
        <v>0.875</v>
      </c>
      <c r="R610" s="5">
        <v>1400</v>
      </c>
      <c r="S610" s="7">
        <f>PLANPRODUCCION[[#This Row],[PRECIO MAQUILAS]]*PLANPRODUCCION[[#This Row],[PIEZAS REAL]]</f>
        <v>1680</v>
      </c>
      <c r="T61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2012</v>
      </c>
      <c r="U61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813.75</v>
      </c>
      <c r="V61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61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-180</v>
      </c>
      <c r="X610" s="8" t="s">
        <v>602</v>
      </c>
      <c r="Y61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1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1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10" s="13">
        <f>IF(PLANPRODUCCION[[#This Row],[PIEZAS REAL]]&gt;0,PLANPRODUCCION[[#This Row],[PIEZAS REAL]]/PLANPRODUCCION[[#This Row],[PIEZAS ACTUALIZADO]],)</f>
        <v>0.69582504970178927</v>
      </c>
      <c r="AC610" t="b">
        <f>PLANPRODUCCION[[#This Row],[INGRESO PLANEADO]]&lt;PLANPRODUCCION[[#This Row],[COSTO PLANEADO]]</f>
        <v>0</v>
      </c>
      <c r="AD610" s="46" t="s">
        <v>783</v>
      </c>
      <c r="AF610" t="b">
        <f>IF(COUNTIF(PLANPRODUCCION[[#This Row],[OBSERVACIONES]],"NO APLICA BONO*")&gt;0,TRUE,FALSE)</f>
        <v>0</v>
      </c>
    </row>
    <row r="611" spans="1:32" x14ac:dyDescent="0.25">
      <c r="A611" s="46" t="str">
        <f>UPPER(IF(PLANPRODUCCION[[#This Row],[FECHA]]&lt;=45701,_xlfn.CONCAT(TEXT(B611,"MMM"),"-",IF(ROW(A611)&lt;11,"000"&amp;ROW(A611)-1,IF(ROW(A611)&lt;101,"00"&amp;ROW(A611)-1,IF(ROW(A611)&lt;1001,"0"&amp;ROW(A611)-1,ROW(A611)-1))),"-OLD"),_xlfn.CONCAT(TEXT(B611,"MMM"),"-",IF(ROW(A611)&lt;473,"000"&amp;ROW(A611)-463,IF(ROW(A611)&lt;563,"00"&amp;ROW(A611)-463,IF(ROW(A611)&lt;1001,"0"&amp;ROW(A611)-463,ROW(A611)-463))))))</f>
        <v>FEB-0148</v>
      </c>
      <c r="B611" s="39">
        <v>45715</v>
      </c>
      <c r="C611" s="5">
        <v>3</v>
      </c>
      <c r="D611" s="5">
        <v>0</v>
      </c>
      <c r="E611" t="s">
        <v>110</v>
      </c>
      <c r="F611" s="2">
        <v>0.64583333333333337</v>
      </c>
      <c r="G611" s="2">
        <v>0.79166666666666663</v>
      </c>
      <c r="H611" s="5">
        <v>1580</v>
      </c>
      <c r="I611" t="s">
        <v>444</v>
      </c>
      <c r="J611" t="s">
        <v>445</v>
      </c>
      <c r="K611" s="5">
        <v>312</v>
      </c>
      <c r="L611" s="5" t="s">
        <v>57</v>
      </c>
      <c r="M611" s="49">
        <v>1.2</v>
      </c>
      <c r="N611" s="6">
        <f>PLANPRODUCCION[[#This Row],[PIEZAS PLANEADAS]]*PLANPRODUCCION[[#This Row],[PRECIO MAQUILAS]]</f>
        <v>374.4</v>
      </c>
      <c r="O611" s="5">
        <v>0</v>
      </c>
      <c r="P611" s="2">
        <v>0</v>
      </c>
      <c r="Q611" s="2">
        <v>0</v>
      </c>
      <c r="R611" s="5">
        <v>0</v>
      </c>
      <c r="S611" s="7">
        <f>PLANPRODUCCION[[#This Row],[PRECIO MAQUILAS]]*PLANPRODUCCION[[#This Row],[PIEZAS REAL]]</f>
        <v>0</v>
      </c>
      <c r="T61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1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1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1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11" s="8" t="s">
        <v>602</v>
      </c>
      <c r="Y611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1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11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11" s="13">
        <f>IF(PLANPRODUCCION[[#This Row],[PIEZAS REAL]]&gt;0,PLANPRODUCCION[[#This Row],[PIEZAS REAL]]/PLANPRODUCCION[[#This Row],[PIEZAS ACTUALIZADO]],)</f>
        <v>0</v>
      </c>
      <c r="AC611" t="b">
        <f>PLANPRODUCCION[[#This Row],[INGRESO PLANEADO]]&lt;PLANPRODUCCION[[#This Row],[COSTO PLANEADO]]</f>
        <v>0</v>
      </c>
      <c r="AD611" s="46" t="s">
        <v>784</v>
      </c>
      <c r="AF611" t="b">
        <f>IF(COUNTIF(PLANPRODUCCION[[#This Row],[OBSERVACIONES]],"NO APLICA BONO*")&gt;0,TRUE,FALSE)</f>
        <v>0</v>
      </c>
    </row>
    <row r="612" spans="1:32" x14ac:dyDescent="0.25">
      <c r="A612" s="46" t="str">
        <f>UPPER(IF(PLANPRODUCCION[[#This Row],[FECHA]]&lt;=45701,_xlfn.CONCAT(TEXT(B612,"MMM"),"-",IF(ROW(A612)&lt;11,"000"&amp;ROW(A612)-1,IF(ROW(A612)&lt;101,"00"&amp;ROW(A612)-1,IF(ROW(A612)&lt;1001,"0"&amp;ROW(A612)-1,ROW(A612)-1))),"-OLD"),_xlfn.CONCAT(TEXT(B612,"MMM"),"-",IF(ROW(A612)&lt;473,"000"&amp;ROW(A612)-463,IF(ROW(A612)&lt;563,"00"&amp;ROW(A612)-463,IF(ROW(A612)&lt;1001,"0"&amp;ROW(A612)-463,ROW(A612)-463))))))</f>
        <v>FEB-0149</v>
      </c>
      <c r="B612" s="39">
        <v>45715</v>
      </c>
      <c r="C612" s="5">
        <v>4</v>
      </c>
      <c r="D612" s="5">
        <v>12</v>
      </c>
      <c r="E612" t="s">
        <v>110</v>
      </c>
      <c r="F612" s="2">
        <v>0.79166666666666663</v>
      </c>
      <c r="G612" s="2">
        <v>0.875</v>
      </c>
      <c r="H612" s="5">
        <v>1577</v>
      </c>
      <c r="I612" t="s">
        <v>592</v>
      </c>
      <c r="J612" t="s">
        <v>68</v>
      </c>
      <c r="K612" s="5">
        <v>1170</v>
      </c>
      <c r="L612" s="5" t="s">
        <v>57</v>
      </c>
      <c r="M612" s="49">
        <v>1.2</v>
      </c>
      <c r="N612" s="6">
        <f>PLANPRODUCCION[[#This Row],[PIEZAS PLANEADAS]]*PLANPRODUCCION[[#This Row],[PRECIO MAQUILAS]]</f>
        <v>1404</v>
      </c>
      <c r="O612" s="5">
        <v>4</v>
      </c>
      <c r="P612" s="2">
        <v>0.625</v>
      </c>
      <c r="Q612" s="2">
        <v>0.875</v>
      </c>
      <c r="R612" s="5">
        <v>1500</v>
      </c>
      <c r="S612" s="7">
        <f>PLANPRODUCCION[[#This Row],[PRECIO MAQUILAS]]*PLANPRODUCCION[[#This Row],[PIEZAS REAL]]</f>
        <v>1800</v>
      </c>
      <c r="T61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3510</v>
      </c>
      <c r="U61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61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61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-60</v>
      </c>
      <c r="X612" s="8" t="s">
        <v>602</v>
      </c>
      <c r="Y61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1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1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12" s="13">
        <f>IF(PLANPRODUCCION[[#This Row],[PIEZAS REAL]]&gt;0,PLANPRODUCCION[[#This Row],[PIEZAS REAL]]/PLANPRODUCCION[[#This Row],[PIEZAS ACTUALIZADO]],)</f>
        <v>0.42735042735042733</v>
      </c>
      <c r="AC612" t="b">
        <f>PLANPRODUCCION[[#This Row],[INGRESO PLANEADO]]&lt;PLANPRODUCCION[[#This Row],[COSTO PLANEADO]]</f>
        <v>0</v>
      </c>
      <c r="AD612" s="46" t="s">
        <v>785</v>
      </c>
      <c r="AF612" t="b">
        <f>IF(COUNTIF(PLANPRODUCCION[[#This Row],[OBSERVACIONES]],"NO APLICA BONO*")&gt;0,TRUE,FALSE)</f>
        <v>0</v>
      </c>
    </row>
    <row r="613" spans="1:32" x14ac:dyDescent="0.25">
      <c r="A613" s="46" t="str">
        <f>UPPER(IF(PLANPRODUCCION[[#This Row],[FECHA]]&lt;=45701,_xlfn.CONCAT(TEXT(B613,"MMM"),"-",IF(ROW(A613)&lt;11,"000"&amp;ROW(A613)-1,IF(ROW(A613)&lt;101,"00"&amp;ROW(A613)-1,IF(ROW(A613)&lt;1001,"0"&amp;ROW(A613)-1,ROW(A613)-1))),"-OLD"),_xlfn.CONCAT(TEXT(B613,"MMM"),"-",IF(ROW(A613)&lt;473,"000"&amp;ROW(A613)-463,IF(ROW(A613)&lt;563,"00"&amp;ROW(A613)-463,IF(ROW(A613)&lt;1001,"0"&amp;ROW(A613)-463,ROW(A613)-463))))))</f>
        <v>FEB-0150</v>
      </c>
      <c r="B613" s="39">
        <v>45715</v>
      </c>
      <c r="C613" s="5">
        <v>4</v>
      </c>
      <c r="D613" s="5">
        <v>0</v>
      </c>
      <c r="E613" t="s">
        <v>110</v>
      </c>
      <c r="F613" s="2">
        <v>0.79166666666666663</v>
      </c>
      <c r="G613" s="2">
        <v>0.875</v>
      </c>
      <c r="H613" s="5">
        <v>1581</v>
      </c>
      <c r="I613" t="s">
        <v>772</v>
      </c>
      <c r="J613" t="s">
        <v>445</v>
      </c>
      <c r="K613" s="5">
        <v>416</v>
      </c>
      <c r="L613" s="5" t="s">
        <v>57</v>
      </c>
      <c r="M613" s="49">
        <v>1.2</v>
      </c>
      <c r="N613" s="6">
        <f>PLANPRODUCCION[[#This Row],[PIEZAS PLANEADAS]]*PLANPRODUCCION[[#This Row],[PRECIO MAQUILAS]]</f>
        <v>499.2</v>
      </c>
      <c r="O613" s="5">
        <v>0</v>
      </c>
      <c r="P613" s="2">
        <v>0</v>
      </c>
      <c r="Q613" s="2">
        <v>0</v>
      </c>
      <c r="R613" s="5">
        <v>0</v>
      </c>
      <c r="S613" s="7">
        <f>PLANPRODUCCION[[#This Row],[PRECIO MAQUILAS]]*PLANPRODUCCION[[#This Row],[PIEZAS REAL]]</f>
        <v>0</v>
      </c>
      <c r="T61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1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1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1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13" s="8" t="s">
        <v>602</v>
      </c>
      <c r="Y613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1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13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13" s="13">
        <f>IF(PLANPRODUCCION[[#This Row],[PIEZAS REAL]]&gt;0,PLANPRODUCCION[[#This Row],[PIEZAS REAL]]/PLANPRODUCCION[[#This Row],[PIEZAS ACTUALIZADO]],)</f>
        <v>0</v>
      </c>
      <c r="AC613" t="b">
        <f>PLANPRODUCCION[[#This Row],[INGRESO PLANEADO]]&lt;PLANPRODUCCION[[#This Row],[COSTO PLANEADO]]</f>
        <v>0</v>
      </c>
      <c r="AD613" s="46" t="s">
        <v>786</v>
      </c>
      <c r="AF613" t="b">
        <f>IF(COUNTIF(PLANPRODUCCION[[#This Row],[OBSERVACIONES]],"NO APLICA BONO*")&gt;0,TRUE,FALSE)</f>
        <v>0</v>
      </c>
    </row>
    <row r="614" spans="1:32" x14ac:dyDescent="0.25">
      <c r="A614" s="46" t="str">
        <f>UPPER(IF(PLANPRODUCCION[[#This Row],[FECHA]]&lt;=45701,_xlfn.CONCAT(TEXT(B614,"MMM"),"-",IF(ROW(A614)&lt;11,"000"&amp;ROW(A614)-1,IF(ROW(A614)&lt;101,"00"&amp;ROW(A614)-1,IF(ROW(A614)&lt;1001,"0"&amp;ROW(A614)-1,ROW(A614)-1))),"-OLD"),_xlfn.CONCAT(TEXT(B614,"MMM"),"-",IF(ROW(A614)&lt;473,"000"&amp;ROW(A614)-463,IF(ROW(A614)&lt;563,"00"&amp;ROW(A614)-463,IF(ROW(A614)&lt;1001,"0"&amp;ROW(A614)-463,ROW(A614)-463))))))</f>
        <v>FEB-0151</v>
      </c>
      <c r="B614" s="39">
        <v>45715</v>
      </c>
      <c r="C614" s="5">
        <v>2</v>
      </c>
      <c r="D614" s="5">
        <v>2</v>
      </c>
      <c r="E614" t="s">
        <v>72</v>
      </c>
      <c r="F614" s="2">
        <v>0.66666666666666663</v>
      </c>
      <c r="G614" s="2">
        <v>0.875</v>
      </c>
      <c r="H614" s="5">
        <v>1581</v>
      </c>
      <c r="I614" t="s">
        <v>772</v>
      </c>
      <c r="J614" t="s">
        <v>445</v>
      </c>
      <c r="K614" s="5">
        <v>520</v>
      </c>
      <c r="L614" s="5" t="s">
        <v>57</v>
      </c>
      <c r="M614" s="49">
        <v>1.2</v>
      </c>
      <c r="N614" s="6">
        <f>PLANPRODUCCION[[#This Row],[PIEZAS PLANEADAS]]*PLANPRODUCCION[[#This Row],[PRECIO MAQUILAS]]</f>
        <v>624</v>
      </c>
      <c r="O614" s="5">
        <v>2</v>
      </c>
      <c r="P614" s="2">
        <v>0.66666666666666663</v>
      </c>
      <c r="Q614" s="2">
        <v>0.875</v>
      </c>
      <c r="R614" s="5">
        <v>600</v>
      </c>
      <c r="S614" s="7">
        <f>PLANPRODUCCION[[#This Row],[PRECIO MAQUILAS]]*PLANPRODUCCION[[#This Row],[PIEZAS REAL]]</f>
        <v>720</v>
      </c>
      <c r="T61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520</v>
      </c>
      <c r="U61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61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61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100</v>
      </c>
      <c r="X614" s="8" t="s">
        <v>602</v>
      </c>
      <c r="Y61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1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1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14" s="13">
        <f>IF(PLANPRODUCCION[[#This Row],[PIEZAS REAL]]&gt;0,PLANPRODUCCION[[#This Row],[PIEZAS REAL]]/PLANPRODUCCION[[#This Row],[PIEZAS ACTUALIZADO]],)</f>
        <v>1.1538461538461537</v>
      </c>
      <c r="AC614" t="b">
        <f>PLANPRODUCCION[[#This Row],[INGRESO PLANEADO]]&lt;PLANPRODUCCION[[#This Row],[COSTO PLANEADO]]</f>
        <v>0</v>
      </c>
      <c r="AD614" s="46" t="s">
        <v>787</v>
      </c>
      <c r="AF614" t="b">
        <f>IF(COUNTIF(PLANPRODUCCION[[#This Row],[OBSERVACIONES]],"NO APLICA BONO*")&gt;0,TRUE,FALSE)</f>
        <v>0</v>
      </c>
    </row>
    <row r="615" spans="1:32" x14ac:dyDescent="0.25">
      <c r="A615" s="46" t="str">
        <f>UPPER(IF(PLANPRODUCCION[[#This Row],[FECHA]]&lt;=45701,_xlfn.CONCAT(TEXT(B615,"MMM"),"-",IF(ROW(A615)&lt;11,"000"&amp;ROW(A615)-1,IF(ROW(A615)&lt;101,"00"&amp;ROW(A615)-1,IF(ROW(A615)&lt;1001,"0"&amp;ROW(A615)-1,ROW(A615)-1))),"-OLD"),_xlfn.CONCAT(TEXT(B615,"MMM"),"-",IF(ROW(A615)&lt;473,"000"&amp;ROW(A615)-463,IF(ROW(A615)&lt;563,"00"&amp;ROW(A615)-463,IF(ROW(A615)&lt;1001,"0"&amp;ROW(A615)-463,ROW(A615)-463))))))</f>
        <v>FEB-0152</v>
      </c>
      <c r="B615" s="39">
        <v>45715</v>
      </c>
      <c r="C615" s="5">
        <v>3</v>
      </c>
      <c r="D615" s="5">
        <v>1</v>
      </c>
      <c r="E615" t="s">
        <v>72</v>
      </c>
      <c r="F615" s="2">
        <v>0.66666666666666663</v>
      </c>
      <c r="G615" s="2">
        <v>0.875</v>
      </c>
      <c r="H615" s="5">
        <v>1580</v>
      </c>
      <c r="I615" t="s">
        <v>444</v>
      </c>
      <c r="J615" t="s">
        <v>445</v>
      </c>
      <c r="K615" s="5">
        <v>780</v>
      </c>
      <c r="L615" s="5" t="s">
        <v>57</v>
      </c>
      <c r="M615" s="49">
        <v>1.2</v>
      </c>
      <c r="N615" s="6">
        <f>PLANPRODUCCION[[#This Row],[PIEZAS PLANEADAS]]*PLANPRODUCCION[[#This Row],[PRECIO MAQUILAS]]</f>
        <v>936</v>
      </c>
      <c r="O615" s="5">
        <v>3</v>
      </c>
      <c r="P615" s="2">
        <v>0.66666666666666663</v>
      </c>
      <c r="Q615" s="2">
        <v>0.875</v>
      </c>
      <c r="R615" s="5">
        <v>782</v>
      </c>
      <c r="S615" s="7">
        <f>PLANPRODUCCION[[#This Row],[PRECIO MAQUILAS]]*PLANPRODUCCION[[#This Row],[PIEZAS REAL]]</f>
        <v>938.4</v>
      </c>
      <c r="T61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780</v>
      </c>
      <c r="U61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61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61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8.3999999999999773</v>
      </c>
      <c r="X615" s="8" t="s">
        <v>602</v>
      </c>
      <c r="Y61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1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1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15" s="13">
        <f>IF(PLANPRODUCCION[[#This Row],[PIEZAS REAL]]&gt;0,PLANPRODUCCION[[#This Row],[PIEZAS REAL]]/PLANPRODUCCION[[#This Row],[PIEZAS ACTUALIZADO]],)</f>
        <v>1.0025641025641026</v>
      </c>
      <c r="AC615" t="b">
        <f>PLANPRODUCCION[[#This Row],[INGRESO PLANEADO]]&lt;PLANPRODUCCION[[#This Row],[COSTO PLANEADO]]</f>
        <v>0</v>
      </c>
      <c r="AD615" s="46" t="s">
        <v>788</v>
      </c>
      <c r="AF615" t="b">
        <f>IF(COUNTIF(PLANPRODUCCION[[#This Row],[OBSERVACIONES]],"NO APLICA BONO*")&gt;0,TRUE,FALSE)</f>
        <v>0</v>
      </c>
    </row>
    <row r="616" spans="1:32" x14ac:dyDescent="0.25">
      <c r="A616" s="46" t="str">
        <f>UPPER(IF(PLANPRODUCCION[[#This Row],[FECHA]]&lt;=45701,_xlfn.CONCAT(TEXT(B616,"MMM"),"-",IF(ROW(A616)&lt;11,"000"&amp;ROW(A616)-1,IF(ROW(A616)&lt;101,"00"&amp;ROW(A616)-1,IF(ROW(A616)&lt;1001,"0"&amp;ROW(A616)-1,ROW(A616)-1))),"-OLD"),_xlfn.CONCAT(TEXT(B616,"MMM"),"-",IF(ROW(A616)&lt;473,"000"&amp;ROW(A616)-463,IF(ROW(A616)&lt;563,"00"&amp;ROW(A616)-463,IF(ROW(A616)&lt;1001,"0"&amp;ROW(A616)-463,ROW(A616)-463))))))</f>
        <v>FEB-0153</v>
      </c>
      <c r="B616" s="39">
        <v>45716</v>
      </c>
      <c r="C616" s="5">
        <v>2</v>
      </c>
      <c r="D616" s="5" t="s">
        <v>62</v>
      </c>
      <c r="E616" t="s">
        <v>54</v>
      </c>
      <c r="F616" s="2">
        <v>0.25</v>
      </c>
      <c r="G616" s="2">
        <v>0.66666666666666663</v>
      </c>
      <c r="H616" s="5">
        <v>1589</v>
      </c>
      <c r="I616" t="s">
        <v>589</v>
      </c>
      <c r="J616" t="s">
        <v>773</v>
      </c>
      <c r="K616" s="5">
        <v>5000</v>
      </c>
      <c r="L616" s="5" t="s">
        <v>65</v>
      </c>
      <c r="M616" s="49">
        <v>1.4</v>
      </c>
      <c r="N616" s="6">
        <f>PLANPRODUCCION[[#This Row],[PIEZAS PLANEADAS]]*PLANPRODUCCION[[#This Row],[PRECIO MAQUILAS]]</f>
        <v>7000</v>
      </c>
      <c r="O616" s="5">
        <v>0</v>
      </c>
      <c r="P616" s="2">
        <v>0</v>
      </c>
      <c r="Q616" s="2">
        <v>0</v>
      </c>
      <c r="R616" s="5">
        <v>0</v>
      </c>
      <c r="S616" s="7">
        <f>PLANPRODUCCION[[#This Row],[PRECIO MAQUILAS]]*PLANPRODUCCION[[#This Row],[PIEZAS REAL]]</f>
        <v>0</v>
      </c>
      <c r="T61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1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1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1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16" s="8" t="s">
        <v>602</v>
      </c>
      <c r="Y616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1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16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16" s="13">
        <f>IF(PLANPRODUCCION[[#This Row],[PIEZAS REAL]]&gt;0,PLANPRODUCCION[[#This Row],[PIEZAS REAL]]/PLANPRODUCCION[[#This Row],[PIEZAS ACTUALIZADO]],)</f>
        <v>0</v>
      </c>
      <c r="AC616" t="b">
        <f>PLANPRODUCCION[[#This Row],[INGRESO PLANEADO]]&lt;PLANPRODUCCION[[#This Row],[COSTO PLANEADO]]</f>
        <v>0</v>
      </c>
      <c r="AD616" s="46" t="s">
        <v>789</v>
      </c>
      <c r="AF616" t="b">
        <f>IF(COUNTIF(PLANPRODUCCION[[#This Row],[OBSERVACIONES]],"NO APLICA BONO*")&gt;0,TRUE,FALSE)</f>
        <v>0</v>
      </c>
    </row>
    <row r="617" spans="1:32" x14ac:dyDescent="0.25">
      <c r="A617" s="46" t="str">
        <f>UPPER(IF(PLANPRODUCCION[[#This Row],[FECHA]]&lt;=45701,_xlfn.CONCAT(TEXT(B617,"MMM"),"-",IF(ROW(A617)&lt;11,"000"&amp;ROW(A617)-1,IF(ROW(A617)&lt;101,"00"&amp;ROW(A617)-1,IF(ROW(A617)&lt;1001,"0"&amp;ROW(A617)-1,ROW(A617)-1))),"-OLD"),_xlfn.CONCAT(TEXT(B617,"MMM"),"-",IF(ROW(A617)&lt;473,"000"&amp;ROW(A617)-463,IF(ROW(A617)&lt;563,"00"&amp;ROW(A617)-463,IF(ROW(A617)&lt;1001,"0"&amp;ROW(A617)-463,ROW(A617)-463))))))</f>
        <v>FEB-0154</v>
      </c>
      <c r="B617" s="39">
        <v>45716</v>
      </c>
      <c r="C617" s="5">
        <v>6</v>
      </c>
      <c r="D617" s="5" t="s">
        <v>666</v>
      </c>
      <c r="E617" t="s">
        <v>54</v>
      </c>
      <c r="F617" s="2">
        <v>0.25</v>
      </c>
      <c r="G617" s="2">
        <v>0.54166666666666663</v>
      </c>
      <c r="H617" s="5">
        <v>1522</v>
      </c>
      <c r="I617" t="s">
        <v>434</v>
      </c>
      <c r="J617" t="s">
        <v>441</v>
      </c>
      <c r="K617" s="5">
        <v>240</v>
      </c>
      <c r="L617" s="10" t="s">
        <v>283</v>
      </c>
      <c r="M617" s="49">
        <v>15</v>
      </c>
      <c r="N617" s="6">
        <f>PLANPRODUCCION[[#This Row],[PIEZAS PLANEADAS]]*PLANPRODUCCION[[#This Row],[PRECIO MAQUILAS]]</f>
        <v>3600</v>
      </c>
      <c r="O617" s="5">
        <v>5</v>
      </c>
      <c r="P617" s="2">
        <v>0.25</v>
      </c>
      <c r="Q617" s="2">
        <v>0.54166666666666663</v>
      </c>
      <c r="R617" s="5">
        <v>240</v>
      </c>
      <c r="S617" s="7">
        <f>PLANPRODUCCION[[#This Row],[PRECIO MAQUILAS]]*PLANPRODUCCION[[#This Row],[PIEZAS REAL]]</f>
        <v>3600</v>
      </c>
      <c r="T61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200</v>
      </c>
      <c r="U61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2604</v>
      </c>
      <c r="V61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2170</v>
      </c>
      <c r="W61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1430</v>
      </c>
      <c r="X617" s="8" t="s">
        <v>602</v>
      </c>
      <c r="Y61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1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17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617" s="13">
        <f>IF(PLANPRODUCCION[[#This Row],[PIEZAS REAL]]&gt;0,PLANPRODUCCION[[#This Row],[PIEZAS REAL]]/PLANPRODUCCION[[#This Row],[PIEZAS ACTUALIZADO]],)</f>
        <v>1.2</v>
      </c>
      <c r="AC617" t="b">
        <f>PLANPRODUCCION[[#This Row],[INGRESO PLANEADO]]&lt;PLANPRODUCCION[[#This Row],[COSTO PLANEADO]]</f>
        <v>0</v>
      </c>
      <c r="AD617" s="46" t="s">
        <v>790</v>
      </c>
      <c r="AF617" t="b">
        <f>IF(COUNTIF(PLANPRODUCCION[[#This Row],[OBSERVACIONES]],"NO APLICA BONO*")&gt;0,TRUE,FALSE)</f>
        <v>0</v>
      </c>
    </row>
    <row r="618" spans="1:32" x14ac:dyDescent="0.25">
      <c r="A618" s="46" t="str">
        <f>UPPER(IF(PLANPRODUCCION[[#This Row],[FECHA]]&lt;=45701,_xlfn.CONCAT(TEXT(B618,"MMM"),"-",IF(ROW(A618)&lt;11,"000"&amp;ROW(A618)-1,IF(ROW(A618)&lt;101,"00"&amp;ROW(A618)-1,IF(ROW(A618)&lt;1001,"0"&amp;ROW(A618)-1,ROW(A618)-1))),"-OLD"),_xlfn.CONCAT(TEXT(B618,"MMM"),"-",IF(ROW(A618)&lt;473,"000"&amp;ROW(A618)-463,IF(ROW(A618)&lt;563,"00"&amp;ROW(A618)-463,IF(ROW(A618)&lt;1001,"0"&amp;ROW(A618)-463,ROW(A618)-463))))))</f>
        <v>FEB-0155</v>
      </c>
      <c r="B618" s="39">
        <v>45716</v>
      </c>
      <c r="C618" s="5">
        <v>8</v>
      </c>
      <c r="D618" s="5" t="s">
        <v>666</v>
      </c>
      <c r="E618" t="s">
        <v>54</v>
      </c>
      <c r="F618" s="2">
        <v>0.54166666666666663</v>
      </c>
      <c r="G618" s="2">
        <v>0.66666666666666663</v>
      </c>
      <c r="H618" s="5">
        <v>1522</v>
      </c>
      <c r="I618" t="s">
        <v>434</v>
      </c>
      <c r="J618" t="s">
        <v>441</v>
      </c>
      <c r="K618" s="5">
        <v>138</v>
      </c>
      <c r="L618" s="10" t="s">
        <v>283</v>
      </c>
      <c r="M618" s="49">
        <v>15</v>
      </c>
      <c r="N618" s="6">
        <f>PLANPRODUCCION[[#This Row],[PIEZAS PLANEADAS]]*PLANPRODUCCION[[#This Row],[PRECIO MAQUILAS]]</f>
        <v>2070</v>
      </c>
      <c r="O618" s="5">
        <v>8</v>
      </c>
      <c r="P618" s="2">
        <v>0.54166666666666663</v>
      </c>
      <c r="Q618" s="2">
        <v>0.66666666666666663</v>
      </c>
      <c r="R618" s="5">
        <v>149</v>
      </c>
      <c r="S618" s="7">
        <f>PLANPRODUCCION[[#This Row],[PRECIO MAQUILAS]]*PLANPRODUCCION[[#This Row],[PIEZAS REAL]]</f>
        <v>2235</v>
      </c>
      <c r="T61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138</v>
      </c>
      <c r="U61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1488</v>
      </c>
      <c r="V61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61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747</v>
      </c>
      <c r="X618" s="8" t="s">
        <v>606</v>
      </c>
      <c r="Y61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1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1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18" s="13">
        <f>IF(PLANPRODUCCION[[#This Row],[PIEZAS REAL]]&gt;0,PLANPRODUCCION[[#This Row],[PIEZAS REAL]]/PLANPRODUCCION[[#This Row],[PIEZAS ACTUALIZADO]],)</f>
        <v>1.0797101449275361</v>
      </c>
      <c r="AC618" t="b">
        <f>PLANPRODUCCION[[#This Row],[INGRESO PLANEADO]]&lt;PLANPRODUCCION[[#This Row],[COSTO PLANEADO]]</f>
        <v>0</v>
      </c>
      <c r="AD618" s="46" t="s">
        <v>791</v>
      </c>
      <c r="AF618" t="b">
        <f>IF(COUNTIF(PLANPRODUCCION[[#This Row],[OBSERVACIONES]],"NO APLICA BONO*")&gt;0,TRUE,FALSE)</f>
        <v>0</v>
      </c>
    </row>
    <row r="619" spans="1:32" x14ac:dyDescent="0.25">
      <c r="A619" s="46" t="str">
        <f>UPPER(IF(PLANPRODUCCION[[#This Row],[FECHA]]&lt;=45701,_xlfn.CONCAT(TEXT(B619,"MMM"),"-",IF(ROW(A619)&lt;11,"000"&amp;ROW(A619)-1,IF(ROW(A619)&lt;101,"00"&amp;ROW(A619)-1,IF(ROW(A619)&lt;1001,"0"&amp;ROW(A619)-1,ROW(A619)-1))),"-OLD"),_xlfn.CONCAT(TEXT(B619,"MMM"),"-",IF(ROW(A619)&lt;473,"000"&amp;ROW(A619)-463,IF(ROW(A619)&lt;563,"00"&amp;ROW(A619)-463,IF(ROW(A619)&lt;1001,"0"&amp;ROW(A619)-463,ROW(A619)-463))))))</f>
        <v>FEB-0156</v>
      </c>
      <c r="B619" s="39">
        <v>45716</v>
      </c>
      <c r="C619" s="5">
        <v>6</v>
      </c>
      <c r="D619" s="5">
        <v>0</v>
      </c>
      <c r="E619" t="s">
        <v>54</v>
      </c>
      <c r="F619" s="2">
        <v>0.54166666666666663</v>
      </c>
      <c r="G619" s="2">
        <v>0.66666666666666663</v>
      </c>
      <c r="H619" s="5">
        <v>1589</v>
      </c>
      <c r="I619" t="s">
        <v>589</v>
      </c>
      <c r="J619" t="s">
        <v>89</v>
      </c>
      <c r="K619" s="5">
        <v>1520</v>
      </c>
      <c r="L619" s="5" t="s">
        <v>57</v>
      </c>
      <c r="M619" s="49">
        <v>0.75</v>
      </c>
      <c r="N619" s="6">
        <f>PLANPRODUCCION[[#This Row],[PIEZAS PLANEADAS]]*PLANPRODUCCION[[#This Row],[PRECIO MAQUILAS]]</f>
        <v>1140</v>
      </c>
      <c r="O619" s="5">
        <v>0</v>
      </c>
      <c r="P619" s="2">
        <v>0</v>
      </c>
      <c r="Q619" s="2">
        <v>0</v>
      </c>
      <c r="R619" s="5">
        <v>0</v>
      </c>
      <c r="S619" s="7">
        <f>PLANPRODUCCION[[#This Row],[PRECIO MAQUILAS]]*PLANPRODUCCION[[#This Row],[PIEZAS REAL]]</f>
        <v>0</v>
      </c>
      <c r="T61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1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1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1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19" s="8" t="s">
        <v>602</v>
      </c>
      <c r="Y619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1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19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19" s="13">
        <f>IF(PLANPRODUCCION[[#This Row],[PIEZAS REAL]]&gt;0,PLANPRODUCCION[[#This Row],[PIEZAS REAL]]/PLANPRODUCCION[[#This Row],[PIEZAS ACTUALIZADO]],)</f>
        <v>0</v>
      </c>
      <c r="AC619" t="b">
        <f>PLANPRODUCCION[[#This Row],[INGRESO PLANEADO]]&lt;PLANPRODUCCION[[#This Row],[COSTO PLANEADO]]</f>
        <v>0</v>
      </c>
      <c r="AD619" s="46" t="s">
        <v>792</v>
      </c>
      <c r="AF619" t="b">
        <f>IF(COUNTIF(PLANPRODUCCION[[#This Row],[OBSERVACIONES]],"NO APLICA BONO*")&gt;0,TRUE,FALSE)</f>
        <v>0</v>
      </c>
    </row>
    <row r="620" spans="1:32" x14ac:dyDescent="0.25">
      <c r="A620" s="46" t="str">
        <f>UPPER(IF(PLANPRODUCCION[[#This Row],[FECHA]]&lt;=45701,_xlfn.CONCAT(TEXT(B620,"MMM"),"-",IF(ROW(A620)&lt;11,"000"&amp;ROW(A620)-1,IF(ROW(A620)&lt;101,"00"&amp;ROW(A620)-1,IF(ROW(A620)&lt;1001,"0"&amp;ROW(A620)-1,ROW(A620)-1))),"-OLD"),_xlfn.CONCAT(TEXT(B620,"MMM"),"-",IF(ROW(A620)&lt;473,"000"&amp;ROW(A620)-463,IF(ROW(A620)&lt;563,"00"&amp;ROW(A620)-463,IF(ROW(A620)&lt;1001,"0"&amp;ROW(A620)-463,ROW(A620)-463))))))</f>
        <v>FEB-0157</v>
      </c>
      <c r="B620" s="39">
        <v>45716</v>
      </c>
      <c r="C620" s="5">
        <v>1</v>
      </c>
      <c r="D620" s="5">
        <v>0</v>
      </c>
      <c r="E620" t="s">
        <v>54</v>
      </c>
      <c r="F620" s="2">
        <v>0.25</v>
      </c>
      <c r="G620" s="2">
        <v>0.33333333333333331</v>
      </c>
      <c r="H620" s="5">
        <v>1522</v>
      </c>
      <c r="I620" t="s">
        <v>434</v>
      </c>
      <c r="J620" t="s">
        <v>435</v>
      </c>
      <c r="K620" s="5">
        <v>960</v>
      </c>
      <c r="L620" s="10" t="s">
        <v>57</v>
      </c>
      <c r="M620" s="49">
        <v>0.3</v>
      </c>
      <c r="N620" s="6">
        <f>PLANPRODUCCION[[#This Row],[PIEZAS PLANEADAS]]*PLANPRODUCCION[[#This Row],[PRECIO MAQUILAS]]</f>
        <v>288</v>
      </c>
      <c r="O620" s="5">
        <v>0</v>
      </c>
      <c r="P620" s="2">
        <v>0</v>
      </c>
      <c r="Q620" s="2">
        <v>0</v>
      </c>
      <c r="R620" s="5">
        <v>0</v>
      </c>
      <c r="S620" s="7">
        <f>PLANPRODUCCION[[#This Row],[PRECIO MAQUILAS]]*PLANPRODUCCION[[#This Row],[PIEZAS REAL]]</f>
        <v>0</v>
      </c>
      <c r="T62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2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2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2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20" s="8" t="s">
        <v>602</v>
      </c>
      <c r="Y620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2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20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20" s="13">
        <f>IF(PLANPRODUCCION[[#This Row],[PIEZAS REAL]]&gt;0,PLANPRODUCCION[[#This Row],[PIEZAS REAL]]/PLANPRODUCCION[[#This Row],[PIEZAS ACTUALIZADO]],)</f>
        <v>0</v>
      </c>
      <c r="AC620" t="b">
        <f>PLANPRODUCCION[[#This Row],[INGRESO PLANEADO]]&lt;PLANPRODUCCION[[#This Row],[COSTO PLANEADO]]</f>
        <v>0</v>
      </c>
      <c r="AD620" s="46" t="s">
        <v>793</v>
      </c>
      <c r="AF620" t="b">
        <f>IF(COUNTIF(PLANPRODUCCION[[#This Row],[OBSERVACIONES]],"NO APLICA BONO*")&gt;0,TRUE,FALSE)</f>
        <v>0</v>
      </c>
    </row>
    <row r="621" spans="1:32" x14ac:dyDescent="0.25">
      <c r="A621" s="46" t="str">
        <f>UPPER(IF(PLANPRODUCCION[[#This Row],[FECHA]]&lt;=45701,_xlfn.CONCAT(TEXT(B621,"MMM"),"-",IF(ROW(A621)&lt;11,"000"&amp;ROW(A621)-1,IF(ROW(A621)&lt;101,"00"&amp;ROW(A621)-1,IF(ROW(A621)&lt;1001,"0"&amp;ROW(A621)-1,ROW(A621)-1))),"-OLD"),_xlfn.CONCAT(TEXT(B621,"MMM"),"-",IF(ROW(A621)&lt;473,"000"&amp;ROW(A621)-463,IF(ROW(A621)&lt;563,"00"&amp;ROW(A621)-463,IF(ROW(A621)&lt;1001,"0"&amp;ROW(A621)-463,ROW(A621)-463))))))</f>
        <v>FEB-0158</v>
      </c>
      <c r="B621" s="39">
        <v>45716</v>
      </c>
      <c r="C621" s="5">
        <v>10</v>
      </c>
      <c r="D621" s="5">
        <v>1</v>
      </c>
      <c r="E621" t="s">
        <v>54</v>
      </c>
      <c r="F621" s="2">
        <v>0.25</v>
      </c>
      <c r="G621" s="2">
        <v>0.66666666666666663</v>
      </c>
      <c r="H621" s="5">
        <v>1590</v>
      </c>
      <c r="I621" t="s">
        <v>762</v>
      </c>
      <c r="J621" t="s">
        <v>763</v>
      </c>
      <c r="K621" s="5">
        <v>130</v>
      </c>
      <c r="L621" s="5" t="s">
        <v>57</v>
      </c>
      <c r="M621" s="49">
        <v>32.14</v>
      </c>
      <c r="N621" s="6">
        <f>PLANPRODUCCION[[#This Row],[PIEZAS PLANEADAS]]*PLANPRODUCCION[[#This Row],[PRECIO MAQUILAS]]</f>
        <v>4178.2</v>
      </c>
      <c r="O621" s="5">
        <v>10</v>
      </c>
      <c r="P621" s="2">
        <v>0.25</v>
      </c>
      <c r="Q621" s="2">
        <v>0.66666666666666663</v>
      </c>
      <c r="R621" s="5">
        <v>125</v>
      </c>
      <c r="S621" s="7">
        <f>PLANPRODUCCION[[#This Row],[PRECIO MAQUILAS]]*PLANPRODUCCION[[#This Row],[PIEZAS REAL]]</f>
        <v>4017.5</v>
      </c>
      <c r="T62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130</v>
      </c>
      <c r="U62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6200</v>
      </c>
      <c r="V62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6200</v>
      </c>
      <c r="W62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-2182.5</v>
      </c>
      <c r="X621" s="8" t="s">
        <v>602</v>
      </c>
      <c r="Y62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2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2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21" s="13">
        <f>IF(PLANPRODUCCION[[#This Row],[PIEZAS REAL]]&gt;0,PLANPRODUCCION[[#This Row],[PIEZAS REAL]]/PLANPRODUCCION[[#This Row],[PIEZAS ACTUALIZADO]],)</f>
        <v>0.96153846153846156</v>
      </c>
      <c r="AC621" t="b">
        <f>PLANPRODUCCION[[#This Row],[INGRESO PLANEADO]]&lt;PLANPRODUCCION[[#This Row],[COSTO PLANEADO]]</f>
        <v>1</v>
      </c>
      <c r="AD621" s="46" t="s">
        <v>794</v>
      </c>
      <c r="AF621" t="b">
        <f>IF(COUNTIF(PLANPRODUCCION[[#This Row],[OBSERVACIONES]],"NO APLICA BONO*")&gt;0,TRUE,FALSE)</f>
        <v>0</v>
      </c>
    </row>
    <row r="622" spans="1:32" x14ac:dyDescent="0.25">
      <c r="A622" s="46" t="str">
        <f>UPPER(IF(PLANPRODUCCION[[#This Row],[FECHA]]&lt;=45701,_xlfn.CONCAT(TEXT(B622,"MMM"),"-",IF(ROW(A622)&lt;11,"000"&amp;ROW(A622)-1,IF(ROW(A622)&lt;101,"00"&amp;ROW(A622)-1,IF(ROW(A622)&lt;1001,"0"&amp;ROW(A622)-1,ROW(A622)-1))),"-OLD"),_xlfn.CONCAT(TEXT(B622,"MMM"),"-",IF(ROW(A622)&lt;473,"000"&amp;ROW(A622)-463,IF(ROW(A622)&lt;563,"00"&amp;ROW(A622)-463,IF(ROW(A622)&lt;1001,"0"&amp;ROW(A622)-463,ROW(A622)-463))))))</f>
        <v>FEB-0159</v>
      </c>
      <c r="B622" s="39">
        <v>45716</v>
      </c>
      <c r="C622" s="5">
        <v>3</v>
      </c>
      <c r="D622" s="5">
        <v>2</v>
      </c>
      <c r="E622" t="s">
        <v>67</v>
      </c>
      <c r="F622" s="2">
        <v>0.33333333333333331</v>
      </c>
      <c r="G622" s="2">
        <v>0.75</v>
      </c>
      <c r="H622" s="5">
        <v>1583</v>
      </c>
      <c r="I622" t="s">
        <v>795</v>
      </c>
      <c r="J622" t="s">
        <v>796</v>
      </c>
      <c r="K622" s="5">
        <v>1100</v>
      </c>
      <c r="L622" s="5" t="s">
        <v>57</v>
      </c>
      <c r="M622" s="49">
        <v>1</v>
      </c>
      <c r="N622" s="6">
        <f>PLANPRODUCCION[[#This Row],[PIEZAS PLANEADAS]]*PLANPRODUCCION[[#This Row],[PRECIO MAQUILAS]]</f>
        <v>1100</v>
      </c>
      <c r="O622" s="5">
        <v>2</v>
      </c>
      <c r="P622" s="2">
        <v>0.33333333333333331</v>
      </c>
      <c r="Q622" s="2">
        <v>0.58333333333333337</v>
      </c>
      <c r="R622" s="5">
        <v>819</v>
      </c>
      <c r="S622" s="7">
        <f>PLANPRODUCCION[[#This Row],[PRECIO MAQUILAS]]*PLANPRODUCCION[[#This Row],[PIEZAS REAL]]</f>
        <v>819</v>
      </c>
      <c r="T62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440</v>
      </c>
      <c r="U62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62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62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75</v>
      </c>
      <c r="X622" s="8" t="s">
        <v>602</v>
      </c>
      <c r="Y62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2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2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22" s="13">
        <f>IF(PLANPRODUCCION[[#This Row],[PIEZAS REAL]]&gt;0,PLANPRODUCCION[[#This Row],[PIEZAS REAL]]/PLANPRODUCCION[[#This Row],[PIEZAS ACTUALIZADO]],)</f>
        <v>1.8613636363636363</v>
      </c>
      <c r="AC622" t="b">
        <f>PLANPRODUCCION[[#This Row],[INGRESO PLANEADO]]&lt;PLANPRODUCCION[[#This Row],[COSTO PLANEADO]]</f>
        <v>1</v>
      </c>
      <c r="AD622" s="46" t="s">
        <v>797</v>
      </c>
      <c r="AF622" t="b">
        <f>IF(COUNTIF(PLANPRODUCCION[[#This Row],[OBSERVACIONES]],"NO APLICA BONO*")&gt;0,TRUE,FALSE)</f>
        <v>0</v>
      </c>
    </row>
    <row r="623" spans="1:32" x14ac:dyDescent="0.25">
      <c r="A623" s="46" t="str">
        <f>UPPER(IF(PLANPRODUCCION[[#This Row],[FECHA]]&lt;=45701,_xlfn.CONCAT(TEXT(B623,"MMM"),"-",IF(ROW(A623)&lt;11,"000"&amp;ROW(A623)-1,IF(ROW(A623)&lt;101,"00"&amp;ROW(A623)-1,IF(ROW(A623)&lt;1001,"0"&amp;ROW(A623)-1,ROW(A623)-1))),"-OLD"),_xlfn.CONCAT(TEXT(B623,"MMM"),"-",IF(ROW(A623)&lt;473,"000"&amp;ROW(A623)-463,IF(ROW(A623)&lt;563,"00"&amp;ROW(A623)-463,IF(ROW(A623)&lt;1001,"0"&amp;ROW(A623)-463,ROW(A623)-463))))))</f>
        <v>FEB-0160</v>
      </c>
      <c r="B623" s="39">
        <v>45716</v>
      </c>
      <c r="C623" s="5">
        <v>2</v>
      </c>
      <c r="D623" s="5">
        <v>2</v>
      </c>
      <c r="E623" t="s">
        <v>67</v>
      </c>
      <c r="F623" s="2">
        <v>0.58333333333333337</v>
      </c>
      <c r="G623" s="2">
        <v>0.75</v>
      </c>
      <c r="H623" s="5">
        <v>1580</v>
      </c>
      <c r="I623" t="s">
        <v>444</v>
      </c>
      <c r="J623" t="s">
        <v>445</v>
      </c>
      <c r="K623" s="5">
        <v>387</v>
      </c>
      <c r="L623" s="5" t="s">
        <v>57</v>
      </c>
      <c r="M623" s="49">
        <v>1.2</v>
      </c>
      <c r="N623" s="6">
        <f>PLANPRODUCCION[[#This Row],[PIEZAS PLANEADAS]]*PLANPRODUCCION[[#This Row],[PRECIO MAQUILAS]]</f>
        <v>464.4</v>
      </c>
      <c r="O623" s="5">
        <v>2</v>
      </c>
      <c r="P623" s="2">
        <v>0.58333333333333337</v>
      </c>
      <c r="Q623" s="2">
        <v>0.75</v>
      </c>
      <c r="R623" s="5">
        <v>200</v>
      </c>
      <c r="S623" s="7">
        <f>PLANPRODUCCION[[#This Row],[PRECIO MAQUILAS]]*PLANPRODUCCION[[#This Row],[PIEZAS REAL]]</f>
        <v>240</v>
      </c>
      <c r="T62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387</v>
      </c>
      <c r="U62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496</v>
      </c>
      <c r="V62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496</v>
      </c>
      <c r="W62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-256</v>
      </c>
      <c r="X623" s="8" t="s">
        <v>606</v>
      </c>
      <c r="Y62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2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2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23" s="13">
        <f>IF(PLANPRODUCCION[[#This Row],[PIEZAS REAL]]&gt;0,PLANPRODUCCION[[#This Row],[PIEZAS REAL]]/PLANPRODUCCION[[#This Row],[PIEZAS ACTUALIZADO]],)</f>
        <v>0.51679586563307489</v>
      </c>
      <c r="AC623" t="b">
        <f>PLANPRODUCCION[[#This Row],[INGRESO PLANEADO]]&lt;PLANPRODUCCION[[#This Row],[COSTO PLANEADO]]</f>
        <v>1</v>
      </c>
      <c r="AD623" s="46" t="s">
        <v>798</v>
      </c>
      <c r="AF623" t="b">
        <f>IF(COUNTIF(PLANPRODUCCION[[#This Row],[OBSERVACIONES]],"NO APLICA BONO*")&gt;0,TRUE,FALSE)</f>
        <v>0</v>
      </c>
    </row>
    <row r="624" spans="1:32" x14ac:dyDescent="0.25">
      <c r="A624" s="46" t="str">
        <f>UPPER(IF(PLANPRODUCCION[[#This Row],[FECHA]]&lt;=45701,_xlfn.CONCAT(TEXT(B624,"MMM"),"-",IF(ROW(A624)&lt;11,"000"&amp;ROW(A624)-1,IF(ROW(A624)&lt;101,"00"&amp;ROW(A624)-1,IF(ROW(A624)&lt;1001,"0"&amp;ROW(A624)-1,ROW(A624)-1))),"-OLD"),_xlfn.CONCAT(TEXT(B624,"MMM"),"-",IF(ROW(A624)&lt;473,"000"&amp;ROW(A624)-463,IF(ROW(A624)&lt;563,"00"&amp;ROW(A624)-463,IF(ROW(A624)&lt;1001,"0"&amp;ROW(A624)-463,ROW(A624)-463))))))</f>
        <v>FEB-0161</v>
      </c>
      <c r="B624" s="39">
        <v>45716</v>
      </c>
      <c r="C624" s="5">
        <v>2</v>
      </c>
      <c r="D624" s="5">
        <v>0</v>
      </c>
      <c r="E624" t="s">
        <v>67</v>
      </c>
      <c r="F624" s="2">
        <v>0.33333333333333331</v>
      </c>
      <c r="G624" s="2">
        <v>0.75</v>
      </c>
      <c r="H624" s="5">
        <v>1590</v>
      </c>
      <c r="I624" t="s">
        <v>762</v>
      </c>
      <c r="J624" t="s">
        <v>763</v>
      </c>
      <c r="K624" s="5">
        <v>26</v>
      </c>
      <c r="L624" s="5" t="s">
        <v>57</v>
      </c>
      <c r="M624" s="49">
        <v>32.14</v>
      </c>
      <c r="N624" s="6">
        <f>PLANPRODUCCION[[#This Row],[PIEZAS PLANEADAS]]*PLANPRODUCCION[[#This Row],[PRECIO MAQUILAS]]</f>
        <v>835.64</v>
      </c>
      <c r="O624" s="5">
        <v>0</v>
      </c>
      <c r="P624" s="2">
        <v>0</v>
      </c>
      <c r="Q624" s="2">
        <v>0</v>
      </c>
      <c r="R624" s="5">
        <v>0</v>
      </c>
      <c r="S624" s="7">
        <f>PLANPRODUCCION[[#This Row],[PRECIO MAQUILAS]]*PLANPRODUCCION[[#This Row],[PIEZAS REAL]]</f>
        <v>0</v>
      </c>
      <c r="T62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2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2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2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24" s="8" t="s">
        <v>602</v>
      </c>
      <c r="Y624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2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24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24" s="13">
        <f>IF(PLANPRODUCCION[[#This Row],[PIEZAS REAL]]&gt;0,PLANPRODUCCION[[#This Row],[PIEZAS REAL]]/PLANPRODUCCION[[#This Row],[PIEZAS ACTUALIZADO]],)</f>
        <v>0</v>
      </c>
      <c r="AC624" t="b">
        <f>PLANPRODUCCION[[#This Row],[INGRESO PLANEADO]]&lt;PLANPRODUCCION[[#This Row],[COSTO PLANEADO]]</f>
        <v>0</v>
      </c>
      <c r="AD624" s="46" t="s">
        <v>799</v>
      </c>
      <c r="AF624" t="b">
        <f>IF(COUNTIF(PLANPRODUCCION[[#This Row],[OBSERVACIONES]],"NO APLICA BONO*")&gt;0,TRUE,FALSE)</f>
        <v>0</v>
      </c>
    </row>
    <row r="625" spans="1:32" x14ac:dyDescent="0.25">
      <c r="A625" s="46" t="str">
        <f>UPPER(IF(PLANPRODUCCION[[#This Row],[FECHA]]&lt;=45701,_xlfn.CONCAT(TEXT(B625,"MMM"),"-",IF(ROW(A625)&lt;11,"000"&amp;ROW(A625)-1,IF(ROW(A625)&lt;101,"00"&amp;ROW(A625)-1,IF(ROW(A625)&lt;1001,"0"&amp;ROW(A625)-1,ROW(A625)-1))),"-OLD"),_xlfn.CONCAT(TEXT(B625,"MMM"),"-",IF(ROW(A625)&lt;473,"000"&amp;ROW(A625)-463,IF(ROW(A625)&lt;563,"00"&amp;ROW(A625)-463,IF(ROW(A625)&lt;1001,"0"&amp;ROW(A625)-463,ROW(A625)-463))))))</f>
        <v>FEB-0162</v>
      </c>
      <c r="B625" s="39">
        <v>45716</v>
      </c>
      <c r="C625" s="5">
        <v>3</v>
      </c>
      <c r="D625" s="5">
        <v>2</v>
      </c>
      <c r="E625" t="s">
        <v>67</v>
      </c>
      <c r="F625" s="2">
        <v>0.33333333333333331</v>
      </c>
      <c r="G625" s="2">
        <v>0.45833333333333331</v>
      </c>
      <c r="H625" s="5">
        <v>1577</v>
      </c>
      <c r="I625" t="s">
        <v>592</v>
      </c>
      <c r="J625" t="s">
        <v>68</v>
      </c>
      <c r="K625" s="5">
        <v>878</v>
      </c>
      <c r="L625" s="5" t="s">
        <v>57</v>
      </c>
      <c r="M625" s="49">
        <v>1.2</v>
      </c>
      <c r="N625" s="6">
        <f>PLANPRODUCCION[[#This Row],[PIEZAS PLANEADAS]]*PLANPRODUCCION[[#This Row],[PRECIO MAQUILAS]]</f>
        <v>1053.5999999999999</v>
      </c>
      <c r="O625" s="5">
        <v>3</v>
      </c>
      <c r="P625" s="2">
        <v>0.33333333333333331</v>
      </c>
      <c r="Q625" s="2">
        <v>0.45833333333333331</v>
      </c>
      <c r="R625" s="5">
        <v>596</v>
      </c>
      <c r="S625" s="7">
        <f>PLANPRODUCCION[[#This Row],[PRECIO MAQUILAS]]*PLANPRODUCCION[[#This Row],[PIEZAS REAL]]</f>
        <v>715.19999999999993</v>
      </c>
      <c r="T62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878</v>
      </c>
      <c r="U62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558</v>
      </c>
      <c r="V62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558</v>
      </c>
      <c r="W62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157.19999999999993</v>
      </c>
      <c r="X625" s="8" t="s">
        <v>606</v>
      </c>
      <c r="Y62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2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2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25" s="13">
        <f>IF(PLANPRODUCCION[[#This Row],[PIEZAS REAL]]&gt;0,PLANPRODUCCION[[#This Row],[PIEZAS REAL]]/PLANPRODUCCION[[#This Row],[PIEZAS ACTUALIZADO]],)</f>
        <v>0.67881548974943051</v>
      </c>
      <c r="AC625" t="b">
        <f>PLANPRODUCCION[[#This Row],[INGRESO PLANEADO]]&lt;PLANPRODUCCION[[#This Row],[COSTO PLANEADO]]</f>
        <v>0</v>
      </c>
      <c r="AD625" s="46" t="s">
        <v>800</v>
      </c>
      <c r="AF625" t="b">
        <f>IF(COUNTIF(PLANPRODUCCION[[#This Row],[OBSERVACIONES]],"NO APLICA BONO*")&gt;0,TRUE,FALSE)</f>
        <v>0</v>
      </c>
    </row>
    <row r="626" spans="1:32" x14ac:dyDescent="0.25">
      <c r="A626" s="46" t="str">
        <f>UPPER(IF(PLANPRODUCCION[[#This Row],[FECHA]]&lt;=45701,_xlfn.CONCAT(TEXT(B626,"MMM"),"-",IF(ROW(A626)&lt;11,"000"&amp;ROW(A626)-1,IF(ROW(A626)&lt;101,"00"&amp;ROW(A626)-1,IF(ROW(A626)&lt;1001,"0"&amp;ROW(A626)-1,ROW(A626)-1))),"-OLD"),_xlfn.CONCAT(TEXT(B626,"MMM"),"-",IF(ROW(A626)&lt;473,"000"&amp;ROW(A626)-463,IF(ROW(A626)&lt;563,"00"&amp;ROW(A626)-463,IF(ROW(A626)&lt;1001,"0"&amp;ROW(A626)-463,ROW(A626)-463))))))</f>
        <v>FEB-0163</v>
      </c>
      <c r="B626" s="39">
        <v>45716</v>
      </c>
      <c r="C626" s="5">
        <v>3</v>
      </c>
      <c r="D626" s="5">
        <v>2</v>
      </c>
      <c r="E626" t="s">
        <v>67</v>
      </c>
      <c r="F626" s="2">
        <v>0.45833333333333331</v>
      </c>
      <c r="G626" s="2">
        <v>0.70833333333333337</v>
      </c>
      <c r="H626" s="5">
        <v>1581</v>
      </c>
      <c r="I626" t="s">
        <v>780</v>
      </c>
      <c r="J626" t="s">
        <v>781</v>
      </c>
      <c r="K626" s="5">
        <v>936</v>
      </c>
      <c r="L626" s="5" t="s">
        <v>57</v>
      </c>
      <c r="M626" s="49">
        <v>0.64</v>
      </c>
      <c r="N626" s="6">
        <f>PLANPRODUCCION[[#This Row],[PIEZAS PLANEADAS]]*PLANPRODUCCION[[#This Row],[PRECIO MAQUILAS]]</f>
        <v>599.04</v>
      </c>
      <c r="O626" s="5">
        <v>3</v>
      </c>
      <c r="P626" s="2">
        <v>0.45833333333333331</v>
      </c>
      <c r="Q626" s="2">
        <v>0.70833333333333337</v>
      </c>
      <c r="R626" s="5">
        <v>587</v>
      </c>
      <c r="S626" s="7">
        <f>PLANPRODUCCION[[#This Row],[PRECIO MAQUILAS]]*PLANPRODUCCION[[#This Row],[PIEZAS REAL]]</f>
        <v>375.68</v>
      </c>
      <c r="T62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936</v>
      </c>
      <c r="U62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1116</v>
      </c>
      <c r="V62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1116</v>
      </c>
      <c r="W62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-740.31999999999994</v>
      </c>
      <c r="X626" s="8" t="s">
        <v>606</v>
      </c>
      <c r="Y62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2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2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26" s="13">
        <f>IF(PLANPRODUCCION[[#This Row],[PIEZAS REAL]]&gt;0,PLANPRODUCCION[[#This Row],[PIEZAS REAL]]/PLANPRODUCCION[[#This Row],[PIEZAS ACTUALIZADO]],)</f>
        <v>0.62713675213675213</v>
      </c>
      <c r="AC626" t="b">
        <f>PLANPRODUCCION[[#This Row],[INGRESO PLANEADO]]&lt;PLANPRODUCCION[[#This Row],[COSTO PLANEADO]]</f>
        <v>1</v>
      </c>
      <c r="AD626" s="46" t="s">
        <v>801</v>
      </c>
      <c r="AF626" t="b">
        <f>IF(COUNTIF(PLANPRODUCCION[[#This Row],[OBSERVACIONES]],"NO APLICA BONO*")&gt;0,TRUE,FALSE)</f>
        <v>0</v>
      </c>
    </row>
    <row r="627" spans="1:32" x14ac:dyDescent="0.25">
      <c r="A627" s="46" t="str">
        <f>UPPER(IF(PLANPRODUCCION[[#This Row],[FECHA]]&lt;=45701,_xlfn.CONCAT(TEXT(B627,"MMM"),"-",IF(ROW(A627)&lt;11,"000"&amp;ROW(A627)-1,IF(ROW(A627)&lt;101,"00"&amp;ROW(A627)-1,IF(ROW(A627)&lt;1001,"0"&amp;ROW(A627)-1,ROW(A627)-1))),"-OLD"),_xlfn.CONCAT(TEXT(B627,"MMM"),"-",IF(ROW(A627)&lt;473,"000"&amp;ROW(A627)-463,IF(ROW(A627)&lt;563,"00"&amp;ROW(A627)-463,IF(ROW(A627)&lt;1001,"0"&amp;ROW(A627)-463,ROW(A627)-463))))))</f>
        <v>FEB-0164</v>
      </c>
      <c r="B627" s="39">
        <v>45716</v>
      </c>
      <c r="C627" s="5">
        <v>4</v>
      </c>
      <c r="D627" s="5">
        <v>6</v>
      </c>
      <c r="E627" t="s">
        <v>110</v>
      </c>
      <c r="F627" s="2">
        <v>0.54166666666666663</v>
      </c>
      <c r="G627" s="2">
        <v>0.66666666666666663</v>
      </c>
      <c r="H627" s="5">
        <v>1580</v>
      </c>
      <c r="I627" t="s">
        <v>444</v>
      </c>
      <c r="J627" t="s">
        <v>445</v>
      </c>
      <c r="K627" s="5">
        <v>580</v>
      </c>
      <c r="L627" s="5" t="s">
        <v>57</v>
      </c>
      <c r="M627" s="49">
        <v>1.2</v>
      </c>
      <c r="N627" s="6">
        <f>PLANPRODUCCION[[#This Row],[PIEZAS PLANEADAS]]*PLANPRODUCCION[[#This Row],[PRECIO MAQUILAS]]</f>
        <v>696</v>
      </c>
      <c r="O627" s="5">
        <v>4</v>
      </c>
      <c r="P627" s="2">
        <v>0.54166666666666663</v>
      </c>
      <c r="Q627" s="2">
        <v>0.83333333333333337</v>
      </c>
      <c r="R627" s="5">
        <v>780</v>
      </c>
      <c r="S627" s="7">
        <f>PLANPRODUCCION[[#This Row],[PRECIO MAQUILAS]]*PLANPRODUCCION[[#This Row],[PIEZAS REAL]]</f>
        <v>936</v>
      </c>
      <c r="T62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1354</v>
      </c>
      <c r="U62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62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2170</v>
      </c>
      <c r="W62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-1234</v>
      </c>
      <c r="X627" s="8" t="s">
        <v>602</v>
      </c>
      <c r="Y62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2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2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27" s="13">
        <f>IF(PLANPRODUCCION[[#This Row],[PIEZAS REAL]]&gt;0,PLANPRODUCCION[[#This Row],[PIEZAS REAL]]/PLANPRODUCCION[[#This Row],[PIEZAS ACTUALIZADO]],)</f>
        <v>0.5760709010339734</v>
      </c>
      <c r="AC627" t="b">
        <f>PLANPRODUCCION[[#This Row],[INGRESO PLANEADO]]&lt;PLANPRODUCCION[[#This Row],[COSTO PLANEADO]]</f>
        <v>1</v>
      </c>
      <c r="AD627" s="46" t="s">
        <v>802</v>
      </c>
      <c r="AF627" t="b">
        <f>IF(COUNTIF(PLANPRODUCCION[[#This Row],[OBSERVACIONES]],"NO APLICA BONO*")&gt;0,TRUE,FALSE)</f>
        <v>0</v>
      </c>
    </row>
    <row r="628" spans="1:32" x14ac:dyDescent="0.25">
      <c r="A628" s="46" t="str">
        <f>UPPER(IF(PLANPRODUCCION[[#This Row],[FECHA]]&lt;=45701,_xlfn.CONCAT(TEXT(B628,"MMM"),"-",IF(ROW(A628)&lt;11,"000"&amp;ROW(A628)-1,IF(ROW(A628)&lt;101,"00"&amp;ROW(A628)-1,IF(ROW(A628)&lt;1001,"0"&amp;ROW(A628)-1,ROW(A628)-1))),"-OLD"),_xlfn.CONCAT(TEXT(B628,"MMM"),"-",IF(ROW(A628)&lt;473,"000"&amp;ROW(A628)-463,IF(ROW(A628)&lt;563,"00"&amp;ROW(A628)-463,IF(ROW(A628)&lt;1001,"0"&amp;ROW(A628)-463,ROW(A628)-463))))))</f>
        <v>FEB-0165</v>
      </c>
      <c r="B628" s="39">
        <v>45716</v>
      </c>
      <c r="C628" s="5">
        <v>4</v>
      </c>
      <c r="D628" s="5">
        <v>4</v>
      </c>
      <c r="E628" t="s">
        <v>110</v>
      </c>
      <c r="F628" s="2">
        <v>0.83333333333333337</v>
      </c>
      <c r="G628" s="2">
        <v>0.875</v>
      </c>
      <c r="H628" s="5">
        <v>1589</v>
      </c>
      <c r="I628" t="s">
        <v>589</v>
      </c>
      <c r="J628" t="s">
        <v>89</v>
      </c>
      <c r="K628" s="5">
        <v>338</v>
      </c>
      <c r="L628" s="5" t="s">
        <v>57</v>
      </c>
      <c r="M628" s="49">
        <v>0.75</v>
      </c>
      <c r="N628" s="6">
        <f>PLANPRODUCCION[[#This Row],[PIEZAS PLANEADAS]]*PLANPRODUCCION[[#This Row],[PRECIO MAQUILAS]]</f>
        <v>253.5</v>
      </c>
      <c r="O628" s="5">
        <v>4</v>
      </c>
      <c r="P628" s="2">
        <v>0.83333333333333337</v>
      </c>
      <c r="Q628" s="2">
        <v>0.875</v>
      </c>
      <c r="R628" s="5">
        <v>160</v>
      </c>
      <c r="S628" s="7">
        <f>PLANPRODUCCION[[#This Row],[PRECIO MAQUILAS]]*PLANPRODUCCION[[#This Row],[PIEZAS REAL]]</f>
        <v>120</v>
      </c>
      <c r="T62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338</v>
      </c>
      <c r="U62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310</v>
      </c>
      <c r="V62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62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-190</v>
      </c>
      <c r="X628" s="8" t="s">
        <v>606</v>
      </c>
      <c r="Y62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2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2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28" s="13">
        <f>IF(PLANPRODUCCION[[#This Row],[PIEZAS REAL]]&gt;0,PLANPRODUCCION[[#This Row],[PIEZAS REAL]]/PLANPRODUCCION[[#This Row],[PIEZAS ACTUALIZADO]],)</f>
        <v>0.47337278106508873</v>
      </c>
      <c r="AC628" t="b">
        <f>PLANPRODUCCION[[#This Row],[INGRESO PLANEADO]]&lt;PLANPRODUCCION[[#This Row],[COSTO PLANEADO]]</f>
        <v>1</v>
      </c>
      <c r="AD628" s="46" t="s">
        <v>803</v>
      </c>
      <c r="AF628" t="b">
        <f>IF(COUNTIF(PLANPRODUCCION[[#This Row],[OBSERVACIONES]],"NO APLICA BONO*")&gt;0,TRUE,FALSE)</f>
        <v>0</v>
      </c>
    </row>
    <row r="629" spans="1:32" x14ac:dyDescent="0.25">
      <c r="A629" s="46" t="str">
        <f>UPPER(IF(PLANPRODUCCION[[#This Row],[FECHA]]&lt;=45701,_xlfn.CONCAT(TEXT(B629,"MMM"),"-",IF(ROW(A629)&lt;11,"000"&amp;ROW(A629)-1,IF(ROW(A629)&lt;101,"00"&amp;ROW(A629)-1,IF(ROW(A629)&lt;1001,"0"&amp;ROW(A629)-1,ROW(A629)-1))),"-OLD"),_xlfn.CONCAT(TEXT(B629,"MMM"),"-",IF(ROW(A629)&lt;473,"000"&amp;ROW(A629)-463,IF(ROW(A629)&lt;563,"00"&amp;ROW(A629)-463,IF(ROW(A629)&lt;1001,"0"&amp;ROW(A629)-463,ROW(A629)-463))))))</f>
        <v>FEB-0166</v>
      </c>
      <c r="B629" s="39">
        <v>45716</v>
      </c>
      <c r="C629" s="5">
        <v>4</v>
      </c>
      <c r="D629" s="5">
        <v>0</v>
      </c>
      <c r="E629" t="s">
        <v>110</v>
      </c>
      <c r="F629" s="2">
        <v>0.54166666666666663</v>
      </c>
      <c r="G629" s="2">
        <v>0.66666666666666663</v>
      </c>
      <c r="H629" s="5">
        <v>1580</v>
      </c>
      <c r="I629" t="s">
        <v>444</v>
      </c>
      <c r="J629" t="s">
        <v>445</v>
      </c>
      <c r="K629" s="5">
        <v>580</v>
      </c>
      <c r="L629" s="5" t="s">
        <v>57</v>
      </c>
      <c r="M629" s="49">
        <v>1.2</v>
      </c>
      <c r="N629" s="6">
        <f>PLANPRODUCCION[[#This Row],[PIEZAS PLANEADAS]]*PLANPRODUCCION[[#This Row],[PRECIO MAQUILAS]]</f>
        <v>696</v>
      </c>
      <c r="O629" s="5">
        <v>0</v>
      </c>
      <c r="P629" s="2">
        <v>0</v>
      </c>
      <c r="Q629" s="2">
        <v>0</v>
      </c>
      <c r="R629" s="5">
        <v>0</v>
      </c>
      <c r="S629" s="7">
        <f>PLANPRODUCCION[[#This Row],[PRECIO MAQUILAS]]*PLANPRODUCCION[[#This Row],[PIEZAS REAL]]</f>
        <v>0</v>
      </c>
      <c r="T62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2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2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2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29" s="8" t="s">
        <v>602</v>
      </c>
      <c r="Y629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2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29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29" s="13">
        <f>IF(PLANPRODUCCION[[#This Row],[PIEZAS REAL]]&gt;0,PLANPRODUCCION[[#This Row],[PIEZAS REAL]]/PLANPRODUCCION[[#This Row],[PIEZAS ACTUALIZADO]],)</f>
        <v>0</v>
      </c>
      <c r="AC629" t="b">
        <f>PLANPRODUCCION[[#This Row],[INGRESO PLANEADO]]&lt;PLANPRODUCCION[[#This Row],[COSTO PLANEADO]]</f>
        <v>0</v>
      </c>
      <c r="AD629" s="46" t="s">
        <v>804</v>
      </c>
      <c r="AF629" t="b">
        <f>IF(COUNTIF(PLANPRODUCCION[[#This Row],[OBSERVACIONES]],"NO APLICA BONO*")&gt;0,TRUE,FALSE)</f>
        <v>0</v>
      </c>
    </row>
    <row r="630" spans="1:32" x14ac:dyDescent="0.25">
      <c r="A630" s="46" t="str">
        <f>UPPER(IF(PLANPRODUCCION[[#This Row],[FECHA]]&lt;=45701,_xlfn.CONCAT(TEXT(B630,"MMM"),"-",IF(ROW(A630)&lt;11,"000"&amp;ROW(A630)-1,IF(ROW(A630)&lt;101,"00"&amp;ROW(A630)-1,IF(ROW(A630)&lt;1001,"0"&amp;ROW(A630)-1,ROW(A630)-1))),"-OLD"),_xlfn.CONCAT(TEXT(B630,"MMM"),"-",IF(ROW(A630)&lt;473,"000"&amp;ROW(A630)-463,IF(ROW(A630)&lt;563,"00"&amp;ROW(A630)-463,IF(ROW(A630)&lt;1001,"0"&amp;ROW(A630)-463,ROW(A630)-463))))))</f>
        <v>FEB-0167</v>
      </c>
      <c r="B630" s="39">
        <v>45716</v>
      </c>
      <c r="C630" s="5">
        <v>8</v>
      </c>
      <c r="D630" s="5" t="s">
        <v>666</v>
      </c>
      <c r="E630" t="s">
        <v>110</v>
      </c>
      <c r="F630" s="2">
        <v>0.66666666666666663</v>
      </c>
      <c r="G630" s="2">
        <v>0.875</v>
      </c>
      <c r="H630" s="5">
        <v>1522</v>
      </c>
      <c r="I630" t="s">
        <v>434</v>
      </c>
      <c r="J630" t="s">
        <v>441</v>
      </c>
      <c r="K630" s="5">
        <v>240</v>
      </c>
      <c r="L630" s="10" t="s">
        <v>283</v>
      </c>
      <c r="M630" s="49">
        <v>15</v>
      </c>
      <c r="N630" s="6">
        <f>PLANPRODUCCION[[#This Row],[PIEZAS PLANEADAS]]*PLANPRODUCCION[[#This Row],[PRECIO MAQUILAS]]</f>
        <v>3600</v>
      </c>
      <c r="O630" s="5">
        <v>5</v>
      </c>
      <c r="P630" s="2">
        <v>0.66666666666666663</v>
      </c>
      <c r="Q630" s="2">
        <v>0.75</v>
      </c>
      <c r="R630" s="5">
        <v>48</v>
      </c>
      <c r="S630" s="7">
        <f>PLANPRODUCCION[[#This Row],[PRECIO MAQUILAS]]*PLANPRODUCCION[[#This Row],[PIEZAS REAL]]</f>
        <v>720</v>
      </c>
      <c r="T63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60</v>
      </c>
      <c r="U63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3100</v>
      </c>
      <c r="V63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775</v>
      </c>
      <c r="W63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-55</v>
      </c>
      <c r="X630" s="8" t="s">
        <v>602</v>
      </c>
      <c r="Y63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3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3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30" s="13">
        <f>IF(PLANPRODUCCION[[#This Row],[PIEZAS REAL]]&gt;0,PLANPRODUCCION[[#This Row],[PIEZAS REAL]]/PLANPRODUCCION[[#This Row],[PIEZAS ACTUALIZADO]],)</f>
        <v>0.8</v>
      </c>
      <c r="AC630" t="b">
        <f>PLANPRODUCCION[[#This Row],[INGRESO PLANEADO]]&lt;PLANPRODUCCION[[#This Row],[COSTO PLANEADO]]</f>
        <v>0</v>
      </c>
      <c r="AD630" s="46" t="s">
        <v>805</v>
      </c>
      <c r="AF630" t="b">
        <f>IF(COUNTIF(PLANPRODUCCION[[#This Row],[OBSERVACIONES]],"NO APLICA BONO*")&gt;0,TRUE,FALSE)</f>
        <v>0</v>
      </c>
    </row>
    <row r="631" spans="1:32" x14ac:dyDescent="0.25">
      <c r="A631" s="46" t="str">
        <f>UPPER(IF(PLANPRODUCCION[[#This Row],[FECHA]]&lt;=45701,_xlfn.CONCAT(TEXT(B631,"MMM"),"-",IF(ROW(A631)&lt;11,"000"&amp;ROW(A631)-1,IF(ROW(A631)&lt;101,"00"&amp;ROW(A631)-1,IF(ROW(A631)&lt;1001,"0"&amp;ROW(A631)-1,ROW(A631)-1))),"-OLD"),_xlfn.CONCAT(TEXT(B631,"MMM"),"-",IF(ROW(A631)&lt;473,"000"&amp;ROW(A631)-463,IF(ROW(A631)&lt;563,"00"&amp;ROW(A631)-463,IF(ROW(A631)&lt;1001,"0"&amp;ROW(A631)-463,ROW(A631)-463))))))</f>
        <v>FEB-0168</v>
      </c>
      <c r="B631" s="39">
        <v>45716</v>
      </c>
      <c r="C631" s="5">
        <v>3</v>
      </c>
      <c r="D631" s="5">
        <v>3</v>
      </c>
      <c r="E631" t="s">
        <v>110</v>
      </c>
      <c r="F631" s="2">
        <v>0.75</v>
      </c>
      <c r="G631" s="2">
        <v>0.875</v>
      </c>
      <c r="H631" s="5">
        <v>1589</v>
      </c>
      <c r="I631" t="s">
        <v>589</v>
      </c>
      <c r="J631" t="s">
        <v>89</v>
      </c>
      <c r="K631" s="5">
        <v>760</v>
      </c>
      <c r="L631" s="5" t="s">
        <v>57</v>
      </c>
      <c r="M631" s="49">
        <v>0.75</v>
      </c>
      <c r="N631" s="6">
        <f>PLANPRODUCCION[[#This Row],[PIEZAS PLANEADAS]]*PLANPRODUCCION[[#This Row],[PRECIO MAQUILAS]]</f>
        <v>570</v>
      </c>
      <c r="O631" s="5">
        <v>3</v>
      </c>
      <c r="P631" s="2">
        <v>0.75</v>
      </c>
      <c r="Q631" s="2">
        <v>0.875</v>
      </c>
      <c r="R631" s="5">
        <v>440</v>
      </c>
      <c r="S631" s="7">
        <f>PLANPRODUCCION[[#This Row],[PRECIO MAQUILAS]]*PLANPRODUCCION[[#This Row],[PIEZAS REAL]]</f>
        <v>330</v>
      </c>
      <c r="T63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760</v>
      </c>
      <c r="U63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697.5</v>
      </c>
      <c r="V63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697.5</v>
      </c>
      <c r="W63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-367.5</v>
      </c>
      <c r="X631" s="8" t="s">
        <v>606</v>
      </c>
      <c r="Y63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3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3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31" s="13">
        <f>IF(PLANPRODUCCION[[#This Row],[PIEZAS REAL]]&gt;0,PLANPRODUCCION[[#This Row],[PIEZAS REAL]]/PLANPRODUCCION[[#This Row],[PIEZAS ACTUALIZADO]],)</f>
        <v>0.57894736842105265</v>
      </c>
      <c r="AC631" t="b">
        <f>PLANPRODUCCION[[#This Row],[INGRESO PLANEADO]]&lt;PLANPRODUCCION[[#This Row],[COSTO PLANEADO]]</f>
        <v>1</v>
      </c>
      <c r="AD631" s="46" t="s">
        <v>806</v>
      </c>
      <c r="AF631" t="b">
        <f>IF(COUNTIF(PLANPRODUCCION[[#This Row],[OBSERVACIONES]],"NO APLICA BONO*")&gt;0,TRUE,FALSE)</f>
        <v>0</v>
      </c>
    </row>
    <row r="632" spans="1:32" x14ac:dyDescent="0.25">
      <c r="A632" s="46" t="str">
        <f>UPPER(IF(PLANPRODUCCION[[#This Row],[FECHA]]&lt;=45701,_xlfn.CONCAT(TEXT(B632,"MMM"),"-",IF(ROW(A632)&lt;11,"000"&amp;ROW(A632)-1,IF(ROW(A632)&lt;101,"00"&amp;ROW(A632)-1,IF(ROW(A632)&lt;1001,"0"&amp;ROW(A632)-1,ROW(A632)-1))),"-OLD"),_xlfn.CONCAT(TEXT(B632,"MMM"),"-",IF(ROW(A632)&lt;473,"000"&amp;ROW(A632)-463,IF(ROW(A632)&lt;563,"00"&amp;ROW(A632)-463,IF(ROW(A632)&lt;1001,"0"&amp;ROW(A632)-463,ROW(A632)-463))))))</f>
        <v>FEB-0169</v>
      </c>
      <c r="B632" s="39">
        <v>45716</v>
      </c>
      <c r="C632" s="5">
        <v>2</v>
      </c>
      <c r="D632" s="5">
        <v>0</v>
      </c>
      <c r="E632" t="s">
        <v>72</v>
      </c>
      <c r="F632" s="2">
        <v>0.66666666666666663</v>
      </c>
      <c r="G632" s="2">
        <v>0.875</v>
      </c>
      <c r="H632" s="5">
        <v>1580</v>
      </c>
      <c r="I632" t="s">
        <v>444</v>
      </c>
      <c r="J632" t="s">
        <v>445</v>
      </c>
      <c r="K632" s="5">
        <v>520</v>
      </c>
      <c r="L632" s="5" t="s">
        <v>57</v>
      </c>
      <c r="M632" s="49">
        <v>1.2</v>
      </c>
      <c r="N632" s="6">
        <f>PLANPRODUCCION[[#This Row],[PIEZAS PLANEADAS]]*PLANPRODUCCION[[#This Row],[PRECIO MAQUILAS]]</f>
        <v>624</v>
      </c>
      <c r="O632" s="5">
        <v>0</v>
      </c>
      <c r="P632" s="2">
        <v>0</v>
      </c>
      <c r="Q632" s="2">
        <v>0</v>
      </c>
      <c r="R632" s="5">
        <v>0</v>
      </c>
      <c r="S632" s="7">
        <f>PLANPRODUCCION[[#This Row],[PRECIO MAQUILAS]]*PLANPRODUCCION[[#This Row],[PIEZAS REAL]]</f>
        <v>0</v>
      </c>
      <c r="T63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3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3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3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32" s="8" t="s">
        <v>602</v>
      </c>
      <c r="Y632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3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32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32" s="13">
        <f>IF(PLANPRODUCCION[[#This Row],[PIEZAS REAL]]&gt;0,PLANPRODUCCION[[#This Row],[PIEZAS REAL]]/PLANPRODUCCION[[#This Row],[PIEZAS ACTUALIZADO]],)</f>
        <v>0</v>
      </c>
      <c r="AC632" t="b">
        <f>PLANPRODUCCION[[#This Row],[INGRESO PLANEADO]]&lt;PLANPRODUCCION[[#This Row],[COSTO PLANEADO]]</f>
        <v>0</v>
      </c>
      <c r="AD632" s="46" t="s">
        <v>807</v>
      </c>
      <c r="AF632" t="b">
        <f>IF(COUNTIF(PLANPRODUCCION[[#This Row],[OBSERVACIONES]],"NO APLICA BONO*")&gt;0,TRUE,FALSE)</f>
        <v>0</v>
      </c>
    </row>
    <row r="633" spans="1:32" x14ac:dyDescent="0.25">
      <c r="A633" s="46" t="str">
        <f>UPPER(IF(PLANPRODUCCION[[#This Row],[FECHA]]&lt;=45701,_xlfn.CONCAT(TEXT(B633,"MMM"),"-",IF(ROW(A633)&lt;11,"000"&amp;ROW(A633)-1,IF(ROW(A633)&lt;101,"00"&amp;ROW(A633)-1,IF(ROW(A633)&lt;1001,"0"&amp;ROW(A633)-1,ROW(A633)-1))),"-OLD"),_xlfn.CONCAT(TEXT(B633,"MMM"),"-",IF(ROW(A633)&lt;473,"000"&amp;ROW(A633)-463,IF(ROW(A633)&lt;563,"00"&amp;ROW(A633)-463,IF(ROW(A633)&lt;1001,"0"&amp;ROW(A633)-463,ROW(A633)-463))))))</f>
        <v>FEB-0170</v>
      </c>
      <c r="B633" s="39">
        <v>45716</v>
      </c>
      <c r="C633" s="5">
        <v>3</v>
      </c>
      <c r="D633" s="5">
        <v>0</v>
      </c>
      <c r="E633" t="s">
        <v>72</v>
      </c>
      <c r="F633" s="2">
        <v>0.66666666666666663</v>
      </c>
      <c r="G633" s="2">
        <v>0.875</v>
      </c>
      <c r="H633" s="5">
        <v>1580</v>
      </c>
      <c r="I633" t="s">
        <v>444</v>
      </c>
      <c r="J633" t="s">
        <v>445</v>
      </c>
      <c r="K633" s="5">
        <v>780</v>
      </c>
      <c r="L633" s="5" t="s">
        <v>57</v>
      </c>
      <c r="M633" s="49">
        <v>1.2</v>
      </c>
      <c r="N633" s="6">
        <f>PLANPRODUCCION[[#This Row],[PIEZAS PLANEADAS]]*PLANPRODUCCION[[#This Row],[PRECIO MAQUILAS]]</f>
        <v>936</v>
      </c>
      <c r="O633" s="5">
        <v>0</v>
      </c>
      <c r="P633" s="2">
        <v>0</v>
      </c>
      <c r="Q633" s="2">
        <v>0</v>
      </c>
      <c r="R633" s="5">
        <v>0</v>
      </c>
      <c r="S633" s="7">
        <f>PLANPRODUCCION[[#This Row],[PRECIO MAQUILAS]]*PLANPRODUCCION[[#This Row],[PIEZAS REAL]]</f>
        <v>0</v>
      </c>
      <c r="T63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3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3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3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33" s="8" t="s">
        <v>602</v>
      </c>
      <c r="Y633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3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33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33" s="13">
        <f>IF(PLANPRODUCCION[[#This Row],[PIEZAS REAL]]&gt;0,PLANPRODUCCION[[#This Row],[PIEZAS REAL]]/PLANPRODUCCION[[#This Row],[PIEZAS ACTUALIZADO]],)</f>
        <v>0</v>
      </c>
      <c r="AC633" t="b">
        <f>PLANPRODUCCION[[#This Row],[INGRESO PLANEADO]]&lt;PLANPRODUCCION[[#This Row],[COSTO PLANEADO]]</f>
        <v>0</v>
      </c>
      <c r="AD633" s="46" t="s">
        <v>808</v>
      </c>
      <c r="AF633" t="b">
        <f>IF(COUNTIF(PLANPRODUCCION[[#This Row],[OBSERVACIONES]],"NO APLICA BONO*")&gt;0,TRUE,FALSE)</f>
        <v>0</v>
      </c>
    </row>
    <row r="634" spans="1:32" x14ac:dyDescent="0.25">
      <c r="A634" s="46" t="str">
        <f>UPPER(IF(PLANPRODUCCION[[#This Row],[FECHA]]&lt;=45701,_xlfn.CONCAT(TEXT(B634,"MMM"),"-",IF(ROW(A634)&lt;11,"000"&amp;ROW(A634)-1,IF(ROW(A634)&lt;101,"00"&amp;ROW(A634)-1,IF(ROW(A634)&lt;1001,"0"&amp;ROW(A634)-1,ROW(A634)-1))),"-OLD"),_xlfn.CONCAT(TEXT(B634,"MMM"),"-",IF(ROW(A634)&lt;473,"000"&amp;ROW(A634)-463,IF(ROW(A634)&lt;563,"00"&amp;ROW(A634)-463,IF(ROW(A634)&lt;1001,"0"&amp;ROW(A634)-463,ROW(A634)-463))))))</f>
        <v>FEB-0171</v>
      </c>
      <c r="B634" s="39">
        <v>45716</v>
      </c>
      <c r="C634" s="5">
        <v>4</v>
      </c>
      <c r="D634" s="5">
        <v>2</v>
      </c>
      <c r="E634" t="s">
        <v>72</v>
      </c>
      <c r="F634" s="2">
        <v>0.54166666666666663</v>
      </c>
      <c r="G634" s="2">
        <v>0.66666666666666663</v>
      </c>
      <c r="H634" s="5">
        <v>1589</v>
      </c>
      <c r="I634" t="s">
        <v>589</v>
      </c>
      <c r="J634" t="s">
        <v>89</v>
      </c>
      <c r="K634" s="5">
        <v>1689</v>
      </c>
      <c r="L634" s="5" t="s">
        <v>57</v>
      </c>
      <c r="M634" s="49">
        <v>0.75</v>
      </c>
      <c r="N634" s="6">
        <f>PLANPRODUCCION[[#This Row],[PIEZAS PLANEADAS]]*PLANPRODUCCION[[#This Row],[PRECIO MAQUILAS]]</f>
        <v>1266.75</v>
      </c>
      <c r="O634" s="5">
        <v>4</v>
      </c>
      <c r="P634" s="2">
        <v>0.66666666666666663</v>
      </c>
      <c r="Q634" s="2">
        <v>0.875</v>
      </c>
      <c r="R634" s="5">
        <v>540</v>
      </c>
      <c r="S634" s="7">
        <f>PLANPRODUCCION[[#This Row],[PRECIO MAQUILAS]]*PLANPRODUCCION[[#This Row],[PIEZAS REAL]]</f>
        <v>405</v>
      </c>
      <c r="T63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2815</v>
      </c>
      <c r="U63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744</v>
      </c>
      <c r="V63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63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-835</v>
      </c>
      <c r="X634" s="8" t="s">
        <v>606</v>
      </c>
      <c r="Y63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3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3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34" s="13">
        <f>IF(PLANPRODUCCION[[#This Row],[PIEZAS REAL]]&gt;0,PLANPRODUCCION[[#This Row],[PIEZAS REAL]]/PLANPRODUCCION[[#This Row],[PIEZAS ACTUALIZADO]],)</f>
        <v>0.19182948490230906</v>
      </c>
      <c r="AC634" t="b">
        <f>PLANPRODUCCION[[#This Row],[INGRESO PLANEADO]]&lt;PLANPRODUCCION[[#This Row],[COSTO PLANEADO]]</f>
        <v>0</v>
      </c>
      <c r="AD634" s="46" t="s">
        <v>809</v>
      </c>
      <c r="AF634" t="b">
        <f>IF(COUNTIF(PLANPRODUCCION[[#This Row],[OBSERVACIONES]],"NO APLICA BONO*")&gt;0,TRUE,FALSE)</f>
        <v>0</v>
      </c>
    </row>
    <row r="635" spans="1:32" x14ac:dyDescent="0.25">
      <c r="A635" s="46" t="str">
        <f>UPPER(IF(PLANPRODUCCION[[#This Row],[FECHA]]&lt;=45701,_xlfn.CONCAT(TEXT(B635,"MMM"),"-",IF(ROW(A635)&lt;11,"000"&amp;ROW(A635)-1,IF(ROW(A635)&lt;101,"00"&amp;ROW(A635)-1,IF(ROW(A635)&lt;1001,"0"&amp;ROW(A635)-1,ROW(A635)-1))),"-OLD"),_xlfn.CONCAT(TEXT(B635,"MMM"),"-",IF(ROW(A635)&lt;473,"000"&amp;ROW(A635)-463,IF(ROW(A635)&lt;563,"00"&amp;ROW(A635)-463,IF(ROW(A635)&lt;1001,"0"&amp;ROW(A635)-463,ROW(A635)-463))))))</f>
        <v>MAR-0172</v>
      </c>
      <c r="B635" s="39">
        <v>45719</v>
      </c>
      <c r="C635" s="5">
        <v>2</v>
      </c>
      <c r="D635" s="5" t="s">
        <v>62</v>
      </c>
      <c r="E635" t="s">
        <v>54</v>
      </c>
      <c r="F635" s="2">
        <v>0.25</v>
      </c>
      <c r="G635" s="2">
        <v>0.35416666666666669</v>
      </c>
      <c r="H635" s="5">
        <v>1589</v>
      </c>
      <c r="I635" t="s">
        <v>589</v>
      </c>
      <c r="J635" t="s">
        <v>773</v>
      </c>
      <c r="K635" s="5">
        <v>1000</v>
      </c>
      <c r="L635" s="5" t="s">
        <v>65</v>
      </c>
      <c r="M635" s="49">
        <v>1.4</v>
      </c>
      <c r="N635" s="6">
        <f>PLANPRODUCCION[[#This Row],[PIEZAS PLANEADAS]]*PLANPRODUCCION[[#This Row],[PRECIO MAQUILAS]]</f>
        <v>1400</v>
      </c>
      <c r="O635" s="5">
        <v>0</v>
      </c>
      <c r="P635" s="2">
        <v>0</v>
      </c>
      <c r="Q635" s="2">
        <v>0</v>
      </c>
      <c r="R635" s="5">
        <v>0</v>
      </c>
      <c r="S635" s="7">
        <f>PLANPRODUCCION[[#This Row],[PRECIO MAQUILAS]]*PLANPRODUCCION[[#This Row],[PIEZAS REAL]]</f>
        <v>0</v>
      </c>
      <c r="T63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3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3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3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35" s="8" t="s">
        <v>602</v>
      </c>
      <c r="Y635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3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35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35" s="13">
        <f>IF(PLANPRODUCCION[[#This Row],[PIEZAS REAL]]&gt;0,PLANPRODUCCION[[#This Row],[PIEZAS REAL]]/PLANPRODUCCION[[#This Row],[PIEZAS ACTUALIZADO]],)</f>
        <v>0</v>
      </c>
      <c r="AC635" t="b">
        <f>PLANPRODUCCION[[#This Row],[INGRESO PLANEADO]]&lt;PLANPRODUCCION[[#This Row],[COSTO PLANEADO]]</f>
        <v>0</v>
      </c>
      <c r="AD635" s="46" t="s">
        <v>810</v>
      </c>
      <c r="AF635" t="b">
        <f>IF(COUNTIF(PLANPRODUCCION[[#This Row],[OBSERVACIONES]],"NO APLICA BONO*")&gt;0,TRUE,FALSE)</f>
        <v>0</v>
      </c>
    </row>
    <row r="636" spans="1:32" x14ac:dyDescent="0.25">
      <c r="A636" s="46" t="str">
        <f>UPPER(IF(PLANPRODUCCION[[#This Row],[FECHA]]&lt;=45701,_xlfn.CONCAT(TEXT(B636,"MMM"),"-",IF(ROW(A636)&lt;11,"000"&amp;ROW(A636)-1,IF(ROW(A636)&lt;101,"00"&amp;ROW(A636)-1,IF(ROW(A636)&lt;1001,"0"&amp;ROW(A636)-1,ROW(A636)-1))),"-OLD"),_xlfn.CONCAT(TEXT(B636,"MMM"),"-",IF(ROW(A636)&lt;473,"000"&amp;ROW(A636)-463,IF(ROW(A636)&lt;563,"00"&amp;ROW(A636)-463,IF(ROW(A636)&lt;1001,"0"&amp;ROW(A636)-463,ROW(A636)-463))))))</f>
        <v>MAR-0173</v>
      </c>
      <c r="B636" s="39">
        <v>45719</v>
      </c>
      <c r="C636" s="5">
        <v>2</v>
      </c>
      <c r="D636" s="5" t="s">
        <v>62</v>
      </c>
      <c r="E636" t="s">
        <v>54</v>
      </c>
      <c r="F636" s="2">
        <v>0.35416666666666669</v>
      </c>
      <c r="G636" s="2">
        <v>0.41666666666666669</v>
      </c>
      <c r="H636" s="5">
        <v>1583</v>
      </c>
      <c r="I636" t="s">
        <v>811</v>
      </c>
      <c r="J636" t="s">
        <v>64</v>
      </c>
      <c r="K636" s="5">
        <v>330</v>
      </c>
      <c r="L636" s="5" t="s">
        <v>65</v>
      </c>
      <c r="M636" s="49">
        <v>1.4</v>
      </c>
      <c r="N636" s="6">
        <f>PLANPRODUCCION[[#This Row],[PIEZAS PLANEADAS]]*PLANPRODUCCION[[#This Row],[PRECIO MAQUILAS]]</f>
        <v>461.99999999999994</v>
      </c>
      <c r="O636" s="5">
        <v>0</v>
      </c>
      <c r="P636" s="2">
        <v>0</v>
      </c>
      <c r="Q636" s="2">
        <v>0</v>
      </c>
      <c r="R636" s="5">
        <v>0</v>
      </c>
      <c r="S636" s="7">
        <f>PLANPRODUCCION[[#This Row],[PRECIO MAQUILAS]]*PLANPRODUCCION[[#This Row],[PIEZAS REAL]]</f>
        <v>0</v>
      </c>
      <c r="T63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3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3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3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36" s="8" t="s">
        <v>602</v>
      </c>
      <c r="Y636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3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36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36" s="13">
        <f>IF(PLANPRODUCCION[[#This Row],[PIEZAS REAL]]&gt;0,PLANPRODUCCION[[#This Row],[PIEZAS REAL]]/PLANPRODUCCION[[#This Row],[PIEZAS ACTUALIZADO]],)</f>
        <v>0</v>
      </c>
      <c r="AC636" t="b">
        <f>PLANPRODUCCION[[#This Row],[INGRESO PLANEADO]]&lt;PLANPRODUCCION[[#This Row],[COSTO PLANEADO]]</f>
        <v>0</v>
      </c>
      <c r="AD636" s="46" t="s">
        <v>812</v>
      </c>
      <c r="AF636" t="b">
        <f>IF(COUNTIF(PLANPRODUCCION[[#This Row],[OBSERVACIONES]],"NO APLICA BONO*")&gt;0,TRUE,FALSE)</f>
        <v>0</v>
      </c>
    </row>
    <row r="637" spans="1:32" x14ac:dyDescent="0.25">
      <c r="A637" s="46" t="str">
        <f>UPPER(IF(PLANPRODUCCION[[#This Row],[FECHA]]&lt;=45701,_xlfn.CONCAT(TEXT(B637,"MMM"),"-",IF(ROW(A637)&lt;11,"000"&amp;ROW(A637)-1,IF(ROW(A637)&lt;101,"00"&amp;ROW(A637)-1,IF(ROW(A637)&lt;1001,"0"&amp;ROW(A637)-1,ROW(A637)-1))),"-OLD"),_xlfn.CONCAT(TEXT(B637,"MMM"),"-",IF(ROW(A637)&lt;473,"000"&amp;ROW(A637)-463,IF(ROW(A637)&lt;563,"00"&amp;ROW(A637)-463,IF(ROW(A637)&lt;1001,"0"&amp;ROW(A637)-463,ROW(A637)-463))))))</f>
        <v>MAR-0174</v>
      </c>
      <c r="B637" s="39">
        <v>45719</v>
      </c>
      <c r="C637" s="5">
        <v>2</v>
      </c>
      <c r="D637" s="5" t="s">
        <v>62</v>
      </c>
      <c r="E637" t="s">
        <v>54</v>
      </c>
      <c r="F637" s="2">
        <v>0.41666666666666669</v>
      </c>
      <c r="G637" s="2">
        <v>0.5</v>
      </c>
      <c r="H637" s="5">
        <v>1583</v>
      </c>
      <c r="I637" t="s">
        <v>811</v>
      </c>
      <c r="J637" t="s">
        <v>813</v>
      </c>
      <c r="K637" s="5">
        <v>680</v>
      </c>
      <c r="L637" s="5" t="s">
        <v>65</v>
      </c>
      <c r="M637" s="49">
        <v>1.4</v>
      </c>
      <c r="N637" s="6">
        <f>PLANPRODUCCION[[#This Row],[PIEZAS PLANEADAS]]*PLANPRODUCCION[[#This Row],[PRECIO MAQUILAS]]</f>
        <v>951.99999999999989</v>
      </c>
      <c r="O637" s="5">
        <v>0</v>
      </c>
      <c r="P637" s="2">
        <v>0</v>
      </c>
      <c r="Q637" s="2">
        <v>0</v>
      </c>
      <c r="R637" s="5">
        <v>0</v>
      </c>
      <c r="S637" s="7">
        <f>PLANPRODUCCION[[#This Row],[PRECIO MAQUILAS]]*PLANPRODUCCION[[#This Row],[PIEZAS REAL]]</f>
        <v>0</v>
      </c>
      <c r="T63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3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3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3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37" s="8" t="s">
        <v>602</v>
      </c>
      <c r="Y637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3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37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37" s="13">
        <f>IF(PLANPRODUCCION[[#This Row],[PIEZAS REAL]]&gt;0,PLANPRODUCCION[[#This Row],[PIEZAS REAL]]/PLANPRODUCCION[[#This Row],[PIEZAS ACTUALIZADO]],)</f>
        <v>0</v>
      </c>
      <c r="AC637" t="b">
        <f>PLANPRODUCCION[[#This Row],[INGRESO PLANEADO]]&lt;PLANPRODUCCION[[#This Row],[COSTO PLANEADO]]</f>
        <v>0</v>
      </c>
      <c r="AD637" s="46" t="s">
        <v>814</v>
      </c>
      <c r="AF637" t="b">
        <f>IF(COUNTIF(PLANPRODUCCION[[#This Row],[OBSERVACIONES]],"NO APLICA BONO*")&gt;0,TRUE,FALSE)</f>
        <v>0</v>
      </c>
    </row>
    <row r="638" spans="1:32" x14ac:dyDescent="0.25">
      <c r="A638" s="46" t="str">
        <f>UPPER(IF(PLANPRODUCCION[[#This Row],[FECHA]]&lt;=45701,_xlfn.CONCAT(TEXT(B638,"MMM"),"-",IF(ROW(A638)&lt;11,"000"&amp;ROW(A638)-1,IF(ROW(A638)&lt;101,"00"&amp;ROW(A638)-1,IF(ROW(A638)&lt;1001,"0"&amp;ROW(A638)-1,ROW(A638)-1))),"-OLD"),_xlfn.CONCAT(TEXT(B638,"MMM"),"-",IF(ROW(A638)&lt;473,"000"&amp;ROW(A638)-463,IF(ROW(A638)&lt;563,"00"&amp;ROW(A638)-463,IF(ROW(A638)&lt;1001,"0"&amp;ROW(A638)-463,ROW(A638)-463))))))</f>
        <v>MAR-0175</v>
      </c>
      <c r="B638" s="39">
        <v>45719</v>
      </c>
      <c r="C638" s="5">
        <v>6</v>
      </c>
      <c r="D638" s="5">
        <v>6</v>
      </c>
      <c r="E638" t="s">
        <v>54</v>
      </c>
      <c r="F638" s="2">
        <v>0.25</v>
      </c>
      <c r="G638" s="2">
        <v>0.66666666666666663</v>
      </c>
      <c r="H638" s="5">
        <v>1593</v>
      </c>
      <c r="I638" t="s">
        <v>762</v>
      </c>
      <c r="J638" t="s">
        <v>815</v>
      </c>
      <c r="K638" s="5">
        <v>300</v>
      </c>
      <c r="L638" s="5" t="s">
        <v>57</v>
      </c>
      <c r="M638" s="49">
        <v>8.5299999999999994</v>
      </c>
      <c r="N638" s="6">
        <f>PLANPRODUCCION[[#This Row],[PIEZAS PLANEADAS]]*PLANPRODUCCION[[#This Row],[PRECIO MAQUILAS]]</f>
        <v>2559</v>
      </c>
      <c r="O638" s="5">
        <v>4</v>
      </c>
      <c r="P638" s="2">
        <v>0.25</v>
      </c>
      <c r="Q638" s="2">
        <v>0.66666666666666663</v>
      </c>
      <c r="R638" s="5">
        <v>234</v>
      </c>
      <c r="S638" s="7">
        <f>PLANPRODUCCION[[#This Row],[PRECIO MAQUILAS]]*PLANPRODUCCION[[#This Row],[PIEZAS REAL]]</f>
        <v>1996.0199999999998</v>
      </c>
      <c r="T63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200</v>
      </c>
      <c r="U63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3720</v>
      </c>
      <c r="V63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63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-483.98000000000025</v>
      </c>
      <c r="X638" s="8" t="s">
        <v>602</v>
      </c>
      <c r="Y63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3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3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38" s="13">
        <f>IF(PLANPRODUCCION[[#This Row],[PIEZAS REAL]]&gt;0,PLANPRODUCCION[[#This Row],[PIEZAS REAL]]/PLANPRODUCCION[[#This Row],[PIEZAS ACTUALIZADO]],)</f>
        <v>1.17</v>
      </c>
      <c r="AC638" t="b">
        <f>PLANPRODUCCION[[#This Row],[INGRESO PLANEADO]]&lt;PLANPRODUCCION[[#This Row],[COSTO PLANEADO]]</f>
        <v>1</v>
      </c>
      <c r="AD638" s="46" t="s">
        <v>816</v>
      </c>
      <c r="AE638" t="s">
        <v>817</v>
      </c>
      <c r="AF638" t="b">
        <f>IF(COUNTIF(PLANPRODUCCION[[#This Row],[OBSERVACIONES]],"NO APLICA BONO*")&gt;0,TRUE,FALSE)</f>
        <v>1</v>
      </c>
    </row>
    <row r="639" spans="1:32" x14ac:dyDescent="0.25">
      <c r="A639" s="46" t="str">
        <f>UPPER(IF(PLANPRODUCCION[[#This Row],[FECHA]]&lt;=45701,_xlfn.CONCAT(TEXT(B639,"MMM"),"-",IF(ROW(A639)&lt;11,"000"&amp;ROW(A639)-1,IF(ROW(A639)&lt;101,"00"&amp;ROW(A639)-1,IF(ROW(A639)&lt;1001,"0"&amp;ROW(A639)-1,ROW(A639)-1))),"-OLD"),_xlfn.CONCAT(TEXT(B639,"MMM"),"-",IF(ROW(A639)&lt;473,"000"&amp;ROW(A639)-463,IF(ROW(A639)&lt;563,"00"&amp;ROW(A639)-463,IF(ROW(A639)&lt;1001,"0"&amp;ROW(A639)-463,ROW(A639)-463))))))</f>
        <v>MAR-0176</v>
      </c>
      <c r="B639" s="39">
        <v>45719</v>
      </c>
      <c r="C639" s="5">
        <v>10</v>
      </c>
      <c r="D639" s="5">
        <v>1</v>
      </c>
      <c r="E639" t="s">
        <v>54</v>
      </c>
      <c r="F639" s="2">
        <v>0.25</v>
      </c>
      <c r="G639" s="2">
        <v>0.66666666666666663</v>
      </c>
      <c r="H639" s="5">
        <v>1590</v>
      </c>
      <c r="I639" t="s">
        <v>762</v>
      </c>
      <c r="J639" t="s">
        <v>763</v>
      </c>
      <c r="K639" s="5">
        <v>130</v>
      </c>
      <c r="L639" s="5" t="s">
        <v>57</v>
      </c>
      <c r="M639" s="49">
        <v>32.14</v>
      </c>
      <c r="N639" s="6">
        <f>PLANPRODUCCION[[#This Row],[PIEZAS PLANEADAS]]*PLANPRODUCCION[[#This Row],[PRECIO MAQUILAS]]</f>
        <v>4178.2</v>
      </c>
      <c r="O639" s="5">
        <v>10</v>
      </c>
      <c r="P639" s="2">
        <v>0.25</v>
      </c>
      <c r="Q639" s="2">
        <v>0.55208333333333337</v>
      </c>
      <c r="R639" s="5">
        <v>101</v>
      </c>
      <c r="S639" s="7">
        <f>PLANPRODUCCION[[#This Row],[PRECIO MAQUILAS]]*PLANPRODUCCION[[#This Row],[PIEZAS REAL]]</f>
        <v>3246.14</v>
      </c>
      <c r="T63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95</v>
      </c>
      <c r="U63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6200</v>
      </c>
      <c r="V63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4495</v>
      </c>
      <c r="W63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-1248.8600000000001</v>
      </c>
      <c r="X639" s="8" t="s">
        <v>602</v>
      </c>
      <c r="Y63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3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3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39" s="13">
        <f>IF(PLANPRODUCCION[[#This Row],[PIEZAS REAL]]&gt;0,PLANPRODUCCION[[#This Row],[PIEZAS REAL]]/PLANPRODUCCION[[#This Row],[PIEZAS ACTUALIZADO]],)</f>
        <v>1.0631578947368421</v>
      </c>
      <c r="AC639" t="b">
        <f>PLANPRODUCCION[[#This Row],[INGRESO PLANEADO]]&lt;PLANPRODUCCION[[#This Row],[COSTO PLANEADO]]</f>
        <v>1</v>
      </c>
      <c r="AD639" s="46" t="s">
        <v>818</v>
      </c>
      <c r="AE639" t="s">
        <v>819</v>
      </c>
      <c r="AF639" t="b">
        <f>IF(COUNTIF(PLANPRODUCCION[[#This Row],[OBSERVACIONES]],"NO APLICA BONO*")&gt;0,TRUE,FALSE)</f>
        <v>1</v>
      </c>
    </row>
    <row r="640" spans="1:32" x14ac:dyDescent="0.25">
      <c r="A640" s="46" t="str">
        <f>UPPER(IF(PLANPRODUCCION[[#This Row],[FECHA]]&lt;=45701,_xlfn.CONCAT(TEXT(B640,"MMM"),"-",IF(ROW(A640)&lt;11,"000"&amp;ROW(A640)-1,IF(ROW(A640)&lt;101,"00"&amp;ROW(A640)-1,IF(ROW(A640)&lt;1001,"0"&amp;ROW(A640)-1,ROW(A640)-1))),"-OLD"),_xlfn.CONCAT(TEXT(B640,"MMM"),"-",IF(ROW(A640)&lt;473,"000"&amp;ROW(A640)-463,IF(ROW(A640)&lt;563,"00"&amp;ROW(A640)-463,IF(ROW(A640)&lt;1001,"0"&amp;ROW(A640)-463,ROW(A640)-463))))))</f>
        <v>MAR-0177</v>
      </c>
      <c r="B640" s="39">
        <v>45719</v>
      </c>
      <c r="C640" s="5">
        <v>10</v>
      </c>
      <c r="D640" s="5">
        <v>1</v>
      </c>
      <c r="E640" t="s">
        <v>54</v>
      </c>
      <c r="F640" s="2">
        <v>0.55208333333333337</v>
      </c>
      <c r="G640" s="2">
        <v>0.66666666666666663</v>
      </c>
      <c r="H640" s="5">
        <v>1593</v>
      </c>
      <c r="I640" t="s">
        <v>762</v>
      </c>
      <c r="J640" t="s">
        <v>815</v>
      </c>
      <c r="K640" s="5">
        <v>138</v>
      </c>
      <c r="L640" s="5" t="s">
        <v>57</v>
      </c>
      <c r="M640" s="49">
        <v>8.5299999999999994</v>
      </c>
      <c r="N640" s="6">
        <f>PLANPRODUCCION[[#This Row],[PIEZAS PLANEADAS]]*PLANPRODUCCION[[#This Row],[PRECIO MAQUILAS]]</f>
        <v>1177.1399999999999</v>
      </c>
      <c r="O640" s="5">
        <v>10</v>
      </c>
      <c r="P640" s="2">
        <v>0.55208333333333337</v>
      </c>
      <c r="Q640" s="2">
        <v>0.66666666666666663</v>
      </c>
      <c r="R640" s="5">
        <v>66</v>
      </c>
      <c r="S640" s="7">
        <f>PLANPRODUCCION[[#This Row],[PRECIO MAQUILAS]]*PLANPRODUCCION[[#This Row],[PIEZAS REAL]]</f>
        <v>562.9799999999999</v>
      </c>
      <c r="T64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138</v>
      </c>
      <c r="U64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1705</v>
      </c>
      <c r="V64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1705</v>
      </c>
      <c r="W64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-1142.02</v>
      </c>
      <c r="X640" s="8" t="s">
        <v>606</v>
      </c>
      <c r="Y64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4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4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40" s="13">
        <f>IF(PLANPRODUCCION[[#This Row],[PIEZAS REAL]]&gt;0,PLANPRODUCCION[[#This Row],[PIEZAS REAL]]/PLANPRODUCCION[[#This Row],[PIEZAS ACTUALIZADO]],)</f>
        <v>0.47826086956521741</v>
      </c>
      <c r="AC640" t="b">
        <f>PLANPRODUCCION[[#This Row],[INGRESO PLANEADO]]&lt;PLANPRODUCCION[[#This Row],[COSTO PLANEADO]]</f>
        <v>1</v>
      </c>
      <c r="AD640" s="46" t="s">
        <v>820</v>
      </c>
      <c r="AF640" t="b">
        <f>IF(COUNTIF(PLANPRODUCCION[[#This Row],[OBSERVACIONES]],"NO APLICA BONO*")&gt;0,TRUE,FALSE)</f>
        <v>0</v>
      </c>
    </row>
    <row r="641" spans="1:32" x14ac:dyDescent="0.25">
      <c r="A641" s="46" t="str">
        <f>UPPER(IF(PLANPRODUCCION[[#This Row],[FECHA]]&lt;=45701,_xlfn.CONCAT(TEXT(B641,"MMM"),"-",IF(ROW(A641)&lt;11,"000"&amp;ROW(A641)-1,IF(ROW(A641)&lt;101,"00"&amp;ROW(A641)-1,IF(ROW(A641)&lt;1001,"0"&amp;ROW(A641)-1,ROW(A641)-1))),"-OLD"),_xlfn.CONCAT(TEXT(B641,"MMM"),"-",IF(ROW(A641)&lt;473,"000"&amp;ROW(A641)-463,IF(ROW(A641)&lt;563,"00"&amp;ROW(A641)-463,IF(ROW(A641)&lt;1001,"0"&amp;ROW(A641)-463,ROW(A641)-463))))))</f>
        <v>MAR-0178</v>
      </c>
      <c r="B641" s="39">
        <v>45719</v>
      </c>
      <c r="C641" s="5">
        <v>3</v>
      </c>
      <c r="D641" s="5">
        <v>8</v>
      </c>
      <c r="E641" t="s">
        <v>67</v>
      </c>
      <c r="F641" s="2">
        <v>0.33333333333333331</v>
      </c>
      <c r="G641" s="2">
        <v>0.75</v>
      </c>
      <c r="H641" s="5">
        <v>1589</v>
      </c>
      <c r="I641" t="s">
        <v>589</v>
      </c>
      <c r="J641" t="s">
        <v>89</v>
      </c>
      <c r="K641" s="5">
        <v>2520</v>
      </c>
      <c r="L641" s="5" t="s">
        <v>57</v>
      </c>
      <c r="M641" s="49">
        <v>0.75</v>
      </c>
      <c r="N641" s="6">
        <f>PLANPRODUCCION[[#This Row],[PIEZAS PLANEADAS]]*PLANPRODUCCION[[#This Row],[PRECIO MAQUILAS]]</f>
        <v>1890</v>
      </c>
      <c r="O641" s="5">
        <v>3</v>
      </c>
      <c r="P641" s="2">
        <v>0.33333333333333331</v>
      </c>
      <c r="Q641" s="2">
        <v>0.75</v>
      </c>
      <c r="R641" s="5">
        <v>1170</v>
      </c>
      <c r="S641" s="7">
        <f>PLANPRODUCCION[[#This Row],[PRECIO MAQUILAS]]*PLANPRODUCCION[[#This Row],[PIEZAS REAL]]</f>
        <v>877.5</v>
      </c>
      <c r="T64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2520</v>
      </c>
      <c r="U64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64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64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-982.5</v>
      </c>
      <c r="X641" s="8" t="s">
        <v>602</v>
      </c>
      <c r="Y64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4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4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41" s="13">
        <f>IF(PLANPRODUCCION[[#This Row],[PIEZAS REAL]]&gt;0,PLANPRODUCCION[[#This Row],[PIEZAS REAL]]/PLANPRODUCCION[[#This Row],[PIEZAS ACTUALIZADO]],)</f>
        <v>0.4642857142857143</v>
      </c>
      <c r="AC641" t="b">
        <f>PLANPRODUCCION[[#This Row],[INGRESO PLANEADO]]&lt;PLANPRODUCCION[[#This Row],[COSTO PLANEADO]]</f>
        <v>0</v>
      </c>
      <c r="AD641" s="46" t="s">
        <v>821</v>
      </c>
      <c r="AF641" t="b">
        <f>IF(COUNTIF(PLANPRODUCCION[[#This Row],[OBSERVACIONES]],"NO APLICA BONO*")&gt;0,TRUE,FALSE)</f>
        <v>0</v>
      </c>
    </row>
    <row r="642" spans="1:32" x14ac:dyDescent="0.25">
      <c r="A642" s="46" t="str">
        <f>UPPER(IF(PLANPRODUCCION[[#This Row],[FECHA]]&lt;=45701,_xlfn.CONCAT(TEXT(B642,"MMM"),"-",IF(ROW(A642)&lt;11,"000"&amp;ROW(A642)-1,IF(ROW(A642)&lt;101,"00"&amp;ROW(A642)-1,IF(ROW(A642)&lt;1001,"0"&amp;ROW(A642)-1,ROW(A642)-1))),"-OLD"),_xlfn.CONCAT(TEXT(B642,"MMM"),"-",IF(ROW(A642)&lt;473,"000"&amp;ROW(A642)-463,IF(ROW(A642)&lt;563,"00"&amp;ROW(A642)-463,IF(ROW(A642)&lt;1001,"0"&amp;ROW(A642)-463,ROW(A642)-463))))))</f>
        <v>MAR-0179</v>
      </c>
      <c r="B642" s="39">
        <v>45719</v>
      </c>
      <c r="C642" s="5">
        <v>2</v>
      </c>
      <c r="D642" s="5">
        <v>0</v>
      </c>
      <c r="E642" t="s">
        <v>67</v>
      </c>
      <c r="F642" s="2">
        <v>0.33333333333333331</v>
      </c>
      <c r="G642" s="2">
        <v>0.75</v>
      </c>
      <c r="H642" s="5">
        <v>1590</v>
      </c>
      <c r="I642" t="s">
        <v>762</v>
      </c>
      <c r="J642" t="s">
        <v>763</v>
      </c>
      <c r="K642" s="5">
        <v>1680</v>
      </c>
      <c r="L642" s="5" t="s">
        <v>57</v>
      </c>
      <c r="M642" s="49">
        <v>32.14</v>
      </c>
      <c r="N642" s="6">
        <f>PLANPRODUCCION[[#This Row],[PIEZAS PLANEADAS]]*PLANPRODUCCION[[#This Row],[PRECIO MAQUILAS]]</f>
        <v>53995.200000000004</v>
      </c>
      <c r="O642" s="5">
        <v>0</v>
      </c>
      <c r="P642" s="2">
        <v>0</v>
      </c>
      <c r="Q642" s="2">
        <v>0</v>
      </c>
      <c r="R642" s="5">
        <v>0</v>
      </c>
      <c r="S642" s="7">
        <f>PLANPRODUCCION[[#This Row],[PRECIO MAQUILAS]]*PLANPRODUCCION[[#This Row],[PIEZAS REAL]]</f>
        <v>0</v>
      </c>
      <c r="T64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4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4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4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42" s="8" t="s">
        <v>602</v>
      </c>
      <c r="Y642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4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42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42" s="13">
        <f>IF(PLANPRODUCCION[[#This Row],[PIEZAS REAL]]&gt;0,PLANPRODUCCION[[#This Row],[PIEZAS REAL]]/PLANPRODUCCION[[#This Row],[PIEZAS ACTUALIZADO]],)</f>
        <v>0</v>
      </c>
      <c r="AC642" t="b">
        <f>PLANPRODUCCION[[#This Row],[INGRESO PLANEADO]]&lt;PLANPRODUCCION[[#This Row],[COSTO PLANEADO]]</f>
        <v>0</v>
      </c>
      <c r="AD642" s="46" t="s">
        <v>822</v>
      </c>
      <c r="AF642" t="b">
        <f>IF(COUNTIF(PLANPRODUCCION[[#This Row],[OBSERVACIONES]],"NO APLICA BONO*")&gt;0,TRUE,FALSE)</f>
        <v>0</v>
      </c>
    </row>
    <row r="643" spans="1:32" x14ac:dyDescent="0.25">
      <c r="A643" s="46" t="str">
        <f>UPPER(IF(PLANPRODUCCION[[#This Row],[FECHA]]&lt;=45701,_xlfn.CONCAT(TEXT(B643,"MMM"),"-",IF(ROW(A643)&lt;11,"000"&amp;ROW(A643)-1,IF(ROW(A643)&lt;101,"00"&amp;ROW(A643)-1,IF(ROW(A643)&lt;1001,"0"&amp;ROW(A643)-1,ROW(A643)-1))),"-OLD"),_xlfn.CONCAT(TEXT(B643,"MMM"),"-",IF(ROW(A643)&lt;473,"000"&amp;ROW(A643)-463,IF(ROW(A643)&lt;563,"00"&amp;ROW(A643)-463,IF(ROW(A643)&lt;1001,"0"&amp;ROW(A643)-463,ROW(A643)-463))))))</f>
        <v>MAR-0180</v>
      </c>
      <c r="B643" s="39">
        <v>45719</v>
      </c>
      <c r="C643" s="5">
        <v>2</v>
      </c>
      <c r="D643" s="5">
        <v>7</v>
      </c>
      <c r="E643" t="s">
        <v>67</v>
      </c>
      <c r="F643" s="2">
        <v>0.33333333333333331</v>
      </c>
      <c r="G643" s="2">
        <v>0.75</v>
      </c>
      <c r="H643" s="5">
        <v>1589</v>
      </c>
      <c r="I643" t="s">
        <v>589</v>
      </c>
      <c r="J643" t="s">
        <v>68</v>
      </c>
      <c r="K643" s="5">
        <v>1680</v>
      </c>
      <c r="L643" s="5" t="s">
        <v>57</v>
      </c>
      <c r="M643" s="49">
        <v>0.75</v>
      </c>
      <c r="N643" s="6">
        <f>PLANPRODUCCION[[#This Row],[PIEZAS PLANEADAS]]*PLANPRODUCCION[[#This Row],[PRECIO MAQUILAS]]</f>
        <v>1260</v>
      </c>
      <c r="O643" s="5">
        <v>2</v>
      </c>
      <c r="P643" s="2">
        <v>0.33333333333333331</v>
      </c>
      <c r="Q643" s="2">
        <v>0.75</v>
      </c>
      <c r="R643" s="5">
        <v>940</v>
      </c>
      <c r="S643" s="7">
        <f>PLANPRODUCCION[[#This Row],[PRECIO MAQUILAS]]*PLANPRODUCCION[[#This Row],[PIEZAS REAL]]</f>
        <v>705</v>
      </c>
      <c r="T64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1680</v>
      </c>
      <c r="U64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64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64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-535</v>
      </c>
      <c r="X643" s="8" t="s">
        <v>606</v>
      </c>
      <c r="Y64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4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4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43" s="13">
        <f>IF(PLANPRODUCCION[[#This Row],[PIEZAS REAL]]&gt;0,PLANPRODUCCION[[#This Row],[PIEZAS REAL]]/PLANPRODUCCION[[#This Row],[PIEZAS ACTUALIZADO]],)</f>
        <v>0.55952380952380953</v>
      </c>
      <c r="AC643" t="b">
        <f>PLANPRODUCCION[[#This Row],[INGRESO PLANEADO]]&lt;PLANPRODUCCION[[#This Row],[COSTO PLANEADO]]</f>
        <v>0</v>
      </c>
      <c r="AD643" s="46" t="s">
        <v>823</v>
      </c>
      <c r="AF643" t="b">
        <f>IF(COUNTIF(PLANPRODUCCION[[#This Row],[OBSERVACIONES]],"NO APLICA BONO*")&gt;0,TRUE,FALSE)</f>
        <v>0</v>
      </c>
    </row>
    <row r="644" spans="1:32" x14ac:dyDescent="0.25">
      <c r="A644" s="46" t="str">
        <f>UPPER(IF(PLANPRODUCCION[[#This Row],[FECHA]]&lt;=45701,_xlfn.CONCAT(TEXT(B644,"MMM"),"-",IF(ROW(A644)&lt;11,"000"&amp;ROW(A644)-1,IF(ROW(A644)&lt;101,"00"&amp;ROW(A644)-1,IF(ROW(A644)&lt;1001,"0"&amp;ROW(A644)-1,ROW(A644)-1))),"-OLD"),_xlfn.CONCAT(TEXT(B644,"MMM"),"-",IF(ROW(A644)&lt;473,"000"&amp;ROW(A644)-463,IF(ROW(A644)&lt;563,"00"&amp;ROW(A644)-463,IF(ROW(A644)&lt;1001,"0"&amp;ROW(A644)-463,ROW(A644)-463))))))</f>
        <v>MAR-0181</v>
      </c>
      <c r="B644" s="39">
        <v>45719</v>
      </c>
      <c r="C644" s="5">
        <v>5</v>
      </c>
      <c r="D644" s="5">
        <v>1</v>
      </c>
      <c r="E644" t="s">
        <v>110</v>
      </c>
      <c r="F644" s="2">
        <v>0.54166666666666663</v>
      </c>
      <c r="G644" s="2">
        <v>0.875</v>
      </c>
      <c r="H644" s="5">
        <v>1589</v>
      </c>
      <c r="I644" t="s">
        <v>589</v>
      </c>
      <c r="J644" t="s">
        <v>68</v>
      </c>
      <c r="K644" s="5">
        <v>3350</v>
      </c>
      <c r="L644" s="5" t="s">
        <v>57</v>
      </c>
      <c r="M644" s="49">
        <v>0.75</v>
      </c>
      <c r="N644" s="6">
        <f>PLANPRODUCCION[[#This Row],[PIEZAS PLANEADAS]]*PLANPRODUCCION[[#This Row],[PRECIO MAQUILAS]]</f>
        <v>2512.5</v>
      </c>
      <c r="O644" s="5">
        <v>4</v>
      </c>
      <c r="P644" s="2">
        <v>0.54166666666666663</v>
      </c>
      <c r="Q644" s="2">
        <v>0.875</v>
      </c>
      <c r="R644" s="5">
        <v>1280</v>
      </c>
      <c r="S644" s="7">
        <f>PLANPRODUCCION[[#This Row],[PRECIO MAQUILAS]]*PLANPRODUCCION[[#This Row],[PIEZAS REAL]]</f>
        <v>960</v>
      </c>
      <c r="T64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2680</v>
      </c>
      <c r="U64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3100</v>
      </c>
      <c r="V64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64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-1520</v>
      </c>
      <c r="X644" s="8" t="s">
        <v>602</v>
      </c>
      <c r="Y64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4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4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44" s="13">
        <f>IF(PLANPRODUCCION[[#This Row],[PIEZAS REAL]]&gt;0,PLANPRODUCCION[[#This Row],[PIEZAS REAL]]/PLANPRODUCCION[[#This Row],[PIEZAS ACTUALIZADO]],)</f>
        <v>0.47761194029850745</v>
      </c>
      <c r="AC644" t="b">
        <f>PLANPRODUCCION[[#This Row],[INGRESO PLANEADO]]&lt;PLANPRODUCCION[[#This Row],[COSTO PLANEADO]]</f>
        <v>1</v>
      </c>
      <c r="AD644" s="46" t="s">
        <v>824</v>
      </c>
      <c r="AF644" t="b">
        <f>IF(COUNTIF(PLANPRODUCCION[[#This Row],[OBSERVACIONES]],"NO APLICA BONO*")&gt;0,TRUE,FALSE)</f>
        <v>0</v>
      </c>
    </row>
    <row r="645" spans="1:32" x14ac:dyDescent="0.25">
      <c r="A645" s="46" t="str">
        <f>UPPER(IF(PLANPRODUCCION[[#This Row],[FECHA]]&lt;=45701,_xlfn.CONCAT(TEXT(B645,"MMM"),"-",IF(ROW(A645)&lt;11,"000"&amp;ROW(A645)-1,IF(ROW(A645)&lt;101,"00"&amp;ROW(A645)-1,IF(ROW(A645)&lt;1001,"0"&amp;ROW(A645)-1,ROW(A645)-1))),"-OLD"),_xlfn.CONCAT(TEXT(B645,"MMM"),"-",IF(ROW(A645)&lt;473,"000"&amp;ROW(A645)-463,IF(ROW(A645)&lt;563,"00"&amp;ROW(A645)-463,IF(ROW(A645)&lt;1001,"0"&amp;ROW(A645)-463,ROW(A645)-463))))))</f>
        <v>MAR-0182</v>
      </c>
      <c r="B645" s="39">
        <v>45719</v>
      </c>
      <c r="C645" s="5">
        <v>1</v>
      </c>
      <c r="D645" s="5" t="s">
        <v>62</v>
      </c>
      <c r="E645" t="s">
        <v>72</v>
      </c>
      <c r="F645" s="2">
        <v>0.66666666666666663</v>
      </c>
      <c r="G645" s="2">
        <v>0.875</v>
      </c>
      <c r="H645" s="5">
        <v>1589</v>
      </c>
      <c r="I645" t="s">
        <v>589</v>
      </c>
      <c r="J645" t="s">
        <v>773</v>
      </c>
      <c r="K645" s="5">
        <v>2000</v>
      </c>
      <c r="L645" s="5" t="s">
        <v>65</v>
      </c>
      <c r="M645" s="49">
        <v>1.4</v>
      </c>
      <c r="N645" s="6">
        <f>PLANPRODUCCION[[#This Row],[PIEZAS PLANEADAS]]*PLANPRODUCCION[[#This Row],[PRECIO MAQUILAS]]</f>
        <v>2800</v>
      </c>
      <c r="O645" s="5">
        <v>1</v>
      </c>
      <c r="P645" s="2">
        <v>0.66666666666666663</v>
      </c>
      <c r="Q645" s="2">
        <v>0.875</v>
      </c>
      <c r="R645" s="5">
        <v>1856</v>
      </c>
      <c r="S645" s="7">
        <f>PLANPRODUCCION[[#This Row],[PRECIO MAQUILAS]]*PLANPRODUCCION[[#This Row],[PIEZAS REAL]]</f>
        <v>2598.3999999999996</v>
      </c>
      <c r="T64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2000</v>
      </c>
      <c r="U64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310</v>
      </c>
      <c r="V64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64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2288.3999999999996</v>
      </c>
      <c r="X645" s="8" t="s">
        <v>602</v>
      </c>
      <c r="Y64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4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4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45" s="13">
        <f>IF(PLANPRODUCCION[[#This Row],[PIEZAS REAL]]&gt;0,PLANPRODUCCION[[#This Row],[PIEZAS REAL]]/PLANPRODUCCION[[#This Row],[PIEZAS ACTUALIZADO]],)</f>
        <v>0.92800000000000005</v>
      </c>
      <c r="AC645" t="b">
        <f>PLANPRODUCCION[[#This Row],[INGRESO PLANEADO]]&lt;PLANPRODUCCION[[#This Row],[COSTO PLANEADO]]</f>
        <v>0</v>
      </c>
      <c r="AD645" s="46" t="s">
        <v>825</v>
      </c>
      <c r="AF645" t="b">
        <f>IF(COUNTIF(PLANPRODUCCION[[#This Row],[OBSERVACIONES]],"NO APLICA BONO*")&gt;0,TRUE,FALSE)</f>
        <v>0</v>
      </c>
    </row>
    <row r="646" spans="1:32" x14ac:dyDescent="0.25">
      <c r="A646" s="46" t="str">
        <f>UPPER(IF(PLANPRODUCCION[[#This Row],[FECHA]]&lt;=45701,_xlfn.CONCAT(TEXT(B646,"MMM"),"-",IF(ROW(A646)&lt;11,"000"&amp;ROW(A646)-1,IF(ROW(A646)&lt;101,"00"&amp;ROW(A646)-1,IF(ROW(A646)&lt;1001,"0"&amp;ROW(A646)-1,ROW(A646)-1))),"-OLD"),_xlfn.CONCAT(TEXT(B646,"MMM"),"-",IF(ROW(A646)&lt;473,"000"&amp;ROW(A646)-463,IF(ROW(A646)&lt;563,"00"&amp;ROW(A646)-463,IF(ROW(A646)&lt;1001,"0"&amp;ROW(A646)-463,ROW(A646)-463))))))</f>
        <v>MAR-0183</v>
      </c>
      <c r="B646" s="39">
        <v>45719</v>
      </c>
      <c r="C646" s="5">
        <v>3</v>
      </c>
      <c r="D646" s="5">
        <v>4</v>
      </c>
      <c r="E646" t="s">
        <v>72</v>
      </c>
      <c r="F646" s="2">
        <v>0.66666666666666663</v>
      </c>
      <c r="G646" s="2">
        <v>0.875</v>
      </c>
      <c r="H646" s="5">
        <v>1589</v>
      </c>
      <c r="I646" t="s">
        <v>589</v>
      </c>
      <c r="J646" t="s">
        <v>89</v>
      </c>
      <c r="K646" s="5">
        <v>1260</v>
      </c>
      <c r="L646" s="5" t="s">
        <v>57</v>
      </c>
      <c r="M646" s="49">
        <v>0.75</v>
      </c>
      <c r="N646" s="6">
        <f>PLANPRODUCCION[[#This Row],[PIEZAS PLANEADAS]]*PLANPRODUCCION[[#This Row],[PRECIO MAQUILAS]]</f>
        <v>945</v>
      </c>
      <c r="O646" s="5">
        <v>4</v>
      </c>
      <c r="P646" s="2">
        <v>0.66666666666666663</v>
      </c>
      <c r="Q646" s="2">
        <v>0.875</v>
      </c>
      <c r="R646" s="5">
        <v>1060</v>
      </c>
      <c r="S646" s="7">
        <f>PLANPRODUCCION[[#This Row],[PRECIO MAQUILAS]]*PLANPRODUCCION[[#This Row],[PIEZAS REAL]]</f>
        <v>795</v>
      </c>
      <c r="T64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1680</v>
      </c>
      <c r="U64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64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64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-445</v>
      </c>
      <c r="X646" s="8" t="s">
        <v>602</v>
      </c>
      <c r="Y64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4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4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46" s="13">
        <f>IF(PLANPRODUCCION[[#This Row],[PIEZAS REAL]]&gt;0,PLANPRODUCCION[[#This Row],[PIEZAS REAL]]/PLANPRODUCCION[[#This Row],[PIEZAS ACTUALIZADO]],)</f>
        <v>0.63095238095238093</v>
      </c>
      <c r="AC646" t="b">
        <f>PLANPRODUCCION[[#This Row],[INGRESO PLANEADO]]&lt;PLANPRODUCCION[[#This Row],[COSTO PLANEADO]]</f>
        <v>0</v>
      </c>
      <c r="AD646" s="46" t="s">
        <v>826</v>
      </c>
      <c r="AF646" t="b">
        <f>IF(COUNTIF(PLANPRODUCCION[[#This Row],[OBSERVACIONES]],"NO APLICA BONO*")&gt;0,TRUE,FALSE)</f>
        <v>0</v>
      </c>
    </row>
    <row r="647" spans="1:32" x14ac:dyDescent="0.25">
      <c r="A647" s="46" t="str">
        <f>UPPER(IF(PLANPRODUCCION[[#This Row],[FECHA]]&lt;=45701,_xlfn.CONCAT(TEXT(B647,"MMM"),"-",IF(ROW(A647)&lt;11,"000"&amp;ROW(A647)-1,IF(ROW(A647)&lt;101,"00"&amp;ROW(A647)-1,IF(ROW(A647)&lt;1001,"0"&amp;ROW(A647)-1,ROW(A647)-1))),"-OLD"),_xlfn.CONCAT(TEXT(B647,"MMM"),"-",IF(ROW(A647)&lt;473,"000"&amp;ROW(A647)-463,IF(ROW(A647)&lt;563,"00"&amp;ROW(A647)-463,IF(ROW(A647)&lt;1001,"0"&amp;ROW(A647)-463,ROW(A647)-463))))))</f>
        <v>MAR-0184</v>
      </c>
      <c r="B647" s="39">
        <v>45720</v>
      </c>
      <c r="C647" s="5">
        <v>2</v>
      </c>
      <c r="D647" s="5" t="s">
        <v>62</v>
      </c>
      <c r="E647" t="s">
        <v>54</v>
      </c>
      <c r="F647" s="2">
        <v>0.25</v>
      </c>
      <c r="G647" s="2">
        <v>0.35416666666666669</v>
      </c>
      <c r="H647" s="5">
        <v>1589</v>
      </c>
      <c r="I647" t="s">
        <v>589</v>
      </c>
      <c r="J647" t="s">
        <v>773</v>
      </c>
      <c r="K647" s="5">
        <v>1000</v>
      </c>
      <c r="L647" s="5" t="s">
        <v>65</v>
      </c>
      <c r="M647" s="49">
        <v>1.4</v>
      </c>
      <c r="N647" s="6">
        <f>PLANPRODUCCION[[#This Row],[PIEZAS PLANEADAS]]*PLANPRODUCCION[[#This Row],[PRECIO MAQUILAS]]</f>
        <v>1400</v>
      </c>
      <c r="O647" s="5">
        <v>2</v>
      </c>
      <c r="P647" s="2">
        <v>0.27777777777777779</v>
      </c>
      <c r="Q647" s="2">
        <v>0.39583333333333331</v>
      </c>
      <c r="R647" s="5">
        <v>1000</v>
      </c>
      <c r="S647" s="7">
        <f>PLANPRODUCCION[[#This Row],[PRECIO MAQUILAS]]*PLANPRODUCCION[[#This Row],[PIEZAS REAL]]</f>
        <v>1400</v>
      </c>
      <c r="T64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1134</v>
      </c>
      <c r="U64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310</v>
      </c>
      <c r="V64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351.33333333333331</v>
      </c>
      <c r="W64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1048.6666666666667</v>
      </c>
      <c r="X647" s="8" t="s">
        <v>602</v>
      </c>
      <c r="Y64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4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47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647" s="13">
        <f>IF(PLANPRODUCCION[[#This Row],[PIEZAS REAL]]&gt;0,PLANPRODUCCION[[#This Row],[PIEZAS REAL]]/PLANPRODUCCION[[#This Row],[PIEZAS ACTUALIZADO]],)</f>
        <v>0.88183421516754845</v>
      </c>
      <c r="AC647" t="b">
        <f>PLANPRODUCCION[[#This Row],[INGRESO PLANEADO]]&lt;PLANPRODUCCION[[#This Row],[COSTO PLANEADO]]</f>
        <v>0</v>
      </c>
      <c r="AD647" s="46" t="s">
        <v>827</v>
      </c>
      <c r="AF647" t="b">
        <f>IF(COUNTIF(PLANPRODUCCION[[#This Row],[OBSERVACIONES]],"NO APLICA BONO*")&gt;0,TRUE,FALSE)</f>
        <v>0</v>
      </c>
    </row>
    <row r="648" spans="1:32" x14ac:dyDescent="0.25">
      <c r="A648" s="46" t="str">
        <f>UPPER(IF(PLANPRODUCCION[[#This Row],[FECHA]]&lt;=45701,_xlfn.CONCAT(TEXT(B648,"MMM"),"-",IF(ROW(A648)&lt;11,"000"&amp;ROW(A648)-1,IF(ROW(A648)&lt;101,"00"&amp;ROW(A648)-1,IF(ROW(A648)&lt;1001,"0"&amp;ROW(A648)-1,ROW(A648)-1))),"-OLD"),_xlfn.CONCAT(TEXT(B648,"MMM"),"-",IF(ROW(A648)&lt;473,"000"&amp;ROW(A648)-463,IF(ROW(A648)&lt;563,"00"&amp;ROW(A648)-463,IF(ROW(A648)&lt;1001,"0"&amp;ROW(A648)-463,ROW(A648)-463))))))</f>
        <v>MAR-0185</v>
      </c>
      <c r="B648" s="39">
        <v>45720</v>
      </c>
      <c r="C648" s="5">
        <v>2</v>
      </c>
      <c r="D648" s="5" t="s">
        <v>62</v>
      </c>
      <c r="E648" t="s">
        <v>54</v>
      </c>
      <c r="F648" s="2">
        <v>0.35416666666666669</v>
      </c>
      <c r="G648" s="2">
        <v>0.41666666666666669</v>
      </c>
      <c r="H648" s="5">
        <v>1583</v>
      </c>
      <c r="I648" t="s">
        <v>828</v>
      </c>
      <c r="J648" t="s">
        <v>773</v>
      </c>
      <c r="K648" s="5">
        <v>300</v>
      </c>
      <c r="L648" s="5" t="s">
        <v>65</v>
      </c>
      <c r="M648" s="49">
        <v>1.4</v>
      </c>
      <c r="N648" s="6">
        <f>PLANPRODUCCION[[#This Row],[PIEZAS PLANEADAS]]*PLANPRODUCCION[[#This Row],[PRECIO MAQUILAS]]</f>
        <v>420</v>
      </c>
      <c r="O648" s="5">
        <v>2</v>
      </c>
      <c r="P648" s="2">
        <v>0.39583333333333331</v>
      </c>
      <c r="Q648" s="2">
        <v>0.66666666666666663</v>
      </c>
      <c r="R648" s="5">
        <v>990</v>
      </c>
      <c r="S648" s="7">
        <f>PLANPRODUCCION[[#This Row],[PRECIO MAQUILAS]]*PLANPRODUCCION[[#This Row],[PIEZAS REAL]]</f>
        <v>1386</v>
      </c>
      <c r="T64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1300</v>
      </c>
      <c r="U64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</v>
      </c>
      <c r="V64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806</v>
      </c>
      <c r="W64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580</v>
      </c>
      <c r="X648" s="8" t="s">
        <v>602</v>
      </c>
      <c r="Y648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4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4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48" s="13">
        <f>IF(PLANPRODUCCION[[#This Row],[PIEZAS REAL]]&gt;0,PLANPRODUCCION[[#This Row],[PIEZAS REAL]]/PLANPRODUCCION[[#This Row],[PIEZAS ACTUALIZADO]],)</f>
        <v>0.7615384615384615</v>
      </c>
      <c r="AC648" t="b">
        <f>PLANPRODUCCION[[#This Row],[INGRESO PLANEADO]]&lt;PLANPRODUCCION[[#This Row],[COSTO PLANEADO]]</f>
        <v>0</v>
      </c>
      <c r="AD648" s="46" t="s">
        <v>829</v>
      </c>
      <c r="AF648" t="b">
        <f>IF(COUNTIF(PLANPRODUCCION[[#This Row],[OBSERVACIONES]],"NO APLICA BONO*")&gt;0,TRUE,FALSE)</f>
        <v>0</v>
      </c>
    </row>
    <row r="649" spans="1:32" x14ac:dyDescent="0.25">
      <c r="A649" s="46" t="str">
        <f>UPPER(IF(PLANPRODUCCION[[#This Row],[FECHA]]&lt;=45701,_xlfn.CONCAT(TEXT(B649,"MMM"),"-",IF(ROW(A649)&lt;11,"000"&amp;ROW(A649)-1,IF(ROW(A649)&lt;101,"00"&amp;ROW(A649)-1,IF(ROW(A649)&lt;1001,"0"&amp;ROW(A649)-1,ROW(A649)-1))),"-OLD"),_xlfn.CONCAT(TEXT(B649,"MMM"),"-",IF(ROW(A649)&lt;473,"000"&amp;ROW(A649)-463,IF(ROW(A649)&lt;563,"00"&amp;ROW(A649)-463,IF(ROW(A649)&lt;1001,"0"&amp;ROW(A649)-463,ROW(A649)-463))))))</f>
        <v>MAR-0186</v>
      </c>
      <c r="B649" s="39">
        <v>45720</v>
      </c>
      <c r="C649" s="5">
        <v>2</v>
      </c>
      <c r="D649" s="5" t="s">
        <v>62</v>
      </c>
      <c r="E649" t="s">
        <v>54</v>
      </c>
      <c r="F649" s="2">
        <v>0.41666666666666669</v>
      </c>
      <c r="G649" s="2">
        <v>0.5</v>
      </c>
      <c r="H649" s="5">
        <v>1583</v>
      </c>
      <c r="I649" t="s">
        <v>830</v>
      </c>
      <c r="J649" t="s">
        <v>773</v>
      </c>
      <c r="K649" s="5">
        <v>680</v>
      </c>
      <c r="L649" s="5" t="s">
        <v>65</v>
      </c>
      <c r="M649" s="49">
        <v>1.4</v>
      </c>
      <c r="N649" s="6">
        <f>PLANPRODUCCION[[#This Row],[PIEZAS PLANEADAS]]*PLANPRODUCCION[[#This Row],[PRECIO MAQUILAS]]</f>
        <v>951.99999999999989</v>
      </c>
      <c r="O649" s="5">
        <v>0</v>
      </c>
      <c r="P649" s="2">
        <v>0</v>
      </c>
      <c r="Q649" s="2">
        <v>0</v>
      </c>
      <c r="R649" s="5">
        <v>0</v>
      </c>
      <c r="S649" s="7">
        <f>PLANPRODUCCION[[#This Row],[PRECIO MAQUILAS]]*PLANPRODUCCION[[#This Row],[PIEZAS REAL]]</f>
        <v>0</v>
      </c>
      <c r="T64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4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4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4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49" s="8" t="s">
        <v>602</v>
      </c>
      <c r="Y649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4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49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49" s="13">
        <f>IF(PLANPRODUCCION[[#This Row],[PIEZAS REAL]]&gt;0,PLANPRODUCCION[[#This Row],[PIEZAS REAL]]/PLANPRODUCCION[[#This Row],[PIEZAS ACTUALIZADO]],)</f>
        <v>0</v>
      </c>
      <c r="AC649" t="b">
        <f>PLANPRODUCCION[[#This Row],[INGRESO PLANEADO]]&lt;PLANPRODUCCION[[#This Row],[COSTO PLANEADO]]</f>
        <v>0</v>
      </c>
      <c r="AD649" s="46" t="s">
        <v>831</v>
      </c>
      <c r="AE649" t="s">
        <v>832</v>
      </c>
      <c r="AF649" t="b">
        <f>IF(COUNTIF(PLANPRODUCCION[[#This Row],[OBSERVACIONES]],"NO APLICA BONO*")&gt;0,TRUE,FALSE)</f>
        <v>0</v>
      </c>
    </row>
    <row r="650" spans="1:32" x14ac:dyDescent="0.25">
      <c r="A650" s="46" t="str">
        <f>UPPER(IF(PLANPRODUCCION[[#This Row],[FECHA]]&lt;=45701,_xlfn.CONCAT(TEXT(B650,"MMM"),"-",IF(ROW(A650)&lt;11,"000"&amp;ROW(A650)-1,IF(ROW(A650)&lt;101,"00"&amp;ROW(A650)-1,IF(ROW(A650)&lt;1001,"0"&amp;ROW(A650)-1,ROW(A650)-1))),"-OLD"),_xlfn.CONCAT(TEXT(B650,"MMM"),"-",IF(ROW(A650)&lt;473,"000"&amp;ROW(A650)-463,IF(ROW(A650)&lt;563,"00"&amp;ROW(A650)-463,IF(ROW(A650)&lt;1001,"0"&amp;ROW(A650)-463,ROW(A650)-463))))))</f>
        <v>MAR-0187</v>
      </c>
      <c r="B650" s="39">
        <v>45720</v>
      </c>
      <c r="C650" s="5">
        <v>4</v>
      </c>
      <c r="D650" s="5">
        <v>1</v>
      </c>
      <c r="E650" t="s">
        <v>54</v>
      </c>
      <c r="F650" s="2">
        <v>0.25</v>
      </c>
      <c r="G650" s="2">
        <v>0.54166666666666663</v>
      </c>
      <c r="H650" s="5">
        <v>1589</v>
      </c>
      <c r="I650" t="s">
        <v>589</v>
      </c>
      <c r="J650" t="s">
        <v>89</v>
      </c>
      <c r="K650" s="5">
        <v>2352</v>
      </c>
      <c r="L650" s="5" t="s">
        <v>57</v>
      </c>
      <c r="M650" s="49">
        <v>0.75</v>
      </c>
      <c r="N650" s="6">
        <f>PLANPRODUCCION[[#This Row],[PIEZAS PLANEADAS]]*PLANPRODUCCION[[#This Row],[PRECIO MAQUILAS]]</f>
        <v>1764</v>
      </c>
      <c r="O650" s="5">
        <v>3</v>
      </c>
      <c r="P650" s="2">
        <v>0.27777777777777779</v>
      </c>
      <c r="Q650" s="2">
        <v>0.60416666666666663</v>
      </c>
      <c r="R650" s="5">
        <v>1200</v>
      </c>
      <c r="S650" s="7">
        <f>PLANPRODUCCION[[#This Row],[PRECIO MAQUILAS]]*PLANPRODUCCION[[#This Row],[PIEZAS REAL]]</f>
        <v>900</v>
      </c>
      <c r="T65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1974</v>
      </c>
      <c r="U65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1736</v>
      </c>
      <c r="V65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1457</v>
      </c>
      <c r="W65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-557</v>
      </c>
      <c r="X650" s="8" t="s">
        <v>602</v>
      </c>
      <c r="Y65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5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5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50" s="13">
        <f>IF(PLANPRODUCCION[[#This Row],[PIEZAS REAL]]&gt;0,PLANPRODUCCION[[#This Row],[PIEZAS REAL]]/PLANPRODUCCION[[#This Row],[PIEZAS ACTUALIZADO]],)</f>
        <v>0.60790273556231</v>
      </c>
      <c r="AC650" t="b">
        <f>PLANPRODUCCION[[#This Row],[INGRESO PLANEADO]]&lt;PLANPRODUCCION[[#This Row],[COSTO PLANEADO]]</f>
        <v>0</v>
      </c>
      <c r="AD650" s="46" t="s">
        <v>833</v>
      </c>
      <c r="AF650" t="b">
        <f>IF(COUNTIF(PLANPRODUCCION[[#This Row],[OBSERVACIONES]],"NO APLICA BONO*")&gt;0,TRUE,FALSE)</f>
        <v>0</v>
      </c>
    </row>
    <row r="651" spans="1:32" x14ac:dyDescent="0.25">
      <c r="A651" s="46" t="str">
        <f>UPPER(IF(PLANPRODUCCION[[#This Row],[FECHA]]&lt;=45701,_xlfn.CONCAT(TEXT(B651,"MMM"),"-",IF(ROW(A651)&lt;11,"000"&amp;ROW(A651)-1,IF(ROW(A651)&lt;101,"00"&amp;ROW(A651)-1,IF(ROW(A651)&lt;1001,"0"&amp;ROW(A651)-1,ROW(A651)-1))),"-OLD"),_xlfn.CONCAT(TEXT(B651,"MMM"),"-",IF(ROW(A651)&lt;473,"000"&amp;ROW(A651)-463,IF(ROW(A651)&lt;563,"00"&amp;ROW(A651)-463,IF(ROW(A651)&lt;1001,"0"&amp;ROW(A651)-463,ROW(A651)-463))))))</f>
        <v>MAR-0188</v>
      </c>
      <c r="B651" s="39">
        <v>45720</v>
      </c>
      <c r="C651" s="5">
        <v>3</v>
      </c>
      <c r="D651" s="5">
        <v>2</v>
      </c>
      <c r="E651" t="s">
        <v>54</v>
      </c>
      <c r="F651" s="2">
        <v>0.25</v>
      </c>
      <c r="G651" s="2">
        <v>0.54166666666666663</v>
      </c>
      <c r="H651" s="5">
        <v>1589</v>
      </c>
      <c r="I651" t="s">
        <v>589</v>
      </c>
      <c r="J651" t="s">
        <v>89</v>
      </c>
      <c r="K651" s="5">
        <v>1764</v>
      </c>
      <c r="L651" s="5" t="s">
        <v>57</v>
      </c>
      <c r="M651" s="49">
        <v>0.75</v>
      </c>
      <c r="N651" s="6">
        <f>PLANPRODUCCION[[#This Row],[PIEZAS PLANEADAS]]*PLANPRODUCCION[[#This Row],[PRECIO MAQUILAS]]</f>
        <v>1323</v>
      </c>
      <c r="O651" s="5">
        <v>3</v>
      </c>
      <c r="P651" s="2">
        <v>0.27777777777777779</v>
      </c>
      <c r="Q651" s="2">
        <v>0.60416666666666663</v>
      </c>
      <c r="R651" s="5">
        <v>820</v>
      </c>
      <c r="S651" s="7">
        <f>PLANPRODUCCION[[#This Row],[PRECIO MAQUILAS]]*PLANPRODUCCION[[#This Row],[PIEZAS REAL]]</f>
        <v>615</v>
      </c>
      <c r="T65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1974</v>
      </c>
      <c r="U65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1302</v>
      </c>
      <c r="V65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1457</v>
      </c>
      <c r="W65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-842</v>
      </c>
      <c r="X651" s="8" t="s">
        <v>602</v>
      </c>
      <c r="Y65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5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5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51" s="13">
        <f>IF(PLANPRODUCCION[[#This Row],[PIEZAS REAL]]&gt;0,PLANPRODUCCION[[#This Row],[PIEZAS REAL]]/PLANPRODUCCION[[#This Row],[PIEZAS ACTUALIZADO]],)</f>
        <v>0.41540020263424521</v>
      </c>
      <c r="AC651" t="b">
        <f>PLANPRODUCCION[[#This Row],[INGRESO PLANEADO]]&lt;PLANPRODUCCION[[#This Row],[COSTO PLANEADO]]</f>
        <v>0</v>
      </c>
      <c r="AD651" s="46" t="s">
        <v>834</v>
      </c>
      <c r="AF651" t="b">
        <f>IF(COUNTIF(PLANPRODUCCION[[#This Row],[OBSERVACIONES]],"NO APLICA BONO*")&gt;0,TRUE,FALSE)</f>
        <v>0</v>
      </c>
    </row>
    <row r="652" spans="1:32" x14ac:dyDescent="0.25">
      <c r="A652" s="46" t="str">
        <f>UPPER(IF(PLANPRODUCCION[[#This Row],[FECHA]]&lt;=45701,_xlfn.CONCAT(TEXT(B652,"MMM"),"-",IF(ROW(A652)&lt;11,"000"&amp;ROW(A652)-1,IF(ROW(A652)&lt;101,"00"&amp;ROW(A652)-1,IF(ROW(A652)&lt;1001,"0"&amp;ROW(A652)-1,ROW(A652)-1))),"-OLD"),_xlfn.CONCAT(TEXT(B652,"MMM"),"-",IF(ROW(A652)&lt;473,"000"&amp;ROW(A652)-463,IF(ROW(A652)&lt;563,"00"&amp;ROW(A652)-463,IF(ROW(A652)&lt;1001,"0"&amp;ROW(A652)-463,ROW(A652)-463))))))</f>
        <v>MAR-0189</v>
      </c>
      <c r="B652" s="39">
        <v>45720</v>
      </c>
      <c r="C652" s="5">
        <v>3</v>
      </c>
      <c r="D652" s="5">
        <v>3</v>
      </c>
      <c r="E652" t="s">
        <v>54</v>
      </c>
      <c r="F652" s="2">
        <v>0.25</v>
      </c>
      <c r="G652" s="2">
        <v>0.54166666666666663</v>
      </c>
      <c r="H652" s="5">
        <v>1589</v>
      </c>
      <c r="I652" t="s">
        <v>589</v>
      </c>
      <c r="J652" t="s">
        <v>89</v>
      </c>
      <c r="K652" s="5">
        <v>1764</v>
      </c>
      <c r="L652" s="5" t="s">
        <v>57</v>
      </c>
      <c r="M652" s="49">
        <v>0.75</v>
      </c>
      <c r="N652" s="6">
        <f>PLANPRODUCCION[[#This Row],[PIEZAS PLANEADAS]]*PLANPRODUCCION[[#This Row],[PRECIO MAQUILAS]]</f>
        <v>1323</v>
      </c>
      <c r="O652" s="5">
        <v>3</v>
      </c>
      <c r="P652" s="2">
        <v>0.27777777777777779</v>
      </c>
      <c r="Q652" s="2">
        <v>0.58680555555555558</v>
      </c>
      <c r="R652" s="5">
        <v>1226</v>
      </c>
      <c r="S652" s="7">
        <f>PLANPRODUCCION[[#This Row],[PRECIO MAQUILAS]]*PLANPRODUCCION[[#This Row],[PIEZAS REAL]]</f>
        <v>919.5</v>
      </c>
      <c r="T65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1869</v>
      </c>
      <c r="U65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1302</v>
      </c>
      <c r="V65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1379.5</v>
      </c>
      <c r="W65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-460</v>
      </c>
      <c r="X652" s="8" t="s">
        <v>602</v>
      </c>
      <c r="Y65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5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5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52" s="13">
        <f>IF(PLANPRODUCCION[[#This Row],[PIEZAS REAL]]&gt;0,PLANPRODUCCION[[#This Row],[PIEZAS REAL]]/PLANPRODUCCION[[#This Row],[PIEZAS ACTUALIZADO]],)</f>
        <v>0.65596575708935256</v>
      </c>
      <c r="AC652" t="b">
        <f>PLANPRODUCCION[[#This Row],[INGRESO PLANEADO]]&lt;PLANPRODUCCION[[#This Row],[COSTO PLANEADO]]</f>
        <v>0</v>
      </c>
      <c r="AD652" s="46" t="s">
        <v>835</v>
      </c>
      <c r="AF652" t="b">
        <f>IF(COUNTIF(PLANPRODUCCION[[#This Row],[OBSERVACIONES]],"NO APLICA BONO*")&gt;0,TRUE,FALSE)</f>
        <v>0</v>
      </c>
    </row>
    <row r="653" spans="1:32" x14ac:dyDescent="0.25">
      <c r="A653" s="46" t="str">
        <f>UPPER(IF(PLANPRODUCCION[[#This Row],[FECHA]]&lt;=45701,_xlfn.CONCAT(TEXT(B653,"MMM"),"-",IF(ROW(A653)&lt;11,"000"&amp;ROW(A653)-1,IF(ROW(A653)&lt;101,"00"&amp;ROW(A653)-1,IF(ROW(A653)&lt;1001,"0"&amp;ROW(A653)-1,ROW(A653)-1))),"-OLD"),_xlfn.CONCAT(TEXT(B653,"MMM"),"-",IF(ROW(A653)&lt;473,"000"&amp;ROW(A653)-463,IF(ROW(A653)&lt;563,"00"&amp;ROW(A653)-463,IF(ROW(A653)&lt;1001,"0"&amp;ROW(A653)-463,ROW(A653)-463))))))</f>
        <v>MAR-0190</v>
      </c>
      <c r="B653" s="39">
        <v>45720</v>
      </c>
      <c r="C653" s="5">
        <v>3</v>
      </c>
      <c r="D653" s="5">
        <v>4</v>
      </c>
      <c r="E653" t="s">
        <v>67</v>
      </c>
      <c r="F653" s="2">
        <v>0.33333333333333331</v>
      </c>
      <c r="G653" s="2">
        <v>0.54166666666666663</v>
      </c>
      <c r="H653" s="5">
        <v>1589</v>
      </c>
      <c r="I653" t="s">
        <v>589</v>
      </c>
      <c r="J653" t="s">
        <v>89</v>
      </c>
      <c r="K653" s="5">
        <v>1260</v>
      </c>
      <c r="L653" s="5" t="s">
        <v>57</v>
      </c>
      <c r="M653" s="49">
        <v>0.75</v>
      </c>
      <c r="N653" s="6">
        <f>PLANPRODUCCION[[#This Row],[PIEZAS PLANEADAS]]*PLANPRODUCCION[[#This Row],[PRECIO MAQUILAS]]</f>
        <v>945</v>
      </c>
      <c r="O653" s="5">
        <v>3</v>
      </c>
      <c r="P653" s="2">
        <v>0.33333333333333331</v>
      </c>
      <c r="Q653" s="2">
        <v>0.57638888888888884</v>
      </c>
      <c r="R653" s="5">
        <v>700</v>
      </c>
      <c r="S653" s="7">
        <f>PLANPRODUCCION[[#This Row],[PRECIO MAQUILAS]]*PLANPRODUCCION[[#This Row],[PIEZAS REAL]]</f>
        <v>525</v>
      </c>
      <c r="T65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1470</v>
      </c>
      <c r="U65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65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1085</v>
      </c>
      <c r="W65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-560</v>
      </c>
      <c r="X653" s="8" t="s">
        <v>602</v>
      </c>
      <c r="Y65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5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5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53" s="13">
        <f>IF(PLANPRODUCCION[[#This Row],[PIEZAS REAL]]&gt;0,PLANPRODUCCION[[#This Row],[PIEZAS REAL]]/PLANPRODUCCION[[#This Row],[PIEZAS ACTUALIZADO]],)</f>
        <v>0.47619047619047616</v>
      </c>
      <c r="AC653" t="b">
        <f>PLANPRODUCCION[[#This Row],[INGRESO PLANEADO]]&lt;PLANPRODUCCION[[#This Row],[COSTO PLANEADO]]</f>
        <v>0</v>
      </c>
      <c r="AD653" s="46" t="s">
        <v>836</v>
      </c>
      <c r="AF653" t="b">
        <f>IF(COUNTIF(PLANPRODUCCION[[#This Row],[OBSERVACIONES]],"NO APLICA BONO*")&gt;0,TRUE,FALSE)</f>
        <v>0</v>
      </c>
    </row>
    <row r="654" spans="1:32" x14ac:dyDescent="0.25">
      <c r="A654" s="46" t="str">
        <f>UPPER(IF(PLANPRODUCCION[[#This Row],[FECHA]]&lt;=45701,_xlfn.CONCAT(TEXT(B654,"MMM"),"-",IF(ROW(A654)&lt;11,"000"&amp;ROW(A654)-1,IF(ROW(A654)&lt;101,"00"&amp;ROW(A654)-1,IF(ROW(A654)&lt;1001,"0"&amp;ROW(A654)-1,ROW(A654)-1))),"-OLD"),_xlfn.CONCAT(TEXT(B654,"MMM"),"-",IF(ROW(A654)&lt;473,"000"&amp;ROW(A654)-463,IF(ROW(A654)&lt;563,"00"&amp;ROW(A654)-463,IF(ROW(A654)&lt;1001,"0"&amp;ROW(A654)-463,ROW(A654)-463))))))</f>
        <v>MAR-0191</v>
      </c>
      <c r="B654" s="39">
        <v>45720</v>
      </c>
      <c r="C654" s="5">
        <v>3</v>
      </c>
      <c r="D654" s="5">
        <v>4</v>
      </c>
      <c r="E654" t="s">
        <v>67</v>
      </c>
      <c r="F654" s="2">
        <v>0.58333333333333337</v>
      </c>
      <c r="G654" s="2">
        <v>0.70833333333333337</v>
      </c>
      <c r="H654" s="5">
        <v>1583</v>
      </c>
      <c r="I654" t="s">
        <v>795</v>
      </c>
      <c r="J654" t="s">
        <v>837</v>
      </c>
      <c r="K654" s="5">
        <v>180</v>
      </c>
      <c r="L654" s="5" t="s">
        <v>57</v>
      </c>
      <c r="M654" s="49">
        <v>2.6</v>
      </c>
      <c r="N654" s="6">
        <f>PLANPRODUCCION[[#This Row],[PIEZAS PLANEADAS]]*PLANPRODUCCION[[#This Row],[PRECIO MAQUILAS]]</f>
        <v>468</v>
      </c>
      <c r="O654" s="5">
        <v>3</v>
      </c>
      <c r="P654" s="2">
        <v>0.58333333333333337</v>
      </c>
      <c r="Q654" s="2">
        <v>0.70833333333333337</v>
      </c>
      <c r="R654" s="5">
        <v>31</v>
      </c>
      <c r="S654" s="7">
        <f>PLANPRODUCCION[[#This Row],[PRECIO MAQUILAS]]*PLANPRODUCCION[[#This Row],[PIEZAS REAL]]</f>
        <v>80.600000000000009</v>
      </c>
      <c r="T65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180</v>
      </c>
      <c r="U65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558</v>
      </c>
      <c r="V65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558</v>
      </c>
      <c r="W65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-477.4</v>
      </c>
      <c r="X654" s="8" t="s">
        <v>606</v>
      </c>
      <c r="Y65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5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5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54" s="13">
        <f>IF(PLANPRODUCCION[[#This Row],[PIEZAS REAL]]&gt;0,PLANPRODUCCION[[#This Row],[PIEZAS REAL]]/PLANPRODUCCION[[#This Row],[PIEZAS ACTUALIZADO]],)</f>
        <v>0.17222222222222222</v>
      </c>
      <c r="AC654" t="b">
        <f>PLANPRODUCCION[[#This Row],[INGRESO PLANEADO]]&lt;PLANPRODUCCION[[#This Row],[COSTO PLANEADO]]</f>
        <v>1</v>
      </c>
      <c r="AD654" s="46" t="s">
        <v>838</v>
      </c>
      <c r="AF654" t="b">
        <f>IF(COUNTIF(PLANPRODUCCION[[#This Row],[OBSERVACIONES]],"NO APLICA BONO*")&gt;0,TRUE,FALSE)</f>
        <v>0</v>
      </c>
    </row>
    <row r="655" spans="1:32" x14ac:dyDescent="0.25">
      <c r="A655" s="46" t="str">
        <f>UPPER(IF(PLANPRODUCCION[[#This Row],[FECHA]]&lt;=45701,_xlfn.CONCAT(TEXT(B655,"MMM"),"-",IF(ROW(A655)&lt;11,"000"&amp;ROW(A655)-1,IF(ROW(A655)&lt;101,"00"&amp;ROW(A655)-1,IF(ROW(A655)&lt;1001,"0"&amp;ROW(A655)-1,ROW(A655)-1))),"-OLD"),_xlfn.CONCAT(TEXT(B655,"MMM"),"-",IF(ROW(A655)&lt;473,"000"&amp;ROW(A655)-463,IF(ROW(A655)&lt;563,"00"&amp;ROW(A655)-463,IF(ROW(A655)&lt;1001,"0"&amp;ROW(A655)-463,ROW(A655)-463))))))</f>
        <v>MAR-0192</v>
      </c>
      <c r="B655" s="39">
        <v>45720</v>
      </c>
      <c r="C655" s="5">
        <v>2</v>
      </c>
      <c r="D655" s="5">
        <v>1</v>
      </c>
      <c r="E655" t="s">
        <v>67</v>
      </c>
      <c r="F655" s="2">
        <v>0.33333333333333331</v>
      </c>
      <c r="G655" s="2">
        <v>0.54166666666666663</v>
      </c>
      <c r="H655" s="5">
        <v>1589</v>
      </c>
      <c r="I655" t="s">
        <v>589</v>
      </c>
      <c r="J655" t="s">
        <v>89</v>
      </c>
      <c r="K655" s="5">
        <v>840</v>
      </c>
      <c r="L655" s="5" t="s">
        <v>57</v>
      </c>
      <c r="M655" s="49">
        <v>0.75</v>
      </c>
      <c r="N655" s="6">
        <f>PLANPRODUCCION[[#This Row],[PIEZAS PLANEADAS]]*PLANPRODUCCION[[#This Row],[PRECIO MAQUILAS]]</f>
        <v>630</v>
      </c>
      <c r="O655" s="5">
        <v>2</v>
      </c>
      <c r="P655" s="2">
        <v>0.33333333333333331</v>
      </c>
      <c r="Q655" s="2">
        <v>0.57638888888888884</v>
      </c>
      <c r="R655" s="5">
        <v>500</v>
      </c>
      <c r="S655" s="7">
        <f>PLANPRODUCCION[[#This Row],[PRECIO MAQUILAS]]*PLANPRODUCCION[[#This Row],[PIEZAS REAL]]</f>
        <v>375</v>
      </c>
      <c r="T65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980</v>
      </c>
      <c r="U65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65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723.33333333333337</v>
      </c>
      <c r="W65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-348.33333333333337</v>
      </c>
      <c r="X655" s="8" t="s">
        <v>602</v>
      </c>
      <c r="Y65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5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5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55" s="13">
        <f>IF(PLANPRODUCCION[[#This Row],[PIEZAS REAL]]&gt;0,PLANPRODUCCION[[#This Row],[PIEZAS REAL]]/PLANPRODUCCION[[#This Row],[PIEZAS ACTUALIZADO]],)</f>
        <v>0.51020408163265307</v>
      </c>
      <c r="AC655" t="b">
        <f>PLANPRODUCCION[[#This Row],[INGRESO PLANEADO]]&lt;PLANPRODUCCION[[#This Row],[COSTO PLANEADO]]</f>
        <v>0</v>
      </c>
      <c r="AD655" s="46" t="s">
        <v>839</v>
      </c>
      <c r="AF655" t="b">
        <f>IF(COUNTIF(PLANPRODUCCION[[#This Row],[OBSERVACIONES]],"NO APLICA BONO*")&gt;0,TRUE,FALSE)</f>
        <v>0</v>
      </c>
    </row>
    <row r="656" spans="1:32" x14ac:dyDescent="0.25">
      <c r="A656" s="46" t="str">
        <f>UPPER(IF(PLANPRODUCCION[[#This Row],[FECHA]]&lt;=45701,_xlfn.CONCAT(TEXT(B656,"MMM"),"-",IF(ROW(A656)&lt;11,"000"&amp;ROW(A656)-1,IF(ROW(A656)&lt;101,"00"&amp;ROW(A656)-1,IF(ROW(A656)&lt;1001,"0"&amp;ROW(A656)-1,ROW(A656)-1))),"-OLD"),_xlfn.CONCAT(TEXT(B656,"MMM"),"-",IF(ROW(A656)&lt;473,"000"&amp;ROW(A656)-463,IF(ROW(A656)&lt;563,"00"&amp;ROW(A656)-463,IF(ROW(A656)&lt;1001,"0"&amp;ROW(A656)-463,ROW(A656)-463))))))</f>
        <v>MAR-0193</v>
      </c>
      <c r="B656" s="39">
        <v>45720</v>
      </c>
      <c r="C656" s="5">
        <v>2</v>
      </c>
      <c r="D656" s="5">
        <v>1</v>
      </c>
      <c r="E656" t="s">
        <v>67</v>
      </c>
      <c r="F656" s="2">
        <v>0.58333333333333337</v>
      </c>
      <c r="G656" s="2">
        <v>0.70833333333333337</v>
      </c>
      <c r="H656" s="5">
        <v>1583</v>
      </c>
      <c r="I656" t="s">
        <v>795</v>
      </c>
      <c r="J656" t="s">
        <v>837</v>
      </c>
      <c r="K656" s="5">
        <v>120</v>
      </c>
      <c r="L656" s="5" t="s">
        <v>57</v>
      </c>
      <c r="M656" s="49">
        <v>2.6</v>
      </c>
      <c r="N656" s="6">
        <f>PLANPRODUCCION[[#This Row],[PIEZAS PLANEADAS]]*PLANPRODUCCION[[#This Row],[PRECIO MAQUILAS]]</f>
        <v>312</v>
      </c>
      <c r="O656" s="5">
        <v>2</v>
      </c>
      <c r="P656" s="2">
        <v>0.33333333333333331</v>
      </c>
      <c r="Q656" s="2">
        <v>0.70833333333333337</v>
      </c>
      <c r="R656" s="5">
        <v>24</v>
      </c>
      <c r="S656" s="7">
        <f>PLANPRODUCCION[[#This Row],[PRECIO MAQUILAS]]*PLANPRODUCCION[[#This Row],[PIEZAS REAL]]</f>
        <v>62.400000000000006</v>
      </c>
      <c r="T65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360</v>
      </c>
      <c r="U65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</v>
      </c>
      <c r="V65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1116</v>
      </c>
      <c r="W65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-1053.5999999999999</v>
      </c>
      <c r="X656" s="8" t="s">
        <v>606</v>
      </c>
      <c r="Y65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5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5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56" s="13">
        <f>IF(PLANPRODUCCION[[#This Row],[PIEZAS REAL]]&gt;0,PLANPRODUCCION[[#This Row],[PIEZAS REAL]]/PLANPRODUCCION[[#This Row],[PIEZAS ACTUALIZADO]],)</f>
        <v>6.6666666666666666E-2</v>
      </c>
      <c r="AC656" t="b">
        <f>PLANPRODUCCION[[#This Row],[INGRESO PLANEADO]]&lt;PLANPRODUCCION[[#This Row],[COSTO PLANEADO]]</f>
        <v>1</v>
      </c>
      <c r="AD656" s="46" t="s">
        <v>840</v>
      </c>
      <c r="AF656" t="b">
        <f>IF(COUNTIF(PLANPRODUCCION[[#This Row],[OBSERVACIONES]],"NO APLICA BONO*")&gt;0,TRUE,FALSE)</f>
        <v>0</v>
      </c>
    </row>
    <row r="657" spans="1:32" x14ac:dyDescent="0.25">
      <c r="A657" s="46" t="str">
        <f>UPPER(IF(PLANPRODUCCION[[#This Row],[FECHA]]&lt;=45701,_xlfn.CONCAT(TEXT(B657,"MMM"),"-",IF(ROW(A657)&lt;11,"000"&amp;ROW(A657)-1,IF(ROW(A657)&lt;101,"00"&amp;ROW(A657)-1,IF(ROW(A657)&lt;1001,"0"&amp;ROW(A657)-1,ROW(A657)-1))),"-OLD"),_xlfn.CONCAT(TEXT(B657,"MMM"),"-",IF(ROW(A657)&lt;473,"000"&amp;ROW(A657)-463,IF(ROW(A657)&lt;563,"00"&amp;ROW(A657)-463,IF(ROW(A657)&lt;1001,"0"&amp;ROW(A657)-463,ROW(A657)-463))))))</f>
        <v>MAR-0194</v>
      </c>
      <c r="B657" s="39">
        <v>45720</v>
      </c>
      <c r="C657" s="5">
        <v>2</v>
      </c>
      <c r="D657" s="5">
        <v>4</v>
      </c>
      <c r="E657" t="s">
        <v>110</v>
      </c>
      <c r="F657" s="2">
        <v>0.54166666666666663</v>
      </c>
      <c r="G657" s="2">
        <v>0.66666666666666663</v>
      </c>
      <c r="H657" s="5">
        <v>1583</v>
      </c>
      <c r="I657" t="s">
        <v>841</v>
      </c>
      <c r="J657" t="s">
        <v>89</v>
      </c>
      <c r="K657" s="5">
        <v>120</v>
      </c>
      <c r="L657" s="5" t="s">
        <v>57</v>
      </c>
      <c r="M657" s="49">
        <v>2.6</v>
      </c>
      <c r="N657" s="6">
        <f>PLANPRODUCCION[[#This Row],[PIEZAS PLANEADAS]]*PLANPRODUCCION[[#This Row],[PRECIO MAQUILAS]]</f>
        <v>312</v>
      </c>
      <c r="O657" s="5">
        <v>3</v>
      </c>
      <c r="P657" s="2">
        <v>0.54166666666666663</v>
      </c>
      <c r="Q657" s="2">
        <v>0.63541666666666663</v>
      </c>
      <c r="R657" s="5">
        <v>118</v>
      </c>
      <c r="S657" s="7">
        <f>PLANPRODUCCION[[#This Row],[PRECIO MAQUILAS]]*PLANPRODUCCION[[#This Row],[PIEZAS REAL]]</f>
        <v>306.8</v>
      </c>
      <c r="T65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135</v>
      </c>
      <c r="U65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465</v>
      </c>
      <c r="V65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523.125</v>
      </c>
      <c r="W65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-216.32499999999999</v>
      </c>
      <c r="X657" s="8" t="s">
        <v>602</v>
      </c>
      <c r="Y65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5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5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57" s="13">
        <f>IF(PLANPRODUCCION[[#This Row],[PIEZAS REAL]]&gt;0,PLANPRODUCCION[[#This Row],[PIEZAS REAL]]/PLANPRODUCCION[[#This Row],[PIEZAS ACTUALIZADO]],)</f>
        <v>0.87407407407407411</v>
      </c>
      <c r="AC657" t="b">
        <f>PLANPRODUCCION[[#This Row],[INGRESO PLANEADO]]&lt;PLANPRODUCCION[[#This Row],[COSTO PLANEADO]]</f>
        <v>1</v>
      </c>
      <c r="AD657" s="46" t="s">
        <v>842</v>
      </c>
      <c r="AF657" t="b">
        <f>IF(COUNTIF(PLANPRODUCCION[[#This Row],[OBSERVACIONES]],"NO APLICA BONO*")&gt;0,TRUE,FALSE)</f>
        <v>0</v>
      </c>
    </row>
    <row r="658" spans="1:32" x14ac:dyDescent="0.25">
      <c r="A658" s="46" t="str">
        <f>UPPER(IF(PLANPRODUCCION[[#This Row],[FECHA]]&lt;=45701,_xlfn.CONCAT(TEXT(B658,"MMM"),"-",IF(ROW(A658)&lt;11,"000"&amp;ROW(A658)-1,IF(ROW(A658)&lt;101,"00"&amp;ROW(A658)-1,IF(ROW(A658)&lt;1001,"0"&amp;ROW(A658)-1,ROW(A658)-1))),"-OLD"),_xlfn.CONCAT(TEXT(B658,"MMM"),"-",IF(ROW(A658)&lt;473,"000"&amp;ROW(A658)-463,IF(ROW(A658)&lt;563,"00"&amp;ROW(A658)-463,IF(ROW(A658)&lt;1001,"0"&amp;ROW(A658)-463,ROW(A658)-463))))))</f>
        <v>MAR-0195</v>
      </c>
      <c r="B658" s="39">
        <v>45720</v>
      </c>
      <c r="C658" s="5">
        <v>2</v>
      </c>
      <c r="D658" s="5">
        <v>0</v>
      </c>
      <c r="E658" t="s">
        <v>110</v>
      </c>
      <c r="F658" s="2">
        <v>0.66666666666666663</v>
      </c>
      <c r="G658" s="2">
        <v>0.875</v>
      </c>
      <c r="H658" s="5">
        <v>1589</v>
      </c>
      <c r="I658" t="s">
        <v>648</v>
      </c>
      <c r="J658" t="s">
        <v>843</v>
      </c>
      <c r="K658" s="5">
        <v>520</v>
      </c>
      <c r="L658" s="5" t="s">
        <v>57</v>
      </c>
      <c r="M658" s="49">
        <v>1.2</v>
      </c>
      <c r="N658" s="6">
        <f>PLANPRODUCCION[[#This Row],[PIEZAS PLANEADAS]]*PLANPRODUCCION[[#This Row],[PRECIO MAQUILAS]]</f>
        <v>624</v>
      </c>
      <c r="O658" s="5">
        <v>0</v>
      </c>
      <c r="P658" s="2">
        <v>0</v>
      </c>
      <c r="Q658" s="2">
        <v>0</v>
      </c>
      <c r="R658" s="5">
        <v>0</v>
      </c>
      <c r="S658" s="7">
        <f>PLANPRODUCCION[[#This Row],[PRECIO MAQUILAS]]*PLANPRODUCCION[[#This Row],[PIEZAS REAL]]</f>
        <v>0</v>
      </c>
      <c r="T65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5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5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5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58" s="8" t="s">
        <v>602</v>
      </c>
      <c r="Y658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5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58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58" s="13">
        <f>IF(PLANPRODUCCION[[#This Row],[PIEZAS REAL]]&gt;0,PLANPRODUCCION[[#This Row],[PIEZAS REAL]]/PLANPRODUCCION[[#This Row],[PIEZAS ACTUALIZADO]],)</f>
        <v>0</v>
      </c>
      <c r="AC658" t="b">
        <f>PLANPRODUCCION[[#This Row],[INGRESO PLANEADO]]&lt;PLANPRODUCCION[[#This Row],[COSTO PLANEADO]]</f>
        <v>0</v>
      </c>
      <c r="AD658" s="46" t="s">
        <v>844</v>
      </c>
      <c r="AF658" t="b">
        <f>IF(COUNTIF(PLANPRODUCCION[[#This Row],[OBSERVACIONES]],"NO APLICA BONO*")&gt;0,TRUE,FALSE)</f>
        <v>0</v>
      </c>
    </row>
    <row r="659" spans="1:32" x14ac:dyDescent="0.25">
      <c r="A659" s="46" t="str">
        <f>UPPER(IF(PLANPRODUCCION[[#This Row],[FECHA]]&lt;=45701,_xlfn.CONCAT(TEXT(B659,"MMM"),"-",IF(ROW(A659)&lt;11,"000"&amp;ROW(A659)-1,IF(ROW(A659)&lt;101,"00"&amp;ROW(A659)-1,IF(ROW(A659)&lt;1001,"0"&amp;ROW(A659)-1,ROW(A659)-1))),"-OLD"),_xlfn.CONCAT(TEXT(B659,"MMM"),"-",IF(ROW(A659)&lt;473,"000"&amp;ROW(A659)-463,IF(ROW(A659)&lt;563,"00"&amp;ROW(A659)-463,IF(ROW(A659)&lt;1001,"0"&amp;ROW(A659)-463,ROW(A659)-463))))))</f>
        <v>MAR-0196</v>
      </c>
      <c r="B659" s="39">
        <v>45720</v>
      </c>
      <c r="C659" s="5">
        <v>3</v>
      </c>
      <c r="D659" s="5">
        <v>6</v>
      </c>
      <c r="E659" t="s">
        <v>110</v>
      </c>
      <c r="F659" s="2">
        <v>0.54166666666666663</v>
      </c>
      <c r="G659" s="2">
        <v>0.66666666666666663</v>
      </c>
      <c r="H659" s="5">
        <v>1583</v>
      </c>
      <c r="I659" t="s">
        <v>841</v>
      </c>
      <c r="J659" t="s">
        <v>845</v>
      </c>
      <c r="K659" s="5">
        <v>180</v>
      </c>
      <c r="L659" s="5" t="s">
        <v>57</v>
      </c>
      <c r="M659" s="49">
        <v>2.6</v>
      </c>
      <c r="N659" s="6">
        <f>PLANPRODUCCION[[#This Row],[PIEZAS PLANEADAS]]*PLANPRODUCCION[[#This Row],[PRECIO MAQUILAS]]</f>
        <v>468</v>
      </c>
      <c r="O659" s="5">
        <v>3</v>
      </c>
      <c r="P659" s="2">
        <v>0.54166666666666663</v>
      </c>
      <c r="Q659" s="2">
        <v>0.71875</v>
      </c>
      <c r="R659" s="5">
        <v>127</v>
      </c>
      <c r="S659" s="7">
        <f>PLANPRODUCCION[[#This Row],[PRECIO MAQUILAS]]*PLANPRODUCCION[[#This Row],[PIEZAS REAL]]</f>
        <v>330.2</v>
      </c>
      <c r="T65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255</v>
      </c>
      <c r="U65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697.5</v>
      </c>
      <c r="V65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988.125</v>
      </c>
      <c r="W65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-657.92499999999995</v>
      </c>
      <c r="X659" s="8" t="s">
        <v>602</v>
      </c>
      <c r="Y65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5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5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59" s="13">
        <f>IF(PLANPRODUCCION[[#This Row],[PIEZAS REAL]]&gt;0,PLANPRODUCCION[[#This Row],[PIEZAS REAL]]/PLANPRODUCCION[[#This Row],[PIEZAS ACTUALIZADO]],)</f>
        <v>0.49803921568627452</v>
      </c>
      <c r="AC659" t="b">
        <f>PLANPRODUCCION[[#This Row],[INGRESO PLANEADO]]&lt;PLANPRODUCCION[[#This Row],[COSTO PLANEADO]]</f>
        <v>1</v>
      </c>
      <c r="AD659" s="46" t="s">
        <v>846</v>
      </c>
      <c r="AF659" t="b">
        <f>IF(COUNTIF(PLANPRODUCCION[[#This Row],[OBSERVACIONES]],"NO APLICA BONO*")&gt;0,TRUE,FALSE)</f>
        <v>0</v>
      </c>
    </row>
    <row r="660" spans="1:32" x14ac:dyDescent="0.25">
      <c r="A660" s="46" t="str">
        <f>UPPER(IF(PLANPRODUCCION[[#This Row],[FECHA]]&lt;=45701,_xlfn.CONCAT(TEXT(B660,"MMM"),"-",IF(ROW(A660)&lt;11,"000"&amp;ROW(A660)-1,IF(ROW(A660)&lt;101,"00"&amp;ROW(A660)-1,IF(ROW(A660)&lt;1001,"0"&amp;ROW(A660)-1,ROW(A660)-1))),"-OLD"),_xlfn.CONCAT(TEXT(B660,"MMM"),"-",IF(ROW(A660)&lt;473,"000"&amp;ROW(A660)-463,IF(ROW(A660)&lt;563,"00"&amp;ROW(A660)-463,IF(ROW(A660)&lt;1001,"0"&amp;ROW(A660)-463,ROW(A660)-463))))))</f>
        <v>MAR-0197</v>
      </c>
      <c r="B660" s="39">
        <v>45720</v>
      </c>
      <c r="C660" s="5">
        <v>3</v>
      </c>
      <c r="D660" s="5">
        <v>0</v>
      </c>
      <c r="E660" t="s">
        <v>110</v>
      </c>
      <c r="F660" s="2">
        <v>0.66666666666666663</v>
      </c>
      <c r="G660" s="2">
        <v>0.875</v>
      </c>
      <c r="H660" s="5">
        <v>1589</v>
      </c>
      <c r="I660" t="s">
        <v>648</v>
      </c>
      <c r="J660" t="s">
        <v>843</v>
      </c>
      <c r="K660" s="5">
        <v>780</v>
      </c>
      <c r="L660" s="5" t="s">
        <v>57</v>
      </c>
      <c r="M660" s="49">
        <v>1.2</v>
      </c>
      <c r="N660" s="6">
        <f>PLANPRODUCCION[[#This Row],[PIEZAS PLANEADAS]]*PLANPRODUCCION[[#This Row],[PRECIO MAQUILAS]]</f>
        <v>936</v>
      </c>
      <c r="O660" s="5">
        <v>0</v>
      </c>
      <c r="P660" s="2">
        <v>0</v>
      </c>
      <c r="Q660" s="2">
        <v>0</v>
      </c>
      <c r="R660" s="5">
        <v>0</v>
      </c>
      <c r="S660" s="7">
        <f>PLANPRODUCCION[[#This Row],[PRECIO MAQUILAS]]*PLANPRODUCCION[[#This Row],[PIEZAS REAL]]</f>
        <v>0</v>
      </c>
      <c r="T66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6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6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6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60" s="8" t="s">
        <v>602</v>
      </c>
      <c r="Y660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6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60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60" s="13">
        <f>IF(PLANPRODUCCION[[#This Row],[PIEZAS REAL]]&gt;0,PLANPRODUCCION[[#This Row],[PIEZAS REAL]]/PLANPRODUCCION[[#This Row],[PIEZAS ACTUALIZADO]],)</f>
        <v>0</v>
      </c>
      <c r="AC660" t="b">
        <f>PLANPRODUCCION[[#This Row],[INGRESO PLANEADO]]&lt;PLANPRODUCCION[[#This Row],[COSTO PLANEADO]]</f>
        <v>0</v>
      </c>
      <c r="AD660" s="46" t="s">
        <v>847</v>
      </c>
      <c r="AF660" t="b">
        <f>IF(COUNTIF(PLANPRODUCCION[[#This Row],[OBSERVACIONES]],"NO APLICA BONO*")&gt;0,TRUE,FALSE)</f>
        <v>0</v>
      </c>
    </row>
    <row r="661" spans="1:32" x14ac:dyDescent="0.25">
      <c r="A661" s="46" t="str">
        <f>UPPER(IF(PLANPRODUCCION[[#This Row],[FECHA]]&lt;=45701,_xlfn.CONCAT(TEXT(B661,"MMM"),"-",IF(ROW(A661)&lt;11,"000"&amp;ROW(A661)-1,IF(ROW(A661)&lt;101,"00"&amp;ROW(A661)-1,IF(ROW(A661)&lt;1001,"0"&amp;ROW(A661)-1,ROW(A661)-1))),"-OLD"),_xlfn.CONCAT(TEXT(B661,"MMM"),"-",IF(ROW(A661)&lt;473,"000"&amp;ROW(A661)-463,IF(ROW(A661)&lt;563,"00"&amp;ROW(A661)-463,IF(ROW(A661)&lt;1001,"0"&amp;ROW(A661)-463,ROW(A661)-463))))))</f>
        <v>MAR-0198</v>
      </c>
      <c r="B661" s="39">
        <v>45720</v>
      </c>
      <c r="C661" s="5">
        <v>3</v>
      </c>
      <c r="D661" s="5">
        <v>1</v>
      </c>
      <c r="E661" t="s">
        <v>72</v>
      </c>
      <c r="F661" s="2">
        <v>0.66666666666666663</v>
      </c>
      <c r="G661" s="2">
        <v>0.875</v>
      </c>
      <c r="H661" s="5">
        <v>1589</v>
      </c>
      <c r="I661" t="s">
        <v>648</v>
      </c>
      <c r="J661" t="s">
        <v>843</v>
      </c>
      <c r="K661" s="5">
        <v>780</v>
      </c>
      <c r="L661" s="5" t="s">
        <v>57</v>
      </c>
      <c r="M661" s="49">
        <v>1.2</v>
      </c>
      <c r="N661" s="6">
        <f>PLANPRODUCCION[[#This Row],[PIEZAS PLANEADAS]]*PLANPRODUCCION[[#This Row],[PRECIO MAQUILAS]]</f>
        <v>936</v>
      </c>
      <c r="O661" s="5">
        <v>4</v>
      </c>
      <c r="P661" s="2">
        <v>0.76041666666666663</v>
      </c>
      <c r="Q661" s="2">
        <v>0.875</v>
      </c>
      <c r="R661" s="5">
        <v>840</v>
      </c>
      <c r="S661" s="7">
        <f>PLANPRODUCCION[[#This Row],[PRECIO MAQUILAS]]*PLANPRODUCCION[[#This Row],[PIEZAS REAL]]</f>
        <v>1008</v>
      </c>
      <c r="T66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572</v>
      </c>
      <c r="U66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66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682</v>
      </c>
      <c r="W66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326</v>
      </c>
      <c r="X661" s="8" t="s">
        <v>602</v>
      </c>
      <c r="Y66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6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6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61" s="13">
        <f>IF(PLANPRODUCCION[[#This Row],[PIEZAS REAL]]&gt;0,PLANPRODUCCION[[#This Row],[PIEZAS REAL]]/PLANPRODUCCION[[#This Row],[PIEZAS ACTUALIZADO]],)</f>
        <v>1.4685314685314685</v>
      </c>
      <c r="AC661" t="b">
        <f>PLANPRODUCCION[[#This Row],[INGRESO PLANEADO]]&lt;PLANPRODUCCION[[#This Row],[COSTO PLANEADO]]</f>
        <v>0</v>
      </c>
      <c r="AD661" s="46" t="s">
        <v>848</v>
      </c>
      <c r="AF661" t="b">
        <f>IF(COUNTIF(PLANPRODUCCION[[#This Row],[OBSERVACIONES]],"NO APLICA BONO*")&gt;0,TRUE,FALSE)</f>
        <v>0</v>
      </c>
    </row>
    <row r="662" spans="1:32" x14ac:dyDescent="0.25">
      <c r="A662" s="46" t="str">
        <f>UPPER(IF(PLANPRODUCCION[[#This Row],[FECHA]]&lt;=45701,_xlfn.CONCAT(TEXT(B662,"MMM"),"-",IF(ROW(A662)&lt;11,"000"&amp;ROW(A662)-1,IF(ROW(A662)&lt;101,"00"&amp;ROW(A662)-1,IF(ROW(A662)&lt;1001,"0"&amp;ROW(A662)-1,ROW(A662)-1))),"-OLD"),_xlfn.CONCAT(TEXT(B662,"MMM"),"-",IF(ROW(A662)&lt;473,"000"&amp;ROW(A662)-463,IF(ROW(A662)&lt;563,"00"&amp;ROW(A662)-463,IF(ROW(A662)&lt;1001,"0"&amp;ROW(A662)-463,ROW(A662)-463))))))</f>
        <v>MAR-0199</v>
      </c>
      <c r="B662" s="39">
        <v>45720</v>
      </c>
      <c r="C662" s="5">
        <v>3</v>
      </c>
      <c r="D662" s="5">
        <v>2</v>
      </c>
      <c r="E662" t="s">
        <v>72</v>
      </c>
      <c r="F662" s="2">
        <v>0.66666666666666663</v>
      </c>
      <c r="G662" s="2">
        <v>0.875</v>
      </c>
      <c r="H662" s="5">
        <v>1589</v>
      </c>
      <c r="I662" t="s">
        <v>648</v>
      </c>
      <c r="J662" t="s">
        <v>843</v>
      </c>
      <c r="K662" s="5">
        <v>780</v>
      </c>
      <c r="L662" s="5" t="s">
        <v>57</v>
      </c>
      <c r="M662" s="49">
        <v>1.2</v>
      </c>
      <c r="N662" s="6">
        <f>PLANPRODUCCION[[#This Row],[PIEZAS PLANEADAS]]*PLANPRODUCCION[[#This Row],[PRECIO MAQUILAS]]</f>
        <v>936</v>
      </c>
      <c r="O662" s="5">
        <v>4</v>
      </c>
      <c r="P662" s="2">
        <v>0.76041666666666663</v>
      </c>
      <c r="Q662" s="2">
        <v>0.875</v>
      </c>
      <c r="R662" s="5">
        <v>615</v>
      </c>
      <c r="S662" s="7">
        <f>PLANPRODUCCION[[#This Row],[PRECIO MAQUILAS]]*PLANPRODUCCION[[#This Row],[PIEZAS REAL]]</f>
        <v>738</v>
      </c>
      <c r="T66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572</v>
      </c>
      <c r="U66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66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682</v>
      </c>
      <c r="W66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56</v>
      </c>
      <c r="X662" s="8" t="s">
        <v>602</v>
      </c>
      <c r="Y66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6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6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62" s="13">
        <f>IF(PLANPRODUCCION[[#This Row],[PIEZAS REAL]]&gt;0,PLANPRODUCCION[[#This Row],[PIEZAS REAL]]/PLANPRODUCCION[[#This Row],[PIEZAS ACTUALIZADO]],)</f>
        <v>1.0751748251748252</v>
      </c>
      <c r="AC662" t="b">
        <f>PLANPRODUCCION[[#This Row],[INGRESO PLANEADO]]&lt;PLANPRODUCCION[[#This Row],[COSTO PLANEADO]]</f>
        <v>0</v>
      </c>
      <c r="AD662" s="46" t="s">
        <v>849</v>
      </c>
      <c r="AF662" t="b">
        <f>IF(COUNTIF(PLANPRODUCCION[[#This Row],[OBSERVACIONES]],"NO APLICA BONO*")&gt;0,TRUE,FALSE)</f>
        <v>0</v>
      </c>
    </row>
    <row r="663" spans="1:32" x14ac:dyDescent="0.25">
      <c r="A663" s="46" t="str">
        <f>UPPER(IF(PLANPRODUCCION[[#This Row],[FECHA]]&lt;=45701,_xlfn.CONCAT(TEXT(B663,"MMM"),"-",IF(ROW(A663)&lt;11,"000"&amp;ROW(A663)-1,IF(ROW(A663)&lt;101,"00"&amp;ROW(A663)-1,IF(ROW(A663)&lt;1001,"0"&amp;ROW(A663)-1,ROW(A663)-1))),"-OLD"),_xlfn.CONCAT(TEXT(B663,"MMM"),"-",IF(ROW(A663)&lt;473,"000"&amp;ROW(A663)-463,IF(ROW(A663)&lt;563,"00"&amp;ROW(A663)-463,IF(ROW(A663)&lt;1001,"0"&amp;ROW(A663)-463,ROW(A663)-463))))))</f>
        <v>MAR-0200</v>
      </c>
      <c r="B663" s="39">
        <v>45720</v>
      </c>
      <c r="C663" s="5">
        <v>4</v>
      </c>
      <c r="D663" s="5">
        <v>3</v>
      </c>
      <c r="E663" t="s">
        <v>72</v>
      </c>
      <c r="F663" s="2">
        <v>0.76041666666666663</v>
      </c>
      <c r="G663" s="2">
        <v>0.875</v>
      </c>
      <c r="H663" s="5">
        <v>1589</v>
      </c>
      <c r="I663" t="s">
        <v>648</v>
      </c>
      <c r="J663" t="s">
        <v>843</v>
      </c>
      <c r="K663" s="5">
        <v>572</v>
      </c>
      <c r="L663" s="5" t="s">
        <v>57</v>
      </c>
      <c r="M663" s="49">
        <v>1.2</v>
      </c>
      <c r="N663" s="6">
        <f>PLANPRODUCCION[[#This Row],[PIEZAS PLANEADAS]]*PLANPRODUCCION[[#This Row],[PRECIO MAQUILAS]]</f>
        <v>686.4</v>
      </c>
      <c r="O663" s="5">
        <v>4</v>
      </c>
      <c r="P663" s="2">
        <v>0.76041666666666663</v>
      </c>
      <c r="Q663" s="2">
        <v>0.875</v>
      </c>
      <c r="R663" s="5">
        <v>840</v>
      </c>
      <c r="S663" s="7">
        <f>PLANPRODUCCION[[#This Row],[PRECIO MAQUILAS]]*PLANPRODUCCION[[#This Row],[PIEZAS REAL]]</f>
        <v>1008</v>
      </c>
      <c r="T66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572</v>
      </c>
      <c r="U66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682</v>
      </c>
      <c r="V66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682</v>
      </c>
      <c r="W66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326</v>
      </c>
      <c r="X663" s="8" t="s">
        <v>606</v>
      </c>
      <c r="Y66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6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6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63" s="13">
        <f>IF(PLANPRODUCCION[[#This Row],[PIEZAS REAL]]&gt;0,PLANPRODUCCION[[#This Row],[PIEZAS REAL]]/PLANPRODUCCION[[#This Row],[PIEZAS ACTUALIZADO]],)</f>
        <v>1.4685314685314685</v>
      </c>
      <c r="AC663" t="b">
        <f>PLANPRODUCCION[[#This Row],[INGRESO PLANEADO]]&lt;PLANPRODUCCION[[#This Row],[COSTO PLANEADO]]</f>
        <v>0</v>
      </c>
      <c r="AD663" s="46" t="s">
        <v>850</v>
      </c>
      <c r="AF663" t="b">
        <f>IF(COUNTIF(PLANPRODUCCION[[#This Row],[OBSERVACIONES]],"NO APLICA BONO*")&gt;0,TRUE,FALSE)</f>
        <v>0</v>
      </c>
    </row>
    <row r="664" spans="1:32" x14ac:dyDescent="0.25">
      <c r="A664" s="46" t="str">
        <f>UPPER(IF(PLANPRODUCCION[[#This Row],[FECHA]]&lt;=45701,_xlfn.CONCAT(TEXT(B664,"MMM"),"-",IF(ROW(A664)&lt;11,"000"&amp;ROW(A664)-1,IF(ROW(A664)&lt;101,"00"&amp;ROW(A664)-1,IF(ROW(A664)&lt;1001,"0"&amp;ROW(A664)-1,ROW(A664)-1))),"-OLD"),_xlfn.CONCAT(TEXT(B664,"MMM"),"-",IF(ROW(A664)&lt;473,"000"&amp;ROW(A664)-463,IF(ROW(A664)&lt;563,"00"&amp;ROW(A664)-463,IF(ROW(A664)&lt;1001,"0"&amp;ROW(A664)-463,ROW(A664)-463))))))</f>
        <v>MAR-0201</v>
      </c>
      <c r="B664" s="39">
        <v>45721</v>
      </c>
      <c r="C664" s="5">
        <v>2</v>
      </c>
      <c r="D664" s="5">
        <v>5</v>
      </c>
      <c r="E664" t="s">
        <v>54</v>
      </c>
      <c r="F664" s="2">
        <v>0.25</v>
      </c>
      <c r="G664" s="2">
        <v>0.39583333333333331</v>
      </c>
      <c r="H664" s="5">
        <v>1596</v>
      </c>
      <c r="I664" t="s">
        <v>851</v>
      </c>
      <c r="J664" t="s">
        <v>796</v>
      </c>
      <c r="K664" s="5">
        <v>500</v>
      </c>
      <c r="L664" s="5" t="s">
        <v>57</v>
      </c>
      <c r="M664" s="49">
        <v>1</v>
      </c>
      <c r="N664" s="6">
        <f>PLANPRODUCCION[[#This Row],[PIEZAS PLANEADAS]]*PLANPRODUCCION[[#This Row],[PRECIO MAQUILAS]]</f>
        <v>500</v>
      </c>
      <c r="O664" s="5">
        <v>2</v>
      </c>
      <c r="P664" s="2">
        <v>0.25</v>
      </c>
      <c r="Q664" s="2">
        <v>0.33333333333333331</v>
      </c>
      <c r="R664" s="5">
        <v>530</v>
      </c>
      <c r="S664" s="7">
        <f>PLANPRODUCCION[[#This Row],[PRECIO MAQUILAS]]*PLANPRODUCCION[[#This Row],[PIEZAS REAL]]</f>
        <v>530</v>
      </c>
      <c r="T66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286</v>
      </c>
      <c r="U66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434</v>
      </c>
      <c r="V66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66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282</v>
      </c>
      <c r="X664" s="8" t="s">
        <v>602</v>
      </c>
      <c r="Y66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6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6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64" s="13">
        <f>IF(PLANPRODUCCION[[#This Row],[PIEZAS REAL]]&gt;0,PLANPRODUCCION[[#This Row],[PIEZAS REAL]]/PLANPRODUCCION[[#This Row],[PIEZAS ACTUALIZADO]],)</f>
        <v>1.8531468531468531</v>
      </c>
      <c r="AC664" t="b">
        <f>PLANPRODUCCION[[#This Row],[INGRESO PLANEADO]]&lt;PLANPRODUCCION[[#This Row],[COSTO PLANEADO]]</f>
        <v>0</v>
      </c>
      <c r="AD664" s="46" t="s">
        <v>852</v>
      </c>
      <c r="AF664" t="b">
        <f>IF(COUNTIF(PLANPRODUCCION[[#This Row],[OBSERVACIONES]],"NO APLICA BONO*")&gt;0,TRUE,FALSE)</f>
        <v>0</v>
      </c>
    </row>
    <row r="665" spans="1:32" x14ac:dyDescent="0.25">
      <c r="A665" s="46" t="str">
        <f>UPPER(IF(PLANPRODUCCION[[#This Row],[FECHA]]&lt;=45701,_xlfn.CONCAT(TEXT(B665,"MMM"),"-",IF(ROW(A665)&lt;11,"000"&amp;ROW(A665)-1,IF(ROW(A665)&lt;101,"00"&amp;ROW(A665)-1,IF(ROW(A665)&lt;1001,"0"&amp;ROW(A665)-1,ROW(A665)-1))),"-OLD"),_xlfn.CONCAT(TEXT(B665,"MMM"),"-",IF(ROW(A665)&lt;473,"000"&amp;ROW(A665)-463,IF(ROW(A665)&lt;563,"00"&amp;ROW(A665)-463,IF(ROW(A665)&lt;1001,"0"&amp;ROW(A665)-463,ROW(A665)-463))))))</f>
        <v>MAR-0202</v>
      </c>
      <c r="B665" s="39">
        <v>45721</v>
      </c>
      <c r="C665" s="5">
        <v>2</v>
      </c>
      <c r="D665" s="5">
        <v>5</v>
      </c>
      <c r="E665" t="s">
        <v>54</v>
      </c>
      <c r="F665" s="2">
        <v>0.39583333333333331</v>
      </c>
      <c r="G665" s="2">
        <v>0.66666666666666663</v>
      </c>
      <c r="H665" s="5">
        <v>1589</v>
      </c>
      <c r="I665" t="s">
        <v>648</v>
      </c>
      <c r="J665" t="s">
        <v>445</v>
      </c>
      <c r="K665" s="5">
        <v>680</v>
      </c>
      <c r="L665" s="5" t="s">
        <v>57</v>
      </c>
      <c r="M665" s="49">
        <v>1.2</v>
      </c>
      <c r="N665" s="6">
        <f>PLANPRODUCCION[[#This Row],[PIEZAS PLANEADAS]]*PLANPRODUCCION[[#This Row],[PRECIO MAQUILAS]]</f>
        <v>816</v>
      </c>
      <c r="O665" s="5">
        <v>3</v>
      </c>
      <c r="P665" s="2">
        <v>0.33333333333333331</v>
      </c>
      <c r="Q665" s="2">
        <v>0.58333333333333337</v>
      </c>
      <c r="R665" s="5">
        <v>1260</v>
      </c>
      <c r="S665" s="7">
        <f>PLANPRODUCCION[[#This Row],[PRECIO MAQUILAS]]*PLANPRODUCCION[[#This Row],[PIEZAS REAL]]</f>
        <v>1512</v>
      </c>
      <c r="T66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942</v>
      </c>
      <c r="U66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806</v>
      </c>
      <c r="V66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1116</v>
      </c>
      <c r="W66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396</v>
      </c>
      <c r="X665" s="8" t="s">
        <v>602</v>
      </c>
      <c r="Y66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6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6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65" s="13">
        <f>IF(PLANPRODUCCION[[#This Row],[PIEZAS REAL]]&gt;0,PLANPRODUCCION[[#This Row],[PIEZAS REAL]]/PLANPRODUCCION[[#This Row],[PIEZAS ACTUALIZADO]],)</f>
        <v>1.3375796178343948</v>
      </c>
      <c r="AC665" t="b">
        <f>PLANPRODUCCION[[#This Row],[INGRESO PLANEADO]]&lt;PLANPRODUCCION[[#This Row],[COSTO PLANEADO]]</f>
        <v>0</v>
      </c>
      <c r="AD665" s="46" t="s">
        <v>853</v>
      </c>
      <c r="AF665" t="b">
        <f>IF(COUNTIF(PLANPRODUCCION[[#This Row],[OBSERVACIONES]],"NO APLICA BONO*")&gt;0,TRUE,FALSE)</f>
        <v>0</v>
      </c>
    </row>
    <row r="666" spans="1:32" x14ac:dyDescent="0.25">
      <c r="A666" s="46" t="str">
        <f>UPPER(IF(PLANPRODUCCION[[#This Row],[FECHA]]&lt;=45701,_xlfn.CONCAT(TEXT(B666,"MMM"),"-",IF(ROW(A666)&lt;11,"000"&amp;ROW(A666)-1,IF(ROW(A666)&lt;101,"00"&amp;ROW(A666)-1,IF(ROW(A666)&lt;1001,"0"&amp;ROW(A666)-1,ROW(A666)-1))),"-OLD"),_xlfn.CONCAT(TEXT(B666,"MMM"),"-",IF(ROW(A666)&lt;473,"000"&amp;ROW(A666)-463,IF(ROW(A666)&lt;563,"00"&amp;ROW(A666)-463,IF(ROW(A666)&lt;1001,"0"&amp;ROW(A666)-463,ROW(A666)-463))))))</f>
        <v>MAR-0203</v>
      </c>
      <c r="B666" s="39">
        <v>45721</v>
      </c>
      <c r="C666" s="5">
        <v>4</v>
      </c>
      <c r="D666" s="5">
        <v>1</v>
      </c>
      <c r="E666" t="s">
        <v>54</v>
      </c>
      <c r="F666" s="2">
        <v>0.25</v>
      </c>
      <c r="G666" s="2">
        <v>0.66666666666666663</v>
      </c>
      <c r="H666" s="5">
        <v>1589</v>
      </c>
      <c r="I666" t="s">
        <v>648</v>
      </c>
      <c r="J666" t="s">
        <v>445</v>
      </c>
      <c r="K666" s="5">
        <v>2100</v>
      </c>
      <c r="L666" s="5" t="s">
        <v>57</v>
      </c>
      <c r="M666" s="49">
        <v>1.2</v>
      </c>
      <c r="N666" s="6">
        <f>PLANPRODUCCION[[#This Row],[PIEZAS PLANEADAS]]*PLANPRODUCCION[[#This Row],[PRECIO MAQUILAS]]</f>
        <v>2520</v>
      </c>
      <c r="O666" s="5">
        <v>3</v>
      </c>
      <c r="P666" s="2">
        <v>0.25</v>
      </c>
      <c r="Q666" s="2">
        <v>0.66666666666666663</v>
      </c>
      <c r="R666" s="5">
        <v>1893</v>
      </c>
      <c r="S666" s="7">
        <f>PLANPRODUCCION[[#This Row],[PRECIO MAQUILAS]]*PLANPRODUCCION[[#This Row],[PIEZAS REAL]]</f>
        <v>2271.6</v>
      </c>
      <c r="T66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1575</v>
      </c>
      <c r="U66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2480</v>
      </c>
      <c r="V66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66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411.59999999999991</v>
      </c>
      <c r="X666" s="8" t="s">
        <v>602</v>
      </c>
      <c r="Y66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6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6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66" s="13">
        <f>IF(PLANPRODUCCION[[#This Row],[PIEZAS REAL]]&gt;0,PLANPRODUCCION[[#This Row],[PIEZAS REAL]]/PLANPRODUCCION[[#This Row],[PIEZAS ACTUALIZADO]],)</f>
        <v>1.2019047619047618</v>
      </c>
      <c r="AC666" t="b">
        <f>PLANPRODUCCION[[#This Row],[INGRESO PLANEADO]]&lt;PLANPRODUCCION[[#This Row],[COSTO PLANEADO]]</f>
        <v>0</v>
      </c>
      <c r="AD666" s="46" t="s">
        <v>854</v>
      </c>
      <c r="AF666" t="b">
        <f>IF(COUNTIF(PLANPRODUCCION[[#This Row],[OBSERVACIONES]],"NO APLICA BONO*")&gt;0,TRUE,FALSE)</f>
        <v>0</v>
      </c>
    </row>
    <row r="667" spans="1:32" x14ac:dyDescent="0.25">
      <c r="A667" s="46" t="str">
        <f>UPPER(IF(PLANPRODUCCION[[#This Row],[FECHA]]&lt;=45701,_xlfn.CONCAT(TEXT(B667,"MMM"),"-",IF(ROW(A667)&lt;11,"000"&amp;ROW(A667)-1,IF(ROW(A667)&lt;101,"00"&amp;ROW(A667)-1,IF(ROW(A667)&lt;1001,"0"&amp;ROW(A667)-1,ROW(A667)-1))),"-OLD"),_xlfn.CONCAT(TEXT(B667,"MMM"),"-",IF(ROW(A667)&lt;473,"000"&amp;ROW(A667)-463,IF(ROW(A667)&lt;563,"00"&amp;ROW(A667)-463,IF(ROW(A667)&lt;1001,"0"&amp;ROW(A667)-463,ROW(A667)-463))))))</f>
        <v>MAR-0204</v>
      </c>
      <c r="B667" s="39">
        <v>45721</v>
      </c>
      <c r="C667" s="5">
        <v>3</v>
      </c>
      <c r="D667" s="5">
        <v>3</v>
      </c>
      <c r="E667" t="s">
        <v>54</v>
      </c>
      <c r="F667" s="2">
        <v>0.25</v>
      </c>
      <c r="G667" s="2">
        <v>0.66666666666666663</v>
      </c>
      <c r="H667" s="5">
        <v>1589</v>
      </c>
      <c r="I667" t="s">
        <v>648</v>
      </c>
      <c r="J667" t="s">
        <v>445</v>
      </c>
      <c r="K667" s="5">
        <v>1550</v>
      </c>
      <c r="L667" s="5" t="s">
        <v>57</v>
      </c>
      <c r="M667" s="49">
        <v>1.2</v>
      </c>
      <c r="N667" s="6">
        <f>PLANPRODUCCION[[#This Row],[PIEZAS PLANEADAS]]*PLANPRODUCCION[[#This Row],[PRECIO MAQUILAS]]</f>
        <v>1860</v>
      </c>
      <c r="O667" s="5">
        <v>3</v>
      </c>
      <c r="P667" s="2">
        <v>0.25</v>
      </c>
      <c r="Q667" s="2">
        <v>0.58333333333333337</v>
      </c>
      <c r="R667" s="5">
        <v>1352</v>
      </c>
      <c r="S667" s="7">
        <f>PLANPRODUCCION[[#This Row],[PRECIO MAQUILAS]]*PLANPRODUCCION[[#This Row],[PIEZAS REAL]]</f>
        <v>1622.3999999999999</v>
      </c>
      <c r="T66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1240</v>
      </c>
      <c r="U66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66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66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134.39999999999986</v>
      </c>
      <c r="X667" s="8" t="s">
        <v>602</v>
      </c>
      <c r="Y66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6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6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67" s="13">
        <f>IF(PLANPRODUCCION[[#This Row],[PIEZAS REAL]]&gt;0,PLANPRODUCCION[[#This Row],[PIEZAS REAL]]/PLANPRODUCCION[[#This Row],[PIEZAS ACTUALIZADO]],)</f>
        <v>1.0903225806451613</v>
      </c>
      <c r="AC667" t="b">
        <f>PLANPRODUCCION[[#This Row],[INGRESO PLANEADO]]&lt;PLANPRODUCCION[[#This Row],[COSTO PLANEADO]]</f>
        <v>0</v>
      </c>
      <c r="AD667" s="46" t="s">
        <v>855</v>
      </c>
      <c r="AF667" t="b">
        <f>IF(COUNTIF(PLANPRODUCCION[[#This Row],[OBSERVACIONES]],"NO APLICA BONO*")&gt;0,TRUE,FALSE)</f>
        <v>0</v>
      </c>
    </row>
    <row r="668" spans="1:32" x14ac:dyDescent="0.25">
      <c r="A668" s="46" t="str">
        <f>UPPER(IF(PLANPRODUCCION[[#This Row],[FECHA]]&lt;=45701,_xlfn.CONCAT(TEXT(B668,"MMM"),"-",IF(ROW(A668)&lt;11,"000"&amp;ROW(A668)-1,IF(ROW(A668)&lt;101,"00"&amp;ROW(A668)-1,IF(ROW(A668)&lt;1001,"0"&amp;ROW(A668)-1,ROW(A668)-1))),"-OLD"),_xlfn.CONCAT(TEXT(B668,"MMM"),"-",IF(ROW(A668)&lt;473,"000"&amp;ROW(A668)-463,IF(ROW(A668)&lt;563,"00"&amp;ROW(A668)-463,IF(ROW(A668)&lt;1001,"0"&amp;ROW(A668)-463,ROW(A668)-463))))))</f>
        <v>MAR-0205</v>
      </c>
      <c r="B668" s="39">
        <v>45721</v>
      </c>
      <c r="C668" s="5">
        <v>3</v>
      </c>
      <c r="D668" s="5">
        <v>4</v>
      </c>
      <c r="E668" t="s">
        <v>54</v>
      </c>
      <c r="F668" s="2">
        <v>0.25</v>
      </c>
      <c r="G668" s="2">
        <v>0.66666666666666663</v>
      </c>
      <c r="H668" s="5">
        <v>1589</v>
      </c>
      <c r="I668" t="s">
        <v>648</v>
      </c>
      <c r="J668" t="s">
        <v>445</v>
      </c>
      <c r="K668" s="5">
        <v>1550</v>
      </c>
      <c r="L668" s="5" t="s">
        <v>57</v>
      </c>
      <c r="M668" s="49">
        <v>1.2</v>
      </c>
      <c r="N668" s="6">
        <f>PLANPRODUCCION[[#This Row],[PIEZAS PLANEADAS]]*PLANPRODUCCION[[#This Row],[PRECIO MAQUILAS]]</f>
        <v>1860</v>
      </c>
      <c r="O668" s="5">
        <v>3</v>
      </c>
      <c r="P668" s="2">
        <v>0.25</v>
      </c>
      <c r="Q668" s="2">
        <v>0.58333333333333337</v>
      </c>
      <c r="R668" s="5">
        <v>1155</v>
      </c>
      <c r="S668" s="7">
        <f>PLANPRODUCCION[[#This Row],[PRECIO MAQUILAS]]*PLANPRODUCCION[[#This Row],[PIEZAS REAL]]</f>
        <v>1386</v>
      </c>
      <c r="T66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1240</v>
      </c>
      <c r="U66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66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66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-102</v>
      </c>
      <c r="X668" s="8" t="s">
        <v>602</v>
      </c>
      <c r="Y668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6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6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68" s="13">
        <f>IF(PLANPRODUCCION[[#This Row],[PIEZAS REAL]]&gt;0,PLANPRODUCCION[[#This Row],[PIEZAS REAL]]/PLANPRODUCCION[[#This Row],[PIEZAS ACTUALIZADO]],)</f>
        <v>0.93145161290322576</v>
      </c>
      <c r="AC668" t="b">
        <f>PLANPRODUCCION[[#This Row],[INGRESO PLANEADO]]&lt;PLANPRODUCCION[[#This Row],[COSTO PLANEADO]]</f>
        <v>0</v>
      </c>
      <c r="AD668" s="46" t="s">
        <v>856</v>
      </c>
      <c r="AF668" t="b">
        <f>IF(COUNTIF(PLANPRODUCCION[[#This Row],[OBSERVACIONES]],"NO APLICA BONO*")&gt;0,TRUE,FALSE)</f>
        <v>0</v>
      </c>
    </row>
    <row r="669" spans="1:32" x14ac:dyDescent="0.25">
      <c r="A669" s="46" t="str">
        <f>UPPER(IF(PLANPRODUCCION[[#This Row],[FECHA]]&lt;=45701,_xlfn.CONCAT(TEXT(B669,"MMM"),"-",IF(ROW(A669)&lt;11,"000"&amp;ROW(A669)-1,IF(ROW(A669)&lt;101,"00"&amp;ROW(A669)-1,IF(ROW(A669)&lt;1001,"0"&amp;ROW(A669)-1,ROW(A669)-1))),"-OLD"),_xlfn.CONCAT(TEXT(B669,"MMM"),"-",IF(ROW(A669)&lt;473,"000"&amp;ROW(A669)-463,IF(ROW(A669)&lt;563,"00"&amp;ROW(A669)-463,IF(ROW(A669)&lt;1001,"0"&amp;ROW(A669)-463,ROW(A669)-463))))))</f>
        <v>MAR-0206</v>
      </c>
      <c r="B669" s="39">
        <v>45721</v>
      </c>
      <c r="C669" s="5">
        <v>3</v>
      </c>
      <c r="D669" s="5">
        <v>2</v>
      </c>
      <c r="E669" t="s">
        <v>54</v>
      </c>
      <c r="F669" s="2">
        <v>0.25</v>
      </c>
      <c r="G669" s="2">
        <v>0.58333333333333337</v>
      </c>
      <c r="H669" s="5">
        <v>1589</v>
      </c>
      <c r="I669" t="s">
        <v>648</v>
      </c>
      <c r="J669" t="s">
        <v>445</v>
      </c>
      <c r="K669" s="5">
        <v>1240</v>
      </c>
      <c r="L669" s="5" t="s">
        <v>57</v>
      </c>
      <c r="M669" s="49">
        <v>1.2</v>
      </c>
      <c r="N669" s="6">
        <f>PLANPRODUCCION[[#This Row],[PIEZAS PLANEADAS]]*PLANPRODUCCION[[#This Row],[PRECIO MAQUILAS]]</f>
        <v>1488</v>
      </c>
      <c r="O669" s="5">
        <v>3</v>
      </c>
      <c r="P669" s="2">
        <v>0.25</v>
      </c>
      <c r="Q669" s="2">
        <v>0.58333333333333337</v>
      </c>
      <c r="R669" s="5">
        <v>1428</v>
      </c>
      <c r="S669" s="7">
        <f>PLANPRODUCCION[[#This Row],[PRECIO MAQUILAS]]*PLANPRODUCCION[[#This Row],[PIEZAS REAL]]</f>
        <v>1713.6</v>
      </c>
      <c r="T66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1240</v>
      </c>
      <c r="U66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1488</v>
      </c>
      <c r="V66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66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225.59999999999991</v>
      </c>
      <c r="X669" s="8" t="s">
        <v>602</v>
      </c>
      <c r="Y66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6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66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69" s="13">
        <f>IF(PLANPRODUCCION[[#This Row],[PIEZAS REAL]]&gt;0,PLANPRODUCCION[[#This Row],[PIEZAS REAL]]/PLANPRODUCCION[[#This Row],[PIEZAS ACTUALIZADO]],)</f>
        <v>1.1516129032258065</v>
      </c>
      <c r="AC669" t="b">
        <f>PLANPRODUCCION[[#This Row],[INGRESO PLANEADO]]&lt;PLANPRODUCCION[[#This Row],[COSTO PLANEADO]]</f>
        <v>0</v>
      </c>
      <c r="AD669" s="46" t="s">
        <v>857</v>
      </c>
      <c r="AF669" t="b">
        <f>IF(COUNTIF(PLANPRODUCCION[[#This Row],[OBSERVACIONES]],"NO APLICA BONO*")&gt;0,TRUE,FALSE)</f>
        <v>0</v>
      </c>
    </row>
    <row r="670" spans="1:32" x14ac:dyDescent="0.25">
      <c r="A670" s="46" t="str">
        <f>UPPER(IF(PLANPRODUCCION[[#This Row],[FECHA]]&lt;=45701,_xlfn.CONCAT(TEXT(B670,"MMM"),"-",IF(ROW(A670)&lt;11,"000"&amp;ROW(A670)-1,IF(ROW(A670)&lt;101,"00"&amp;ROW(A670)-1,IF(ROW(A670)&lt;1001,"0"&amp;ROW(A670)-1,ROW(A670)-1))),"-OLD"),_xlfn.CONCAT(TEXT(B670,"MMM"),"-",IF(ROW(A670)&lt;473,"000"&amp;ROW(A670)-463,IF(ROW(A670)&lt;563,"00"&amp;ROW(A670)-463,IF(ROW(A670)&lt;1001,"0"&amp;ROW(A670)-463,ROW(A670)-463))))))</f>
        <v>MAR-0207</v>
      </c>
      <c r="B670" s="39">
        <v>45721</v>
      </c>
      <c r="C670" s="5">
        <v>3</v>
      </c>
      <c r="D670" s="5">
        <v>6</v>
      </c>
      <c r="E670" t="s">
        <v>67</v>
      </c>
      <c r="F670" s="2">
        <v>0.33333333333333331</v>
      </c>
      <c r="G670" s="2">
        <v>0.75</v>
      </c>
      <c r="H670" s="5">
        <v>1589</v>
      </c>
      <c r="I670" t="s">
        <v>648</v>
      </c>
      <c r="J670" t="s">
        <v>445</v>
      </c>
      <c r="K670" s="5">
        <v>1550</v>
      </c>
      <c r="L670" s="5" t="s">
        <v>57</v>
      </c>
      <c r="M670" s="49">
        <v>1.2</v>
      </c>
      <c r="N670" s="6">
        <f>PLANPRODUCCION[[#This Row],[PIEZAS PLANEADAS]]*PLANPRODUCCION[[#This Row],[PRECIO MAQUILAS]]</f>
        <v>1860</v>
      </c>
      <c r="O670" s="5">
        <v>3</v>
      </c>
      <c r="P670" s="2">
        <v>0.25</v>
      </c>
      <c r="Q670" s="2">
        <v>0.58333333333333337</v>
      </c>
      <c r="R670" s="5">
        <v>900</v>
      </c>
      <c r="S670" s="7">
        <f>PLANPRODUCCION[[#This Row],[PRECIO MAQUILAS]]*PLANPRODUCCION[[#This Row],[PIEZAS REAL]]</f>
        <v>1080</v>
      </c>
      <c r="T67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1240</v>
      </c>
      <c r="U67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67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67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-408</v>
      </c>
      <c r="X670" s="8" t="s">
        <v>602</v>
      </c>
      <c r="Y67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7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7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70" s="13">
        <f>IF(PLANPRODUCCION[[#This Row],[PIEZAS REAL]]&gt;0,PLANPRODUCCION[[#This Row],[PIEZAS REAL]]/PLANPRODUCCION[[#This Row],[PIEZAS ACTUALIZADO]],)</f>
        <v>0.72580645161290325</v>
      </c>
      <c r="AC670" t="b">
        <f>PLANPRODUCCION[[#This Row],[INGRESO PLANEADO]]&lt;PLANPRODUCCION[[#This Row],[COSTO PLANEADO]]</f>
        <v>0</v>
      </c>
      <c r="AD670" s="46" t="s">
        <v>858</v>
      </c>
      <c r="AF670" t="b">
        <f>IF(COUNTIF(PLANPRODUCCION[[#This Row],[OBSERVACIONES]],"NO APLICA BONO*")&gt;0,TRUE,FALSE)</f>
        <v>0</v>
      </c>
    </row>
    <row r="671" spans="1:32" x14ac:dyDescent="0.25">
      <c r="A671" s="46" t="str">
        <f>UPPER(IF(PLANPRODUCCION[[#This Row],[FECHA]]&lt;=45701,_xlfn.CONCAT(TEXT(B671,"MMM"),"-",IF(ROW(A671)&lt;11,"000"&amp;ROW(A671)-1,IF(ROW(A671)&lt;101,"00"&amp;ROW(A671)-1,IF(ROW(A671)&lt;1001,"0"&amp;ROW(A671)-1,ROW(A671)-1))),"-OLD"),_xlfn.CONCAT(TEXT(B671,"MMM"),"-",IF(ROW(A671)&lt;473,"000"&amp;ROW(A671)-463,IF(ROW(A671)&lt;563,"00"&amp;ROW(A671)-463,IF(ROW(A671)&lt;1001,"0"&amp;ROW(A671)-463,ROW(A671)-463))))))</f>
        <v>MAR-0208</v>
      </c>
      <c r="B671" s="39">
        <v>45721</v>
      </c>
      <c r="C671" s="5">
        <v>2</v>
      </c>
      <c r="D671" s="5">
        <v>7</v>
      </c>
      <c r="E671" t="s">
        <v>67</v>
      </c>
      <c r="F671" s="2">
        <v>0.33333333333333331</v>
      </c>
      <c r="G671" s="2">
        <v>0.75</v>
      </c>
      <c r="H671" s="5">
        <v>1589</v>
      </c>
      <c r="I671" t="s">
        <v>648</v>
      </c>
      <c r="J671" t="s">
        <v>445</v>
      </c>
      <c r="K671" s="5">
        <v>1050</v>
      </c>
      <c r="L671" s="5" t="s">
        <v>57</v>
      </c>
      <c r="M671" s="49">
        <v>1.2</v>
      </c>
      <c r="N671" s="6">
        <f>PLANPRODUCCION[[#This Row],[PIEZAS PLANEADAS]]*PLANPRODUCCION[[#This Row],[PRECIO MAQUILAS]]</f>
        <v>1260</v>
      </c>
      <c r="O671" s="5">
        <v>2</v>
      </c>
      <c r="P671" s="2">
        <v>0.25</v>
      </c>
      <c r="Q671" s="2">
        <v>0.58333333333333337</v>
      </c>
      <c r="R671" s="5">
        <v>384</v>
      </c>
      <c r="S671" s="7">
        <f>PLANPRODUCCION[[#This Row],[PRECIO MAQUILAS]]*PLANPRODUCCION[[#This Row],[PIEZAS REAL]]</f>
        <v>460.79999999999995</v>
      </c>
      <c r="T67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840</v>
      </c>
      <c r="U67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67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992</v>
      </c>
      <c r="W67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-531.20000000000005</v>
      </c>
      <c r="X671" s="8" t="s">
        <v>602</v>
      </c>
      <c r="Y67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7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7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71" s="13">
        <f>IF(PLANPRODUCCION[[#This Row],[PIEZAS REAL]]&gt;0,PLANPRODUCCION[[#This Row],[PIEZAS REAL]]/PLANPRODUCCION[[#This Row],[PIEZAS ACTUALIZADO]],)</f>
        <v>0.45714285714285713</v>
      </c>
      <c r="AC671" t="b">
        <f>PLANPRODUCCION[[#This Row],[INGRESO PLANEADO]]&lt;PLANPRODUCCION[[#This Row],[COSTO PLANEADO]]</f>
        <v>0</v>
      </c>
      <c r="AD671" s="46" t="s">
        <v>859</v>
      </c>
      <c r="AF671" t="b">
        <f>IF(COUNTIF(PLANPRODUCCION[[#This Row],[OBSERVACIONES]],"NO APLICA BONO*")&gt;0,TRUE,FALSE)</f>
        <v>0</v>
      </c>
    </row>
    <row r="672" spans="1:32" x14ac:dyDescent="0.25">
      <c r="A672" s="46" t="str">
        <f>UPPER(IF(PLANPRODUCCION[[#This Row],[FECHA]]&lt;=45701,_xlfn.CONCAT(TEXT(B672,"MMM"),"-",IF(ROW(A672)&lt;11,"000"&amp;ROW(A672)-1,IF(ROW(A672)&lt;101,"00"&amp;ROW(A672)-1,IF(ROW(A672)&lt;1001,"0"&amp;ROW(A672)-1,ROW(A672)-1))),"-OLD"),_xlfn.CONCAT(TEXT(B672,"MMM"),"-",IF(ROW(A672)&lt;473,"000"&amp;ROW(A672)-463,IF(ROW(A672)&lt;563,"00"&amp;ROW(A672)-463,IF(ROW(A672)&lt;1001,"0"&amp;ROW(A672)-463,ROW(A672)-463))))))</f>
        <v>MAR-0209</v>
      </c>
      <c r="B672" s="39">
        <v>45721</v>
      </c>
      <c r="C672" s="5">
        <v>5</v>
      </c>
      <c r="D672" s="5">
        <v>6</v>
      </c>
      <c r="E672" t="s">
        <v>67</v>
      </c>
      <c r="F672" s="2">
        <v>0.66666666666666663</v>
      </c>
      <c r="G672" s="2">
        <v>0.75</v>
      </c>
      <c r="H672" s="5">
        <v>1597</v>
      </c>
      <c r="I672" t="s">
        <v>860</v>
      </c>
      <c r="J672" t="s">
        <v>68</v>
      </c>
      <c r="K672" s="5">
        <v>700</v>
      </c>
      <c r="L672" s="5" t="s">
        <v>57</v>
      </c>
      <c r="M672" s="50">
        <v>0.75</v>
      </c>
      <c r="N672" s="6">
        <f>PLANPRODUCCION[[#This Row],[PIEZAS PLANEADAS]]*PLANPRODUCCION[[#This Row],[PRECIO MAQUILAS]]</f>
        <v>525</v>
      </c>
      <c r="O672" s="5">
        <v>5</v>
      </c>
      <c r="P672" s="2">
        <v>0.68055555555555558</v>
      </c>
      <c r="Q672" s="2">
        <v>0.75</v>
      </c>
      <c r="R672" s="5">
        <v>255</v>
      </c>
      <c r="S672" s="7">
        <f>PLANPRODUCCION[[#This Row],[PRECIO MAQUILAS]]*PLANPRODUCCION[[#This Row],[PIEZAS REAL]]</f>
        <v>191.25</v>
      </c>
      <c r="T67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584</v>
      </c>
      <c r="U67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67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516.66666666666663</v>
      </c>
      <c r="W67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-325.41666666666663</v>
      </c>
      <c r="X672" s="8" t="s">
        <v>606</v>
      </c>
      <c r="Y67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7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7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72" s="13">
        <f>IF(PLANPRODUCCION[[#This Row],[PIEZAS REAL]]&gt;0,PLANPRODUCCION[[#This Row],[PIEZAS REAL]]/PLANPRODUCCION[[#This Row],[PIEZAS ACTUALIZADO]],)</f>
        <v>0.43664383561643838</v>
      </c>
      <c r="AC672" t="b">
        <f>PLANPRODUCCION[[#This Row],[INGRESO PLANEADO]]&lt;PLANPRODUCCION[[#This Row],[COSTO PLANEADO]]</f>
        <v>1</v>
      </c>
      <c r="AD672" s="46" t="s">
        <v>861</v>
      </c>
      <c r="AF672" t="b">
        <f>IF(COUNTIF(PLANPRODUCCION[[#This Row],[OBSERVACIONES]],"NO APLICA BONO*")&gt;0,TRUE,FALSE)</f>
        <v>0</v>
      </c>
    </row>
    <row r="673" spans="1:32" x14ac:dyDescent="0.25">
      <c r="A673" s="46" t="str">
        <f>UPPER(IF(PLANPRODUCCION[[#This Row],[FECHA]]&lt;=45701,_xlfn.CONCAT(TEXT(B673,"MMM"),"-",IF(ROW(A673)&lt;11,"000"&amp;ROW(A673)-1,IF(ROW(A673)&lt;101,"00"&amp;ROW(A673)-1,IF(ROW(A673)&lt;1001,"0"&amp;ROW(A673)-1,ROW(A673)-1))),"-OLD"),_xlfn.CONCAT(TEXT(B673,"MMM"),"-",IF(ROW(A673)&lt;473,"000"&amp;ROW(A673)-463,IF(ROW(A673)&lt;563,"00"&amp;ROW(A673)-463,IF(ROW(A673)&lt;1001,"0"&amp;ROW(A673)-463,ROW(A673)-463))))))</f>
        <v>MAR-0210</v>
      </c>
      <c r="B673" s="39">
        <v>45721</v>
      </c>
      <c r="C673" s="5">
        <v>5</v>
      </c>
      <c r="D673" s="5">
        <v>0</v>
      </c>
      <c r="E673" t="s">
        <v>110</v>
      </c>
      <c r="F673" s="2">
        <v>0.54166666666666663</v>
      </c>
      <c r="G673" s="2">
        <v>0.66666666666666663</v>
      </c>
      <c r="H673" s="5">
        <v>1583</v>
      </c>
      <c r="I673" t="s">
        <v>841</v>
      </c>
      <c r="J673" t="s">
        <v>523</v>
      </c>
      <c r="K673" s="5">
        <v>50</v>
      </c>
      <c r="L673" s="5" t="s">
        <v>57</v>
      </c>
      <c r="M673" s="49">
        <v>1</v>
      </c>
      <c r="N673" s="6">
        <f>PLANPRODUCCION[[#This Row],[PIEZAS PLANEADAS]]*PLANPRODUCCION[[#This Row],[PRECIO MAQUILAS]]</f>
        <v>50</v>
      </c>
      <c r="O673" s="5">
        <v>0</v>
      </c>
      <c r="P673" s="2">
        <v>0</v>
      </c>
      <c r="Q673" s="2">
        <v>0</v>
      </c>
      <c r="R673" s="5">
        <v>0</v>
      </c>
      <c r="S673" s="7">
        <f>PLANPRODUCCION[[#This Row],[PRECIO MAQUILAS]]*PLANPRODUCCION[[#This Row],[PIEZAS REAL]]</f>
        <v>0</v>
      </c>
      <c r="T67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7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7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7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73" s="8" t="s">
        <v>602</v>
      </c>
      <c r="Y673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7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73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73" s="13">
        <f>IF(PLANPRODUCCION[[#This Row],[PIEZAS REAL]]&gt;0,PLANPRODUCCION[[#This Row],[PIEZAS REAL]]/PLANPRODUCCION[[#This Row],[PIEZAS ACTUALIZADO]],)</f>
        <v>0</v>
      </c>
      <c r="AC673" t="b">
        <f>PLANPRODUCCION[[#This Row],[INGRESO PLANEADO]]&lt;PLANPRODUCCION[[#This Row],[COSTO PLANEADO]]</f>
        <v>0</v>
      </c>
      <c r="AD673" s="46" t="s">
        <v>862</v>
      </c>
      <c r="AF673" t="b">
        <f>IF(COUNTIF(PLANPRODUCCION[[#This Row],[OBSERVACIONES]],"NO APLICA BONO*")&gt;0,TRUE,FALSE)</f>
        <v>0</v>
      </c>
    </row>
    <row r="674" spans="1:32" x14ac:dyDescent="0.25">
      <c r="A674" s="46" t="str">
        <f>UPPER(IF(PLANPRODUCCION[[#This Row],[FECHA]]&lt;=45701,_xlfn.CONCAT(TEXT(B674,"MMM"),"-",IF(ROW(A674)&lt;11,"000"&amp;ROW(A674)-1,IF(ROW(A674)&lt;101,"00"&amp;ROW(A674)-1,IF(ROW(A674)&lt;1001,"0"&amp;ROW(A674)-1,ROW(A674)-1))),"-OLD"),_xlfn.CONCAT(TEXT(B674,"MMM"),"-",IF(ROW(A674)&lt;473,"000"&amp;ROW(A674)-463,IF(ROW(A674)&lt;563,"00"&amp;ROW(A674)-463,IF(ROW(A674)&lt;1001,"0"&amp;ROW(A674)-463,ROW(A674)-463))))))</f>
        <v>MAR-0211</v>
      </c>
      <c r="B674" s="39">
        <v>45721</v>
      </c>
      <c r="C674" s="5">
        <v>2</v>
      </c>
      <c r="D674" s="5">
        <v>0</v>
      </c>
      <c r="E674" t="s">
        <v>110</v>
      </c>
      <c r="F674" s="2">
        <v>0.66666666666666663</v>
      </c>
      <c r="G674" s="2">
        <v>0.875</v>
      </c>
      <c r="H674" s="5">
        <v>1428</v>
      </c>
      <c r="I674" t="s">
        <v>863</v>
      </c>
      <c r="J674" t="s">
        <v>864</v>
      </c>
      <c r="K674" s="5">
        <v>60</v>
      </c>
      <c r="L674" s="5" t="s">
        <v>545</v>
      </c>
      <c r="M674" s="49">
        <v>10</v>
      </c>
      <c r="N674" s="6">
        <f>PLANPRODUCCION[[#This Row],[PIEZAS PLANEADAS]]*PLANPRODUCCION[[#This Row],[PRECIO MAQUILAS]]</f>
        <v>600</v>
      </c>
      <c r="O674" s="5">
        <v>0</v>
      </c>
      <c r="P674" s="2">
        <v>0</v>
      </c>
      <c r="Q674" s="2">
        <v>0</v>
      </c>
      <c r="R674" s="5">
        <v>0</v>
      </c>
      <c r="S674" s="7">
        <f>PLANPRODUCCION[[#This Row],[PRECIO MAQUILAS]]*PLANPRODUCCION[[#This Row],[PIEZAS REAL]]</f>
        <v>0</v>
      </c>
      <c r="T67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7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7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7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74" s="8" t="s">
        <v>602</v>
      </c>
      <c r="Y674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7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74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74" s="13">
        <f>IF(PLANPRODUCCION[[#This Row],[PIEZAS REAL]]&gt;0,PLANPRODUCCION[[#This Row],[PIEZAS REAL]]/PLANPRODUCCION[[#This Row],[PIEZAS ACTUALIZADO]],)</f>
        <v>0</v>
      </c>
      <c r="AC674" t="b">
        <f>PLANPRODUCCION[[#This Row],[INGRESO PLANEADO]]&lt;PLANPRODUCCION[[#This Row],[COSTO PLANEADO]]</f>
        <v>0</v>
      </c>
      <c r="AD674" s="46" t="s">
        <v>865</v>
      </c>
      <c r="AF674" t="b">
        <f>IF(COUNTIF(PLANPRODUCCION[[#This Row],[OBSERVACIONES]],"NO APLICA BONO*")&gt;0,TRUE,FALSE)</f>
        <v>0</v>
      </c>
    </row>
    <row r="675" spans="1:32" x14ac:dyDescent="0.25">
      <c r="A675" s="46" t="str">
        <f>UPPER(IF(PLANPRODUCCION[[#This Row],[FECHA]]&lt;=45701,_xlfn.CONCAT(TEXT(B675,"MMM"),"-",IF(ROW(A675)&lt;11,"000"&amp;ROW(A675)-1,IF(ROW(A675)&lt;101,"00"&amp;ROW(A675)-1,IF(ROW(A675)&lt;1001,"0"&amp;ROW(A675)-1,ROW(A675)-1))),"-OLD"),_xlfn.CONCAT(TEXT(B675,"MMM"),"-",IF(ROW(A675)&lt;473,"000"&amp;ROW(A675)-463,IF(ROW(A675)&lt;563,"00"&amp;ROW(A675)-463,IF(ROW(A675)&lt;1001,"0"&amp;ROW(A675)-463,ROW(A675)-463))))))</f>
        <v>MAR-0212</v>
      </c>
      <c r="B675" s="39">
        <v>45721</v>
      </c>
      <c r="C675" s="5">
        <v>3</v>
      </c>
      <c r="D675" s="5">
        <v>0</v>
      </c>
      <c r="E675" t="s">
        <v>110</v>
      </c>
      <c r="F675" s="2">
        <v>0.66666666666666663</v>
      </c>
      <c r="G675" s="2">
        <v>0.875</v>
      </c>
      <c r="H675" s="5">
        <v>1428</v>
      </c>
      <c r="I675" t="s">
        <v>863</v>
      </c>
      <c r="J675" t="s">
        <v>864</v>
      </c>
      <c r="K675" s="5">
        <v>90</v>
      </c>
      <c r="L675" s="5" t="s">
        <v>545</v>
      </c>
      <c r="M675" s="49">
        <v>10</v>
      </c>
      <c r="N675" s="6">
        <f>PLANPRODUCCION[[#This Row],[PIEZAS PLANEADAS]]*PLANPRODUCCION[[#This Row],[PRECIO MAQUILAS]]</f>
        <v>900</v>
      </c>
      <c r="O675" s="5">
        <v>0</v>
      </c>
      <c r="P675" s="2">
        <v>0</v>
      </c>
      <c r="Q675" s="2">
        <v>0</v>
      </c>
      <c r="R675" s="5">
        <v>0</v>
      </c>
      <c r="S675" s="7">
        <f>PLANPRODUCCION[[#This Row],[PRECIO MAQUILAS]]*PLANPRODUCCION[[#This Row],[PIEZAS REAL]]</f>
        <v>0</v>
      </c>
      <c r="T67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7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7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7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75" s="8" t="s">
        <v>602</v>
      </c>
      <c r="Y675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7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75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75" s="13">
        <f>IF(PLANPRODUCCION[[#This Row],[PIEZAS REAL]]&gt;0,PLANPRODUCCION[[#This Row],[PIEZAS REAL]]/PLANPRODUCCION[[#This Row],[PIEZAS ACTUALIZADO]],)</f>
        <v>0</v>
      </c>
      <c r="AC675" t="b">
        <f>PLANPRODUCCION[[#This Row],[INGRESO PLANEADO]]&lt;PLANPRODUCCION[[#This Row],[COSTO PLANEADO]]</f>
        <v>0</v>
      </c>
      <c r="AD675" s="46" t="s">
        <v>866</v>
      </c>
      <c r="AF675" t="b">
        <f>IF(COUNTIF(PLANPRODUCCION[[#This Row],[OBSERVACIONES]],"NO APLICA BONO*")&gt;0,TRUE,FALSE)</f>
        <v>0</v>
      </c>
    </row>
    <row r="676" spans="1:32" x14ac:dyDescent="0.25">
      <c r="A676" s="46" t="str">
        <f>UPPER(IF(PLANPRODUCCION[[#This Row],[FECHA]]&lt;=45701,_xlfn.CONCAT(TEXT(B676,"MMM"),"-",IF(ROW(A676)&lt;11,"000"&amp;ROW(A676)-1,IF(ROW(A676)&lt;101,"00"&amp;ROW(A676)-1,IF(ROW(A676)&lt;1001,"0"&amp;ROW(A676)-1,ROW(A676)-1))),"-OLD"),_xlfn.CONCAT(TEXT(B676,"MMM"),"-",IF(ROW(A676)&lt;473,"000"&amp;ROW(A676)-463,IF(ROW(A676)&lt;563,"00"&amp;ROW(A676)-463,IF(ROW(A676)&lt;1001,"0"&amp;ROW(A676)-463,ROW(A676)-463))))))</f>
        <v>MAR-0213</v>
      </c>
      <c r="B676" s="39">
        <v>45721</v>
      </c>
      <c r="C676" s="5">
        <v>4</v>
      </c>
      <c r="D676" s="5">
        <v>1</v>
      </c>
      <c r="E676" t="s">
        <v>110</v>
      </c>
      <c r="F676" s="2">
        <v>0.54166666666666663</v>
      </c>
      <c r="G676" s="2">
        <v>0.6875</v>
      </c>
      <c r="H676" s="5">
        <v>1597</v>
      </c>
      <c r="I676" t="s">
        <v>860</v>
      </c>
      <c r="J676" t="s">
        <v>796</v>
      </c>
      <c r="K676" s="5">
        <v>1004</v>
      </c>
      <c r="L676" s="5" t="s">
        <v>57</v>
      </c>
      <c r="M676" s="50">
        <v>0.5</v>
      </c>
      <c r="N676" s="6">
        <f>PLANPRODUCCION[[#This Row],[PIEZAS PLANEADAS]]*PLANPRODUCCION[[#This Row],[PRECIO MAQUILAS]]</f>
        <v>502</v>
      </c>
      <c r="O676" s="5">
        <v>4</v>
      </c>
      <c r="P676" s="2">
        <v>0.54166666666666663</v>
      </c>
      <c r="Q676" s="2">
        <v>0.6875</v>
      </c>
      <c r="R676" s="5">
        <v>559</v>
      </c>
      <c r="S676" s="7">
        <f>PLANPRODUCCION[[#This Row],[PRECIO MAQUILAS]]*PLANPRODUCCION[[#This Row],[PIEZAS REAL]]</f>
        <v>279.5</v>
      </c>
      <c r="T67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1004</v>
      </c>
      <c r="U67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1085</v>
      </c>
      <c r="V67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1085</v>
      </c>
      <c r="W67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-805.5</v>
      </c>
      <c r="X676" s="8" t="s">
        <v>606</v>
      </c>
      <c r="Y67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7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7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76" s="13">
        <f>IF(PLANPRODUCCION[[#This Row],[PIEZAS REAL]]&gt;0,PLANPRODUCCION[[#This Row],[PIEZAS REAL]]/PLANPRODUCCION[[#This Row],[PIEZAS ACTUALIZADO]],)</f>
        <v>0.55677290836653381</v>
      </c>
      <c r="AC676" t="b">
        <f>PLANPRODUCCION[[#This Row],[INGRESO PLANEADO]]&lt;PLANPRODUCCION[[#This Row],[COSTO PLANEADO]]</f>
        <v>1</v>
      </c>
      <c r="AD676" s="46" t="s">
        <v>867</v>
      </c>
      <c r="AF676" t="b">
        <f>IF(COUNTIF(PLANPRODUCCION[[#This Row],[OBSERVACIONES]],"NO APLICA BONO*")&gt;0,TRUE,FALSE)</f>
        <v>0</v>
      </c>
    </row>
    <row r="677" spans="1:32" x14ac:dyDescent="0.25">
      <c r="A677" s="46" t="str">
        <f>UPPER(IF(PLANPRODUCCION[[#This Row],[FECHA]]&lt;=45701,_xlfn.CONCAT(TEXT(B677,"MMM"),"-",IF(ROW(A677)&lt;11,"000"&amp;ROW(A677)-1,IF(ROW(A677)&lt;101,"00"&amp;ROW(A677)-1,IF(ROW(A677)&lt;1001,"0"&amp;ROW(A677)-1,ROW(A677)-1))),"-OLD"),_xlfn.CONCAT(TEXT(B677,"MMM"),"-",IF(ROW(A677)&lt;473,"000"&amp;ROW(A677)-463,IF(ROW(A677)&lt;563,"00"&amp;ROW(A677)-463,IF(ROW(A677)&lt;1001,"0"&amp;ROW(A677)-463,ROW(A677)-463))))))</f>
        <v>MAR-0214</v>
      </c>
      <c r="B677" s="39">
        <v>45721</v>
      </c>
      <c r="C677" s="5">
        <v>3</v>
      </c>
      <c r="D677" s="5">
        <v>1</v>
      </c>
      <c r="E677" t="s">
        <v>110</v>
      </c>
      <c r="F677" s="2">
        <v>0.6875</v>
      </c>
      <c r="G677" s="2">
        <v>0.83333333333333337</v>
      </c>
      <c r="H677" s="5">
        <v>1597</v>
      </c>
      <c r="I677" t="s">
        <v>860</v>
      </c>
      <c r="J677" t="s">
        <v>68</v>
      </c>
      <c r="K677" s="5">
        <v>735</v>
      </c>
      <c r="L677" s="5" t="s">
        <v>57</v>
      </c>
      <c r="M677" s="50">
        <v>0.75</v>
      </c>
      <c r="N677" s="6">
        <f>PLANPRODUCCION[[#This Row],[PIEZAS PLANEADAS]]*PLANPRODUCCION[[#This Row],[PRECIO MAQUILAS]]</f>
        <v>551.25</v>
      </c>
      <c r="O677" s="5">
        <v>3</v>
      </c>
      <c r="P677" s="2">
        <v>0.6875</v>
      </c>
      <c r="Q677" s="2">
        <v>0.83333333333333337</v>
      </c>
      <c r="R677" s="5">
        <v>960</v>
      </c>
      <c r="S677" s="7">
        <f>PLANPRODUCCION[[#This Row],[PRECIO MAQUILAS]]*PLANPRODUCCION[[#This Row],[PIEZAS REAL]]</f>
        <v>720</v>
      </c>
      <c r="T67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735</v>
      </c>
      <c r="U67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813.75</v>
      </c>
      <c r="V67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813.75</v>
      </c>
      <c r="W67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-93.75</v>
      </c>
      <c r="X677" s="8" t="s">
        <v>606</v>
      </c>
      <c r="Y67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7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7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77" s="13">
        <f>IF(PLANPRODUCCION[[#This Row],[PIEZAS REAL]]&gt;0,PLANPRODUCCION[[#This Row],[PIEZAS REAL]]/PLANPRODUCCION[[#This Row],[PIEZAS ACTUALIZADO]],)</f>
        <v>1.3061224489795917</v>
      </c>
      <c r="AC677" t="b">
        <f>PLANPRODUCCION[[#This Row],[INGRESO PLANEADO]]&lt;PLANPRODUCCION[[#This Row],[COSTO PLANEADO]]</f>
        <v>1</v>
      </c>
      <c r="AD677" s="46" t="s">
        <v>868</v>
      </c>
      <c r="AF677" t="b">
        <f>IF(COUNTIF(PLANPRODUCCION[[#This Row],[OBSERVACIONES]],"NO APLICA BONO*")&gt;0,TRUE,FALSE)</f>
        <v>0</v>
      </c>
    </row>
    <row r="678" spans="1:32" x14ac:dyDescent="0.25">
      <c r="A678" s="46" t="str">
        <f>UPPER(IF(PLANPRODUCCION[[#This Row],[FECHA]]&lt;=45701,_xlfn.CONCAT(TEXT(B678,"MMM"),"-",IF(ROW(A678)&lt;11,"000"&amp;ROW(A678)-1,IF(ROW(A678)&lt;101,"00"&amp;ROW(A678)-1,IF(ROW(A678)&lt;1001,"0"&amp;ROW(A678)-1,ROW(A678)-1))),"-OLD"),_xlfn.CONCAT(TEXT(B678,"MMM"),"-",IF(ROW(A678)&lt;473,"000"&amp;ROW(A678)-463,IF(ROW(A678)&lt;563,"00"&amp;ROW(A678)-463,IF(ROW(A678)&lt;1001,"0"&amp;ROW(A678)-463,ROW(A678)-463))))))</f>
        <v>MAR-0215</v>
      </c>
      <c r="B678" s="39">
        <v>45721</v>
      </c>
      <c r="C678" s="5">
        <v>3</v>
      </c>
      <c r="D678" s="5">
        <v>4</v>
      </c>
      <c r="E678" t="s">
        <v>110</v>
      </c>
      <c r="F678" s="2">
        <v>0.6875</v>
      </c>
      <c r="G678" s="2">
        <v>0.83333333333333337</v>
      </c>
      <c r="H678" s="5">
        <v>1597</v>
      </c>
      <c r="I678" t="s">
        <v>860</v>
      </c>
      <c r="J678" t="s">
        <v>68</v>
      </c>
      <c r="K678" s="5">
        <v>735</v>
      </c>
      <c r="L678" s="5" t="s">
        <v>57</v>
      </c>
      <c r="M678" s="50">
        <v>0.75</v>
      </c>
      <c r="N678" s="6">
        <f>PLANPRODUCCION[[#This Row],[PIEZAS PLANEADAS]]*PLANPRODUCCION[[#This Row],[PRECIO MAQUILAS]]</f>
        <v>551.25</v>
      </c>
      <c r="O678" s="5">
        <v>3</v>
      </c>
      <c r="P678" s="2">
        <v>0.6875</v>
      </c>
      <c r="Q678" s="2">
        <v>0.83333333333333337</v>
      </c>
      <c r="R678" s="5">
        <v>705</v>
      </c>
      <c r="S678" s="7">
        <f>PLANPRODUCCION[[#This Row],[PRECIO MAQUILAS]]*PLANPRODUCCION[[#This Row],[PIEZAS REAL]]</f>
        <v>528.75</v>
      </c>
      <c r="T67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735</v>
      </c>
      <c r="U67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813.75</v>
      </c>
      <c r="V67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813.75</v>
      </c>
      <c r="W67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-285</v>
      </c>
      <c r="X678" s="8" t="s">
        <v>606</v>
      </c>
      <c r="Y67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7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7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78" s="13">
        <f>IF(PLANPRODUCCION[[#This Row],[PIEZAS REAL]]&gt;0,PLANPRODUCCION[[#This Row],[PIEZAS REAL]]/PLANPRODUCCION[[#This Row],[PIEZAS ACTUALIZADO]],)</f>
        <v>0.95918367346938771</v>
      </c>
      <c r="AC678" t="b">
        <f>PLANPRODUCCION[[#This Row],[INGRESO PLANEADO]]&lt;PLANPRODUCCION[[#This Row],[COSTO PLANEADO]]</f>
        <v>1</v>
      </c>
      <c r="AD678" s="46" t="s">
        <v>869</v>
      </c>
      <c r="AF678" t="b">
        <f>IF(COUNTIF(PLANPRODUCCION[[#This Row],[OBSERVACIONES]],"NO APLICA BONO*")&gt;0,TRUE,FALSE)</f>
        <v>0</v>
      </c>
    </row>
    <row r="679" spans="1:32" x14ac:dyDescent="0.25">
      <c r="A679" s="46" t="str">
        <f>UPPER(IF(PLANPRODUCCION[[#This Row],[FECHA]]&lt;=45701,_xlfn.CONCAT(TEXT(B679,"MMM"),"-",IF(ROW(A679)&lt;11,"000"&amp;ROW(A679)-1,IF(ROW(A679)&lt;101,"00"&amp;ROW(A679)-1,IF(ROW(A679)&lt;1001,"0"&amp;ROW(A679)-1,ROW(A679)-1))),"-OLD"),_xlfn.CONCAT(TEXT(B679,"MMM"),"-",IF(ROW(A679)&lt;473,"000"&amp;ROW(A679)-463,IF(ROW(A679)&lt;563,"00"&amp;ROW(A679)-463,IF(ROW(A679)&lt;1001,"0"&amp;ROW(A679)-463,ROW(A679)-463))))))</f>
        <v>MAR-0216</v>
      </c>
      <c r="B679" s="39">
        <v>45721</v>
      </c>
      <c r="C679" s="5">
        <v>3</v>
      </c>
      <c r="D679" s="5">
        <v>0</v>
      </c>
      <c r="E679" t="s">
        <v>72</v>
      </c>
      <c r="F679" s="2">
        <v>0.66666666666666663</v>
      </c>
      <c r="G679" s="2">
        <v>0.875</v>
      </c>
      <c r="H679" s="5">
        <v>1428</v>
      </c>
      <c r="I679" t="s">
        <v>863</v>
      </c>
      <c r="J679" t="s">
        <v>864</v>
      </c>
      <c r="K679" s="5">
        <v>90</v>
      </c>
      <c r="L679" s="5" t="s">
        <v>545</v>
      </c>
      <c r="M679" s="49">
        <v>10</v>
      </c>
      <c r="N679" s="6">
        <f>PLANPRODUCCION[[#This Row],[PIEZAS PLANEADAS]]*PLANPRODUCCION[[#This Row],[PRECIO MAQUILAS]]</f>
        <v>900</v>
      </c>
      <c r="O679" s="5">
        <v>0</v>
      </c>
      <c r="P679" s="2">
        <v>0</v>
      </c>
      <c r="Q679" s="2">
        <v>0</v>
      </c>
      <c r="R679" s="5">
        <v>0</v>
      </c>
      <c r="S679" s="7">
        <f>PLANPRODUCCION[[#This Row],[PRECIO MAQUILAS]]*PLANPRODUCCION[[#This Row],[PIEZAS REAL]]</f>
        <v>0</v>
      </c>
      <c r="T67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7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7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7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79" s="8" t="s">
        <v>602</v>
      </c>
      <c r="Y679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7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79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79" s="13">
        <f>IF(PLANPRODUCCION[[#This Row],[PIEZAS REAL]]&gt;0,PLANPRODUCCION[[#This Row],[PIEZAS REAL]]/PLANPRODUCCION[[#This Row],[PIEZAS ACTUALIZADO]],)</f>
        <v>0</v>
      </c>
      <c r="AC679" t="b">
        <f>PLANPRODUCCION[[#This Row],[INGRESO PLANEADO]]&lt;PLANPRODUCCION[[#This Row],[COSTO PLANEADO]]</f>
        <v>0</v>
      </c>
      <c r="AD679" s="46" t="s">
        <v>870</v>
      </c>
      <c r="AF679" t="b">
        <f>IF(COUNTIF(PLANPRODUCCION[[#This Row],[OBSERVACIONES]],"NO APLICA BONO*")&gt;0,TRUE,FALSE)</f>
        <v>0</v>
      </c>
    </row>
    <row r="680" spans="1:32" x14ac:dyDescent="0.25">
      <c r="A680" s="46" t="str">
        <f>UPPER(IF(PLANPRODUCCION[[#This Row],[FECHA]]&lt;=45701,_xlfn.CONCAT(TEXT(B680,"MMM"),"-",IF(ROW(A680)&lt;11,"000"&amp;ROW(A680)-1,IF(ROW(A680)&lt;101,"00"&amp;ROW(A680)-1,IF(ROW(A680)&lt;1001,"0"&amp;ROW(A680)-1,ROW(A680)-1))),"-OLD"),_xlfn.CONCAT(TEXT(B680,"MMM"),"-",IF(ROW(A680)&lt;473,"000"&amp;ROW(A680)-463,IF(ROW(A680)&lt;563,"00"&amp;ROW(A680)-463,IF(ROW(A680)&lt;1001,"0"&amp;ROW(A680)-463,ROW(A680)-463))))))</f>
        <v>MAR-0217</v>
      </c>
      <c r="B680" s="39">
        <v>45721</v>
      </c>
      <c r="C680" s="5">
        <v>3</v>
      </c>
      <c r="D680" s="5">
        <v>0</v>
      </c>
      <c r="E680" t="s">
        <v>72</v>
      </c>
      <c r="F680" s="2">
        <v>0.66666666666666663</v>
      </c>
      <c r="G680" s="2">
        <v>0.875</v>
      </c>
      <c r="H680" s="5">
        <v>1428</v>
      </c>
      <c r="I680" t="s">
        <v>863</v>
      </c>
      <c r="J680" t="s">
        <v>864</v>
      </c>
      <c r="K680" s="5">
        <v>90</v>
      </c>
      <c r="L680" s="5" t="s">
        <v>545</v>
      </c>
      <c r="M680" s="49">
        <v>10</v>
      </c>
      <c r="N680" s="6">
        <f>PLANPRODUCCION[[#This Row],[PIEZAS PLANEADAS]]*PLANPRODUCCION[[#This Row],[PRECIO MAQUILAS]]</f>
        <v>900</v>
      </c>
      <c r="O680" s="5">
        <v>0</v>
      </c>
      <c r="P680" s="2">
        <v>0</v>
      </c>
      <c r="Q680" s="2">
        <v>0</v>
      </c>
      <c r="R680" s="5">
        <v>0</v>
      </c>
      <c r="S680" s="7">
        <f>PLANPRODUCCION[[#This Row],[PRECIO MAQUILAS]]*PLANPRODUCCION[[#This Row],[PIEZAS REAL]]</f>
        <v>0</v>
      </c>
      <c r="T68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8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8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8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80" s="8" t="s">
        <v>602</v>
      </c>
      <c r="Y680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8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80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80" s="13">
        <f>IF(PLANPRODUCCION[[#This Row],[PIEZAS REAL]]&gt;0,PLANPRODUCCION[[#This Row],[PIEZAS REAL]]/PLANPRODUCCION[[#This Row],[PIEZAS ACTUALIZADO]],)</f>
        <v>0</v>
      </c>
      <c r="AC680" t="b">
        <f>PLANPRODUCCION[[#This Row],[INGRESO PLANEADO]]&lt;PLANPRODUCCION[[#This Row],[COSTO PLANEADO]]</f>
        <v>0</v>
      </c>
      <c r="AD680" s="46" t="s">
        <v>871</v>
      </c>
      <c r="AF680" t="b">
        <f>IF(COUNTIF(PLANPRODUCCION[[#This Row],[OBSERVACIONES]],"NO APLICA BONO*")&gt;0,TRUE,FALSE)</f>
        <v>0</v>
      </c>
    </row>
    <row r="681" spans="1:32" x14ac:dyDescent="0.25">
      <c r="A681" s="46" t="str">
        <f>UPPER(IF(PLANPRODUCCION[[#This Row],[FECHA]]&lt;=45701,_xlfn.CONCAT(TEXT(B681,"MMM"),"-",IF(ROW(A681)&lt;11,"000"&amp;ROW(A681)-1,IF(ROW(A681)&lt;101,"00"&amp;ROW(A681)-1,IF(ROW(A681)&lt;1001,"0"&amp;ROW(A681)-1,ROW(A681)-1))),"-OLD"),_xlfn.CONCAT(TEXT(B681,"MMM"),"-",IF(ROW(A681)&lt;473,"000"&amp;ROW(A681)-463,IF(ROW(A681)&lt;563,"00"&amp;ROW(A681)-463,IF(ROW(A681)&lt;1001,"0"&amp;ROW(A681)-463,ROW(A681)-463))))))</f>
        <v>MAR-0218</v>
      </c>
      <c r="B681" s="39">
        <v>45721</v>
      </c>
      <c r="C681" s="5">
        <v>2</v>
      </c>
      <c r="D681" s="5">
        <v>6</v>
      </c>
      <c r="E681" t="s">
        <v>72</v>
      </c>
      <c r="F681" s="2">
        <v>0.66666666666666663</v>
      </c>
      <c r="G681" s="2">
        <v>0.72916666666666663</v>
      </c>
      <c r="H681" s="5">
        <v>1597</v>
      </c>
      <c r="I681" t="s">
        <v>860</v>
      </c>
      <c r="J681" t="s">
        <v>796</v>
      </c>
      <c r="K681" s="5">
        <v>215</v>
      </c>
      <c r="L681" s="5" t="s">
        <v>57</v>
      </c>
      <c r="M681" s="50">
        <v>0.5</v>
      </c>
      <c r="N681" s="6">
        <f>PLANPRODUCCION[[#This Row],[PIEZAS PLANEADAS]]*PLANPRODUCCION[[#This Row],[PRECIO MAQUILAS]]</f>
        <v>107.5</v>
      </c>
      <c r="O681" s="5">
        <v>2</v>
      </c>
      <c r="P681" s="2">
        <v>0.66666666666666663</v>
      </c>
      <c r="Q681" s="2">
        <v>0.72916666666666663</v>
      </c>
      <c r="R681" s="5">
        <v>221</v>
      </c>
      <c r="S681" s="7">
        <f>PLANPRODUCCION[[#This Row],[PRECIO MAQUILAS]]*PLANPRODUCCION[[#This Row],[PIEZAS REAL]]</f>
        <v>110.5</v>
      </c>
      <c r="T68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215</v>
      </c>
      <c r="U68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</v>
      </c>
      <c r="V68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</v>
      </c>
      <c r="W68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-75.5</v>
      </c>
      <c r="X681" s="8" t="s">
        <v>606</v>
      </c>
      <c r="Y68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8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8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81" s="13">
        <f>IF(PLANPRODUCCION[[#This Row],[PIEZAS REAL]]&gt;0,PLANPRODUCCION[[#This Row],[PIEZAS REAL]]/PLANPRODUCCION[[#This Row],[PIEZAS ACTUALIZADO]],)</f>
        <v>1.027906976744186</v>
      </c>
      <c r="AC681" t="b">
        <f>PLANPRODUCCION[[#This Row],[INGRESO PLANEADO]]&lt;PLANPRODUCCION[[#This Row],[COSTO PLANEADO]]</f>
        <v>1</v>
      </c>
      <c r="AD681" s="46" t="s">
        <v>872</v>
      </c>
      <c r="AF681" t="b">
        <f>IF(COUNTIF(PLANPRODUCCION[[#This Row],[OBSERVACIONES]],"NO APLICA BONO*")&gt;0,TRUE,FALSE)</f>
        <v>0</v>
      </c>
    </row>
    <row r="682" spans="1:32" x14ac:dyDescent="0.25">
      <c r="A682" s="46" t="str">
        <f>UPPER(IF(PLANPRODUCCION[[#This Row],[FECHA]]&lt;=45701,_xlfn.CONCAT(TEXT(B682,"MMM"),"-",IF(ROW(A682)&lt;11,"000"&amp;ROW(A682)-1,IF(ROW(A682)&lt;101,"00"&amp;ROW(A682)-1,IF(ROW(A682)&lt;1001,"0"&amp;ROW(A682)-1,ROW(A682)-1))),"-OLD"),_xlfn.CONCAT(TEXT(B682,"MMM"),"-",IF(ROW(A682)&lt;473,"000"&amp;ROW(A682)-463,IF(ROW(A682)&lt;563,"00"&amp;ROW(A682)-463,IF(ROW(A682)&lt;1001,"0"&amp;ROW(A682)-463,ROW(A682)-463))))))</f>
        <v>MAR-0219</v>
      </c>
      <c r="B682" s="39">
        <v>45721</v>
      </c>
      <c r="C682" s="5">
        <v>2</v>
      </c>
      <c r="D682" s="5">
        <v>6</v>
      </c>
      <c r="E682" t="s">
        <v>72</v>
      </c>
      <c r="F682" s="2">
        <v>0.72916666666666663</v>
      </c>
      <c r="G682" s="2">
        <v>0.76388888888888884</v>
      </c>
      <c r="H682" s="5">
        <v>1597</v>
      </c>
      <c r="I682" t="s">
        <v>860</v>
      </c>
      <c r="J682" t="s">
        <v>68</v>
      </c>
      <c r="K682" s="5">
        <v>118</v>
      </c>
      <c r="L682" s="5" t="s">
        <v>57</v>
      </c>
      <c r="M682" s="50">
        <v>0.75</v>
      </c>
      <c r="N682" s="6">
        <f>PLANPRODUCCION[[#This Row],[PIEZAS PLANEADAS]]*PLANPRODUCCION[[#This Row],[PRECIO MAQUILAS]]</f>
        <v>88.5</v>
      </c>
      <c r="O682" s="5">
        <v>2</v>
      </c>
      <c r="P682" s="2">
        <v>0.72916666666666663</v>
      </c>
      <c r="Q682" s="2">
        <v>0.76388888888888884</v>
      </c>
      <c r="R682" s="5">
        <v>230</v>
      </c>
      <c r="S682" s="7">
        <f>PLANPRODUCCION[[#This Row],[PRECIO MAQUILAS]]*PLANPRODUCCION[[#This Row],[PIEZAS REAL]]</f>
        <v>172.5</v>
      </c>
      <c r="T68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118</v>
      </c>
      <c r="U68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103.33333333333334</v>
      </c>
      <c r="V68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103.33333333333334</v>
      </c>
      <c r="W68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69.166666666666657</v>
      </c>
      <c r="X682" s="8" t="s">
        <v>606</v>
      </c>
      <c r="Y68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8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8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82" s="13">
        <f>IF(PLANPRODUCCION[[#This Row],[PIEZAS REAL]]&gt;0,PLANPRODUCCION[[#This Row],[PIEZAS REAL]]/PLANPRODUCCION[[#This Row],[PIEZAS ACTUALIZADO]],)</f>
        <v>1.9491525423728813</v>
      </c>
      <c r="AC682" t="b">
        <f>PLANPRODUCCION[[#This Row],[INGRESO PLANEADO]]&lt;PLANPRODUCCION[[#This Row],[COSTO PLANEADO]]</f>
        <v>1</v>
      </c>
      <c r="AD682" s="46" t="s">
        <v>873</v>
      </c>
      <c r="AF682" t="b">
        <f>IF(COUNTIF(PLANPRODUCCION[[#This Row],[OBSERVACIONES]],"NO APLICA BONO*")&gt;0,TRUE,FALSE)</f>
        <v>0</v>
      </c>
    </row>
    <row r="683" spans="1:32" x14ac:dyDescent="0.25">
      <c r="A683" s="46" t="str">
        <f>UPPER(IF(PLANPRODUCCION[[#This Row],[FECHA]]&lt;=45701,_xlfn.CONCAT(TEXT(B683,"MMM"),"-",IF(ROW(A683)&lt;11,"000"&amp;ROW(A683)-1,IF(ROW(A683)&lt;101,"00"&amp;ROW(A683)-1,IF(ROW(A683)&lt;1001,"0"&amp;ROW(A683)-1,ROW(A683)-1))),"-OLD"),_xlfn.CONCAT(TEXT(B683,"MMM"),"-",IF(ROW(A683)&lt;473,"000"&amp;ROW(A683)-463,IF(ROW(A683)&lt;563,"00"&amp;ROW(A683)-463,IF(ROW(A683)&lt;1001,"0"&amp;ROW(A683)-463,ROW(A683)-463))))))</f>
        <v>MAR-0220</v>
      </c>
      <c r="B683" s="39">
        <v>45721</v>
      </c>
      <c r="C683" s="5">
        <v>2</v>
      </c>
      <c r="D683" s="5" t="s">
        <v>62</v>
      </c>
      <c r="E683" t="s">
        <v>72</v>
      </c>
      <c r="F683" s="2">
        <v>0.66666666666666663</v>
      </c>
      <c r="G683" s="2">
        <v>0.76388888888888884</v>
      </c>
      <c r="H683" s="5">
        <v>1597</v>
      </c>
      <c r="I683" t="s">
        <v>860</v>
      </c>
      <c r="J683" t="s">
        <v>131</v>
      </c>
      <c r="K683" s="5">
        <v>1560</v>
      </c>
      <c r="L683" s="5" t="s">
        <v>57</v>
      </c>
      <c r="M683" s="50">
        <v>1.2</v>
      </c>
      <c r="N683" s="6">
        <f>PLANPRODUCCION[[#This Row],[PIEZAS PLANEADAS]]*PLANPRODUCCION[[#This Row],[PRECIO MAQUILAS]]</f>
        <v>1872</v>
      </c>
      <c r="O683" s="5">
        <v>2</v>
      </c>
      <c r="P683" s="2">
        <v>0.66666666666666663</v>
      </c>
      <c r="Q683" s="2">
        <v>0.76388888888888884</v>
      </c>
      <c r="R683" s="5">
        <v>1560</v>
      </c>
      <c r="S683" s="7">
        <f>PLANPRODUCCION[[#This Row],[PRECIO MAQUILAS]]*PLANPRODUCCION[[#This Row],[PIEZAS REAL]]</f>
        <v>1872</v>
      </c>
      <c r="T68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1560</v>
      </c>
      <c r="U68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289.33333333333331</v>
      </c>
      <c r="V68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289.33333333333331</v>
      </c>
      <c r="W68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1582.6666666666667</v>
      </c>
      <c r="X683" s="8" t="s">
        <v>606</v>
      </c>
      <c r="Y68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8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8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83" s="13">
        <f>IF(PLANPRODUCCION[[#This Row],[PIEZAS REAL]]&gt;0,PLANPRODUCCION[[#This Row],[PIEZAS REAL]]/PLANPRODUCCION[[#This Row],[PIEZAS ACTUALIZADO]],)</f>
        <v>1</v>
      </c>
      <c r="AC683" t="b">
        <f>PLANPRODUCCION[[#This Row],[INGRESO PLANEADO]]&lt;PLANPRODUCCION[[#This Row],[COSTO PLANEADO]]</f>
        <v>0</v>
      </c>
      <c r="AD683" s="46" t="s">
        <v>874</v>
      </c>
      <c r="AF683" t="b">
        <f>IF(COUNTIF(PLANPRODUCCION[[#This Row],[OBSERVACIONES]],"NO APLICA BONO*")&gt;0,TRUE,FALSE)</f>
        <v>0</v>
      </c>
    </row>
    <row r="684" spans="1:32" x14ac:dyDescent="0.25">
      <c r="A684" s="46" t="str">
        <f>UPPER(IF(PLANPRODUCCION[[#This Row],[FECHA]]&lt;=45701,_xlfn.CONCAT(TEXT(B684,"MMM"),"-",IF(ROW(A684)&lt;11,"000"&amp;ROW(A684)-1,IF(ROW(A684)&lt;101,"00"&amp;ROW(A684)-1,IF(ROW(A684)&lt;1001,"0"&amp;ROW(A684)-1,ROW(A684)-1))),"-OLD"),_xlfn.CONCAT(TEXT(B684,"MMM"),"-",IF(ROW(A684)&lt;473,"000"&amp;ROW(A684)-463,IF(ROW(A684)&lt;563,"00"&amp;ROW(A684)-463,IF(ROW(A684)&lt;1001,"0"&amp;ROW(A684)-463,ROW(A684)-463))))))</f>
        <v>MAR-0221</v>
      </c>
      <c r="B684" s="39">
        <v>45721</v>
      </c>
      <c r="C684" s="5">
        <v>4</v>
      </c>
      <c r="D684" s="5">
        <v>6</v>
      </c>
      <c r="E684" t="s">
        <v>72</v>
      </c>
      <c r="F684" s="2">
        <v>0.76388888888888884</v>
      </c>
      <c r="G684" s="2">
        <v>0.83333333333333337</v>
      </c>
      <c r="H684" s="5">
        <v>1597</v>
      </c>
      <c r="I684" t="s">
        <v>860</v>
      </c>
      <c r="J684" t="s">
        <v>68</v>
      </c>
      <c r="K684" s="5">
        <v>468</v>
      </c>
      <c r="L684" s="5" t="s">
        <v>57</v>
      </c>
      <c r="M684" s="50">
        <v>0.75</v>
      </c>
      <c r="N684" s="6">
        <f>PLANPRODUCCION[[#This Row],[PIEZAS PLANEADAS]]*PLANPRODUCCION[[#This Row],[PRECIO MAQUILAS]]</f>
        <v>351</v>
      </c>
      <c r="O684" s="5">
        <v>4</v>
      </c>
      <c r="P684" s="2">
        <v>0.76388888888888884</v>
      </c>
      <c r="Q684" s="2">
        <v>0.83333333333333337</v>
      </c>
      <c r="R684" s="5">
        <v>685</v>
      </c>
      <c r="S684" s="7">
        <f>PLANPRODUCCION[[#This Row],[PRECIO MAQUILAS]]*PLANPRODUCCION[[#This Row],[PIEZAS REAL]]</f>
        <v>513.75</v>
      </c>
      <c r="T68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468</v>
      </c>
      <c r="U68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413.33333333333331</v>
      </c>
      <c r="V68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413.33333333333331</v>
      </c>
      <c r="W68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100.41666666666669</v>
      </c>
      <c r="X684" s="8" t="s">
        <v>606</v>
      </c>
      <c r="Y68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8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8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84" s="13">
        <f>IF(PLANPRODUCCION[[#This Row],[PIEZAS REAL]]&gt;0,PLANPRODUCCION[[#This Row],[PIEZAS REAL]]/PLANPRODUCCION[[#This Row],[PIEZAS ACTUALIZADO]],)</f>
        <v>1.4636752136752136</v>
      </c>
      <c r="AC684" t="b">
        <f>PLANPRODUCCION[[#This Row],[INGRESO PLANEADO]]&lt;PLANPRODUCCION[[#This Row],[COSTO PLANEADO]]</f>
        <v>1</v>
      </c>
      <c r="AD684" s="46" t="s">
        <v>875</v>
      </c>
      <c r="AF684" t="b">
        <f>IF(COUNTIF(PLANPRODUCCION[[#This Row],[OBSERVACIONES]],"NO APLICA BONO*")&gt;0,TRUE,FALSE)</f>
        <v>0</v>
      </c>
    </row>
    <row r="685" spans="1:32" x14ac:dyDescent="0.25">
      <c r="A685" s="46" t="str">
        <f>UPPER(IF(PLANPRODUCCION[[#This Row],[FECHA]]&lt;=45701,_xlfn.CONCAT(TEXT(B685,"MMM"),"-",IF(ROW(A685)&lt;11,"000"&amp;ROW(A685)-1,IF(ROW(A685)&lt;101,"00"&amp;ROW(A685)-1,IF(ROW(A685)&lt;1001,"0"&amp;ROW(A685)-1,ROW(A685)-1))),"-OLD"),_xlfn.CONCAT(TEXT(B685,"MMM"),"-",IF(ROW(A685)&lt;473,"000"&amp;ROW(A685)-463,IF(ROW(A685)&lt;563,"00"&amp;ROW(A685)-463,IF(ROW(A685)&lt;1001,"0"&amp;ROW(A685)-463,ROW(A685)-463))))))</f>
        <v>MAR-0222</v>
      </c>
      <c r="B685" s="39">
        <v>45722</v>
      </c>
      <c r="C685" s="5">
        <v>2</v>
      </c>
      <c r="D685" s="5" t="s">
        <v>62</v>
      </c>
      <c r="E685" t="s">
        <v>54</v>
      </c>
      <c r="F685" s="2">
        <v>0.25</v>
      </c>
      <c r="G685" s="2">
        <v>0.3125</v>
      </c>
      <c r="H685" s="5">
        <v>1589</v>
      </c>
      <c r="I685" t="s">
        <v>589</v>
      </c>
      <c r="J685" t="s">
        <v>773</v>
      </c>
      <c r="K685" s="5">
        <v>325</v>
      </c>
      <c r="L685" s="5" t="s">
        <v>65</v>
      </c>
      <c r="M685" s="49">
        <v>1.4</v>
      </c>
      <c r="N685" s="6">
        <f>PLANPRODUCCION[[#This Row],[PIEZAS PLANEADAS]]*PLANPRODUCCION[[#This Row],[PRECIO MAQUILAS]]</f>
        <v>454.99999999999994</v>
      </c>
      <c r="O685" s="5">
        <v>2</v>
      </c>
      <c r="P685" s="2">
        <v>0.25</v>
      </c>
      <c r="Q685" s="2">
        <v>0.33333333333333331</v>
      </c>
      <c r="R685" s="5">
        <v>340</v>
      </c>
      <c r="S685" s="7">
        <f>PLANPRODUCCION[[#This Row],[PRECIO MAQUILAS]]*PLANPRODUCCION[[#This Row],[PIEZAS REAL]]</f>
        <v>475.99999999999994</v>
      </c>
      <c r="T68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434</v>
      </c>
      <c r="U68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</v>
      </c>
      <c r="V68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68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227.99999999999994</v>
      </c>
      <c r="X685" s="8" t="s">
        <v>602</v>
      </c>
      <c r="Y68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8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8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85" s="13">
        <f>IF(PLANPRODUCCION[[#This Row],[PIEZAS REAL]]&gt;0,PLANPRODUCCION[[#This Row],[PIEZAS REAL]]/PLANPRODUCCION[[#This Row],[PIEZAS ACTUALIZADO]],)</f>
        <v>0.78341013824884798</v>
      </c>
      <c r="AC685" t="b">
        <f>PLANPRODUCCION[[#This Row],[INGRESO PLANEADO]]&lt;PLANPRODUCCION[[#This Row],[COSTO PLANEADO]]</f>
        <v>0</v>
      </c>
      <c r="AD685" s="46" t="s">
        <v>876</v>
      </c>
      <c r="AF685" t="b">
        <f>IF(COUNTIF(PLANPRODUCCION[[#This Row],[OBSERVACIONES]],"NO APLICA BONO*")&gt;0,TRUE,FALSE)</f>
        <v>0</v>
      </c>
    </row>
    <row r="686" spans="1:32" x14ac:dyDescent="0.25">
      <c r="A686" s="46" t="str">
        <f>UPPER(IF(PLANPRODUCCION[[#This Row],[FECHA]]&lt;=45701,_xlfn.CONCAT(TEXT(B686,"MMM"),"-",IF(ROW(A686)&lt;11,"000"&amp;ROW(A686)-1,IF(ROW(A686)&lt;101,"00"&amp;ROW(A686)-1,IF(ROW(A686)&lt;1001,"0"&amp;ROW(A686)-1,ROW(A686)-1))),"-OLD"),_xlfn.CONCAT(TEXT(B686,"MMM"),"-",IF(ROW(A686)&lt;473,"000"&amp;ROW(A686)-463,IF(ROW(A686)&lt;563,"00"&amp;ROW(A686)-463,IF(ROW(A686)&lt;1001,"0"&amp;ROW(A686)-463,ROW(A686)-463))))))</f>
        <v>MAR-0223</v>
      </c>
      <c r="B686" s="39">
        <v>45722</v>
      </c>
      <c r="C686" s="5">
        <v>2</v>
      </c>
      <c r="D686" s="5">
        <v>8</v>
      </c>
      <c r="E686" t="s">
        <v>54</v>
      </c>
      <c r="F686" s="2">
        <v>0.3125</v>
      </c>
      <c r="G686" s="2">
        <v>0.47916666666666669</v>
      </c>
      <c r="H686" s="5">
        <v>1589</v>
      </c>
      <c r="I686" t="s">
        <v>589</v>
      </c>
      <c r="J686" t="s">
        <v>877</v>
      </c>
      <c r="K686" s="5">
        <v>670</v>
      </c>
      <c r="L686" s="5" t="s">
        <v>57</v>
      </c>
      <c r="M686" s="49">
        <v>0.75</v>
      </c>
      <c r="N686" s="6">
        <f>PLANPRODUCCION[[#This Row],[PIEZAS PLANEADAS]]*PLANPRODUCCION[[#This Row],[PRECIO MAQUILAS]]</f>
        <v>502.5</v>
      </c>
      <c r="O686" s="5">
        <v>2</v>
      </c>
      <c r="P686" s="2">
        <v>0.34722222222222221</v>
      </c>
      <c r="Q686" s="2">
        <v>0.625</v>
      </c>
      <c r="R686" s="5">
        <v>668</v>
      </c>
      <c r="S686" s="7">
        <f>PLANPRODUCCION[[#This Row],[PRECIO MAQUILAS]]*PLANPRODUCCION[[#This Row],[PIEZAS REAL]]</f>
        <v>501</v>
      </c>
      <c r="T68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1117</v>
      </c>
      <c r="U68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496</v>
      </c>
      <c r="V68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826.66666666666663</v>
      </c>
      <c r="W68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-325.66666666666663</v>
      </c>
      <c r="X686" s="8" t="s">
        <v>602</v>
      </c>
      <c r="Y686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8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8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86" s="13">
        <f>IF(PLANPRODUCCION[[#This Row],[PIEZAS REAL]]&gt;0,PLANPRODUCCION[[#This Row],[PIEZAS REAL]]/PLANPRODUCCION[[#This Row],[PIEZAS ACTUALIZADO]],)</f>
        <v>0.59803043867502237</v>
      </c>
      <c r="AC686" t="b">
        <f>PLANPRODUCCION[[#This Row],[INGRESO PLANEADO]]&lt;PLANPRODUCCION[[#This Row],[COSTO PLANEADO]]</f>
        <v>0</v>
      </c>
      <c r="AD686" s="46" t="s">
        <v>878</v>
      </c>
      <c r="AF686" t="b">
        <f>IF(COUNTIF(PLANPRODUCCION[[#This Row],[OBSERVACIONES]],"NO APLICA BONO*")&gt;0,TRUE,FALSE)</f>
        <v>0</v>
      </c>
    </row>
    <row r="687" spans="1:32" x14ac:dyDescent="0.25">
      <c r="A687" s="46" t="str">
        <f>UPPER(IF(PLANPRODUCCION[[#This Row],[FECHA]]&lt;=45701,_xlfn.CONCAT(TEXT(B687,"MMM"),"-",IF(ROW(A687)&lt;11,"000"&amp;ROW(A687)-1,IF(ROW(A687)&lt;101,"00"&amp;ROW(A687)-1,IF(ROW(A687)&lt;1001,"0"&amp;ROW(A687)-1,ROW(A687)-1))),"-OLD"),_xlfn.CONCAT(TEXT(B687,"MMM"),"-",IF(ROW(A687)&lt;473,"000"&amp;ROW(A687)-463,IF(ROW(A687)&lt;563,"00"&amp;ROW(A687)-463,IF(ROW(A687)&lt;1001,"0"&amp;ROW(A687)-463,ROW(A687)-463))))))</f>
        <v>MAR-0224</v>
      </c>
      <c r="B687" s="39">
        <v>45722</v>
      </c>
      <c r="C687" s="5">
        <v>2</v>
      </c>
      <c r="D687" s="5">
        <v>0</v>
      </c>
      <c r="E687" t="s">
        <v>54</v>
      </c>
      <c r="F687" s="2">
        <v>0.47916666666666669</v>
      </c>
      <c r="G687" s="2">
        <v>0.6875</v>
      </c>
      <c r="H687" s="5">
        <v>1428</v>
      </c>
      <c r="I687" t="s">
        <v>863</v>
      </c>
      <c r="J687" t="s">
        <v>864</v>
      </c>
      <c r="K687" s="5">
        <v>62</v>
      </c>
      <c r="L687" s="5" t="s">
        <v>545</v>
      </c>
      <c r="M687" s="49">
        <v>10</v>
      </c>
      <c r="N687" s="6">
        <f>PLANPRODUCCION[[#This Row],[PIEZAS PLANEADAS]]*PLANPRODUCCION[[#This Row],[PRECIO MAQUILAS]]</f>
        <v>620</v>
      </c>
      <c r="O687" s="5">
        <v>0</v>
      </c>
      <c r="P687" s="2">
        <v>0</v>
      </c>
      <c r="Q687" s="2">
        <v>0</v>
      </c>
      <c r="R687" s="5">
        <v>0</v>
      </c>
      <c r="S687" s="7">
        <f>PLANPRODUCCION[[#This Row],[PRECIO MAQUILAS]]*PLANPRODUCCION[[#This Row],[PIEZAS REAL]]</f>
        <v>0</v>
      </c>
      <c r="T68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8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8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8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87" s="8" t="s">
        <v>602</v>
      </c>
      <c r="Y687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8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87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87" s="13">
        <f>IF(PLANPRODUCCION[[#This Row],[PIEZAS REAL]]&gt;0,PLANPRODUCCION[[#This Row],[PIEZAS REAL]]/PLANPRODUCCION[[#This Row],[PIEZAS ACTUALIZADO]],)</f>
        <v>0</v>
      </c>
      <c r="AC687" t="b">
        <f>PLANPRODUCCION[[#This Row],[INGRESO PLANEADO]]&lt;PLANPRODUCCION[[#This Row],[COSTO PLANEADO]]</f>
        <v>0</v>
      </c>
      <c r="AD687" s="46" t="s">
        <v>879</v>
      </c>
      <c r="AF687" t="b">
        <f>IF(COUNTIF(PLANPRODUCCION[[#This Row],[OBSERVACIONES]],"NO APLICA BONO*")&gt;0,TRUE,FALSE)</f>
        <v>0</v>
      </c>
    </row>
    <row r="688" spans="1:32" x14ac:dyDescent="0.25">
      <c r="A688" s="46" t="str">
        <f>UPPER(IF(PLANPRODUCCION[[#This Row],[FECHA]]&lt;=45701,_xlfn.CONCAT(TEXT(B688,"MMM"),"-",IF(ROW(A688)&lt;11,"000"&amp;ROW(A688)-1,IF(ROW(A688)&lt;101,"00"&amp;ROW(A688)-1,IF(ROW(A688)&lt;1001,"0"&amp;ROW(A688)-1,ROW(A688)-1))),"-OLD"),_xlfn.CONCAT(TEXT(B688,"MMM"),"-",IF(ROW(A688)&lt;473,"000"&amp;ROW(A688)-463,IF(ROW(A688)&lt;563,"00"&amp;ROW(A688)-463,IF(ROW(A688)&lt;1001,"0"&amp;ROW(A688)-463,ROW(A688)-463))))))</f>
        <v>MAR-0225</v>
      </c>
      <c r="B688" s="39">
        <v>45722</v>
      </c>
      <c r="C688" s="5">
        <v>4</v>
      </c>
      <c r="D688" s="5">
        <v>4</v>
      </c>
      <c r="E688" t="s">
        <v>54</v>
      </c>
      <c r="F688" s="2">
        <v>0.25</v>
      </c>
      <c r="G688" s="2">
        <v>0.66666666666666663</v>
      </c>
      <c r="H688" s="5">
        <v>1428</v>
      </c>
      <c r="I688" t="s">
        <v>863</v>
      </c>
      <c r="J688" t="s">
        <v>864</v>
      </c>
      <c r="K688" s="5">
        <v>250</v>
      </c>
      <c r="L688" s="5" t="s">
        <v>545</v>
      </c>
      <c r="M688" s="49">
        <v>10</v>
      </c>
      <c r="N688" s="6">
        <f>PLANPRODUCCION[[#This Row],[PIEZAS PLANEADAS]]*PLANPRODUCCION[[#This Row],[PRECIO MAQUILAS]]</f>
        <v>2500</v>
      </c>
      <c r="O688" s="5">
        <v>4</v>
      </c>
      <c r="P688" s="2">
        <v>0.25</v>
      </c>
      <c r="Q688" s="2">
        <v>0.61111111111111116</v>
      </c>
      <c r="R688" s="5">
        <v>510</v>
      </c>
      <c r="S688" s="7">
        <f>PLANPRODUCCION[[#This Row],[PRECIO MAQUILAS]]*PLANPRODUCCION[[#This Row],[PIEZAS REAL]]</f>
        <v>5100</v>
      </c>
      <c r="T68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217</v>
      </c>
      <c r="U68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2480</v>
      </c>
      <c r="V68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2149.3333333333335</v>
      </c>
      <c r="W68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2950.6666666666665</v>
      </c>
      <c r="X688" s="8" t="s">
        <v>602</v>
      </c>
      <c r="Y688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8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8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88" s="13">
        <f>IF(PLANPRODUCCION[[#This Row],[PIEZAS REAL]]&gt;0,PLANPRODUCCION[[#This Row],[PIEZAS REAL]]/PLANPRODUCCION[[#This Row],[PIEZAS ACTUALIZADO]],)</f>
        <v>2.3502304147465436</v>
      </c>
      <c r="AC688" t="b">
        <f>PLANPRODUCCION[[#This Row],[INGRESO PLANEADO]]&lt;PLANPRODUCCION[[#This Row],[COSTO PLANEADO]]</f>
        <v>0</v>
      </c>
      <c r="AD688" s="46" t="s">
        <v>880</v>
      </c>
      <c r="AE688" t="s">
        <v>881</v>
      </c>
      <c r="AF688" t="b">
        <f>IF(COUNTIF(PLANPRODUCCION[[#This Row],[OBSERVACIONES]],"NO APLICA BONO*")&gt;0,TRUE,FALSE)</f>
        <v>1</v>
      </c>
    </row>
    <row r="689" spans="1:32" x14ac:dyDescent="0.25">
      <c r="A689" s="46" t="str">
        <f>UPPER(IF(PLANPRODUCCION[[#This Row],[FECHA]]&lt;=45701,_xlfn.CONCAT(TEXT(B689,"MMM"),"-",IF(ROW(A689)&lt;11,"000"&amp;ROW(A689)-1,IF(ROW(A689)&lt;101,"00"&amp;ROW(A689)-1,IF(ROW(A689)&lt;1001,"0"&amp;ROW(A689)-1,ROW(A689)-1))),"-OLD"),_xlfn.CONCAT(TEXT(B689,"MMM"),"-",IF(ROW(A689)&lt;473,"000"&amp;ROW(A689)-463,IF(ROW(A689)&lt;563,"00"&amp;ROW(A689)-463,IF(ROW(A689)&lt;1001,"0"&amp;ROW(A689)-463,ROW(A689)-463))))))</f>
        <v>MAR-0226</v>
      </c>
      <c r="B689" s="39">
        <v>45722</v>
      </c>
      <c r="C689" s="5">
        <v>3</v>
      </c>
      <c r="D689" s="5">
        <v>3</v>
      </c>
      <c r="E689" t="s">
        <v>54</v>
      </c>
      <c r="F689" s="2">
        <v>0.25</v>
      </c>
      <c r="G689" s="2">
        <v>0.66666666666666663</v>
      </c>
      <c r="H689" s="5">
        <v>1428</v>
      </c>
      <c r="I689" t="s">
        <v>863</v>
      </c>
      <c r="J689" t="s">
        <v>864</v>
      </c>
      <c r="K689" s="5">
        <v>190</v>
      </c>
      <c r="L689" s="5" t="s">
        <v>545</v>
      </c>
      <c r="M689" s="49">
        <v>10</v>
      </c>
      <c r="N689" s="6">
        <f>PLANPRODUCCION[[#This Row],[PIEZAS PLANEADAS]]*PLANPRODUCCION[[#This Row],[PRECIO MAQUILAS]]</f>
        <v>1900</v>
      </c>
      <c r="O689" s="5">
        <v>3</v>
      </c>
      <c r="P689" s="2">
        <v>0.25</v>
      </c>
      <c r="Q689" s="2">
        <v>0.61805555555555558</v>
      </c>
      <c r="R689" s="5">
        <v>478</v>
      </c>
      <c r="S689" s="7">
        <f>PLANPRODUCCION[[#This Row],[PRECIO MAQUILAS]]*PLANPRODUCCION[[#This Row],[PIEZAS REAL]]</f>
        <v>4780</v>
      </c>
      <c r="T68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168</v>
      </c>
      <c r="U68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68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1643</v>
      </c>
      <c r="W68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3137</v>
      </c>
      <c r="X689" s="8" t="s">
        <v>602</v>
      </c>
      <c r="Y68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8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8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89" s="13">
        <f>IF(PLANPRODUCCION[[#This Row],[PIEZAS REAL]]&gt;0,PLANPRODUCCION[[#This Row],[PIEZAS REAL]]/PLANPRODUCCION[[#This Row],[PIEZAS ACTUALIZADO]],)</f>
        <v>2.8452380952380953</v>
      </c>
      <c r="AC689" t="b">
        <f>PLANPRODUCCION[[#This Row],[INGRESO PLANEADO]]&lt;PLANPRODUCCION[[#This Row],[COSTO PLANEADO]]</f>
        <v>0</v>
      </c>
      <c r="AD689" s="46" t="s">
        <v>882</v>
      </c>
      <c r="AE689" t="s">
        <v>881</v>
      </c>
      <c r="AF689" t="b">
        <f>IF(COUNTIF(PLANPRODUCCION[[#This Row],[OBSERVACIONES]],"NO APLICA BONO*")&gt;0,TRUE,FALSE)</f>
        <v>1</v>
      </c>
    </row>
    <row r="690" spans="1:32" x14ac:dyDescent="0.25">
      <c r="A690" s="46" t="str">
        <f>UPPER(IF(PLANPRODUCCION[[#This Row],[FECHA]]&lt;=45701,_xlfn.CONCAT(TEXT(B690,"MMM"),"-",IF(ROW(A690)&lt;11,"000"&amp;ROW(A690)-1,IF(ROW(A690)&lt;101,"00"&amp;ROW(A690)-1,IF(ROW(A690)&lt;1001,"0"&amp;ROW(A690)-1,ROW(A690)-1))),"-OLD"),_xlfn.CONCAT(TEXT(B690,"MMM"),"-",IF(ROW(A690)&lt;473,"000"&amp;ROW(A690)-463,IF(ROW(A690)&lt;563,"00"&amp;ROW(A690)-463,IF(ROW(A690)&lt;1001,"0"&amp;ROW(A690)-463,ROW(A690)-463))))))</f>
        <v>MAR-0227</v>
      </c>
      <c r="B690" s="39">
        <v>45722</v>
      </c>
      <c r="C690" s="5">
        <v>3</v>
      </c>
      <c r="D690" s="5">
        <v>2</v>
      </c>
      <c r="E690" t="s">
        <v>54</v>
      </c>
      <c r="F690" s="2">
        <v>0.25</v>
      </c>
      <c r="G690" s="2">
        <v>0.66666666666666663</v>
      </c>
      <c r="H690" s="5">
        <v>1428</v>
      </c>
      <c r="I690" t="s">
        <v>863</v>
      </c>
      <c r="J690" t="s">
        <v>864</v>
      </c>
      <c r="K690" s="5">
        <v>190</v>
      </c>
      <c r="L690" s="5" t="s">
        <v>545</v>
      </c>
      <c r="M690" s="49">
        <v>10</v>
      </c>
      <c r="N690" s="6">
        <f>PLANPRODUCCION[[#This Row],[PIEZAS PLANEADAS]]*PLANPRODUCCION[[#This Row],[PRECIO MAQUILAS]]</f>
        <v>1900</v>
      </c>
      <c r="O690" s="5">
        <v>3</v>
      </c>
      <c r="P690" s="2">
        <v>0.25</v>
      </c>
      <c r="Q690" s="2">
        <v>0.625</v>
      </c>
      <c r="R690" s="5">
        <v>228</v>
      </c>
      <c r="S690" s="7">
        <f>PLANPRODUCCION[[#This Row],[PRECIO MAQUILAS]]*PLANPRODUCCION[[#This Row],[PIEZAS REAL]]</f>
        <v>2280</v>
      </c>
      <c r="T69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171</v>
      </c>
      <c r="U69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69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1674</v>
      </c>
      <c r="W69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606</v>
      </c>
      <c r="X690" s="8" t="s">
        <v>602</v>
      </c>
      <c r="Y69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9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9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90" s="13">
        <f>IF(PLANPRODUCCION[[#This Row],[PIEZAS REAL]]&gt;0,PLANPRODUCCION[[#This Row],[PIEZAS REAL]]/PLANPRODUCCION[[#This Row],[PIEZAS ACTUALIZADO]],)</f>
        <v>1.3333333333333333</v>
      </c>
      <c r="AC690" t="b">
        <f>PLANPRODUCCION[[#This Row],[INGRESO PLANEADO]]&lt;PLANPRODUCCION[[#This Row],[COSTO PLANEADO]]</f>
        <v>0</v>
      </c>
      <c r="AD690" s="46" t="s">
        <v>883</v>
      </c>
      <c r="AE690" t="s">
        <v>881</v>
      </c>
      <c r="AF690" t="b">
        <f>IF(COUNTIF(PLANPRODUCCION[[#This Row],[OBSERVACIONES]],"NO APLICA BONO*")&gt;0,TRUE,FALSE)</f>
        <v>1</v>
      </c>
    </row>
    <row r="691" spans="1:32" x14ac:dyDescent="0.25">
      <c r="A691" s="46" t="str">
        <f>UPPER(IF(PLANPRODUCCION[[#This Row],[FECHA]]&lt;=45701,_xlfn.CONCAT(TEXT(B691,"MMM"),"-",IF(ROW(A691)&lt;11,"000"&amp;ROW(A691)-1,IF(ROW(A691)&lt;101,"00"&amp;ROW(A691)-1,IF(ROW(A691)&lt;1001,"0"&amp;ROW(A691)-1,ROW(A691)-1))),"-OLD"),_xlfn.CONCAT(TEXT(B691,"MMM"),"-",IF(ROW(A691)&lt;473,"000"&amp;ROW(A691)-463,IF(ROW(A691)&lt;563,"00"&amp;ROW(A691)-463,IF(ROW(A691)&lt;1001,"0"&amp;ROW(A691)-463,ROW(A691)-463))))))</f>
        <v>MAR-0228</v>
      </c>
      <c r="B691" s="39">
        <v>45722</v>
      </c>
      <c r="C691" s="5">
        <v>3</v>
      </c>
      <c r="D691" s="5">
        <v>1</v>
      </c>
      <c r="E691" t="s">
        <v>54</v>
      </c>
      <c r="F691" s="2">
        <v>0.25</v>
      </c>
      <c r="G691" s="2">
        <v>0.61111111111111116</v>
      </c>
      <c r="H691" s="5">
        <v>1428</v>
      </c>
      <c r="I691" t="s">
        <v>863</v>
      </c>
      <c r="J691" t="s">
        <v>864</v>
      </c>
      <c r="K691" s="5">
        <v>165</v>
      </c>
      <c r="L691" s="5" t="s">
        <v>545</v>
      </c>
      <c r="M691" s="49">
        <v>10</v>
      </c>
      <c r="N691" s="6">
        <f>PLANPRODUCCION[[#This Row],[PIEZAS PLANEADAS]]*PLANPRODUCCION[[#This Row],[PRECIO MAQUILAS]]</f>
        <v>1650</v>
      </c>
      <c r="O691" s="5">
        <v>3</v>
      </c>
      <c r="P691" s="2">
        <v>0.25</v>
      </c>
      <c r="Q691" s="2">
        <v>0.61111111111111116</v>
      </c>
      <c r="R691" s="5">
        <v>343</v>
      </c>
      <c r="S691" s="7">
        <f>PLANPRODUCCION[[#This Row],[PRECIO MAQUILAS]]*PLANPRODUCCION[[#This Row],[PIEZAS REAL]]</f>
        <v>3430</v>
      </c>
      <c r="T69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165</v>
      </c>
      <c r="U69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1612</v>
      </c>
      <c r="V69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1612</v>
      </c>
      <c r="W69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1818</v>
      </c>
      <c r="X691" s="8" t="s">
        <v>606</v>
      </c>
      <c r="Y69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9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9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91" s="13">
        <f>IF(PLANPRODUCCION[[#This Row],[PIEZAS REAL]]&gt;0,PLANPRODUCCION[[#This Row],[PIEZAS REAL]]/PLANPRODUCCION[[#This Row],[PIEZAS ACTUALIZADO]],)</f>
        <v>2.0787878787878786</v>
      </c>
      <c r="AC691" t="b">
        <f>PLANPRODUCCION[[#This Row],[INGRESO PLANEADO]]&lt;PLANPRODUCCION[[#This Row],[COSTO PLANEADO]]</f>
        <v>0</v>
      </c>
      <c r="AD691" s="46" t="s">
        <v>884</v>
      </c>
      <c r="AE691" t="s">
        <v>881</v>
      </c>
      <c r="AF691" t="b">
        <f>IF(COUNTIF(PLANPRODUCCION[[#This Row],[OBSERVACIONES]],"NO APLICA BONO*")&gt;0,TRUE,FALSE)</f>
        <v>1</v>
      </c>
    </row>
    <row r="692" spans="1:32" x14ac:dyDescent="0.25">
      <c r="A692" s="46" t="str">
        <f>UPPER(IF(PLANPRODUCCION[[#This Row],[FECHA]]&lt;=45701,_xlfn.CONCAT(TEXT(B692,"MMM"),"-",IF(ROW(A692)&lt;11,"000"&amp;ROW(A692)-1,IF(ROW(A692)&lt;101,"00"&amp;ROW(A692)-1,IF(ROW(A692)&lt;1001,"0"&amp;ROW(A692)-1,ROW(A692)-1))),"-OLD"),_xlfn.CONCAT(TEXT(B692,"MMM"),"-",IF(ROW(A692)&lt;473,"000"&amp;ROW(A692)-463,IF(ROW(A692)&lt;563,"00"&amp;ROW(A692)-463,IF(ROW(A692)&lt;1001,"0"&amp;ROW(A692)-463,ROW(A692)-463))))))</f>
        <v>MAR-0229</v>
      </c>
      <c r="B692" s="39">
        <v>45722</v>
      </c>
      <c r="C692" s="5">
        <v>3</v>
      </c>
      <c r="D692" s="5">
        <v>3</v>
      </c>
      <c r="E692" t="s">
        <v>67</v>
      </c>
      <c r="F692" s="2">
        <v>0.33333333333333331</v>
      </c>
      <c r="G692" s="2">
        <v>0.75</v>
      </c>
      <c r="H692" s="5">
        <v>1428</v>
      </c>
      <c r="I692" t="s">
        <v>863</v>
      </c>
      <c r="J692" t="s">
        <v>864</v>
      </c>
      <c r="K692" s="5">
        <v>190</v>
      </c>
      <c r="L692" s="5" t="s">
        <v>545</v>
      </c>
      <c r="M692" s="49">
        <v>10</v>
      </c>
      <c r="N692" s="6">
        <f>PLANPRODUCCION[[#This Row],[PIEZAS PLANEADAS]]*PLANPRODUCCION[[#This Row],[PRECIO MAQUILAS]]</f>
        <v>1900</v>
      </c>
      <c r="O692" s="5">
        <v>3</v>
      </c>
      <c r="P692" s="2">
        <v>0.33333333333333331</v>
      </c>
      <c r="Q692" s="2">
        <v>0.14930555555555555</v>
      </c>
      <c r="R692" s="5">
        <v>165</v>
      </c>
      <c r="S692" s="7">
        <f>PLANPRODUCCION[[#This Row],[PRECIO MAQUILAS]]*PLANPRODUCCION[[#This Row],[PIEZAS REAL]]</f>
        <v>1650</v>
      </c>
      <c r="T69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373</v>
      </c>
      <c r="U69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69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3642.5</v>
      </c>
      <c r="W69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-1992.5</v>
      </c>
      <c r="X692" s="8" t="s">
        <v>602</v>
      </c>
      <c r="Y69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9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9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92" s="13">
        <f>IF(PLANPRODUCCION[[#This Row],[PIEZAS REAL]]&gt;0,PLANPRODUCCION[[#This Row],[PIEZAS REAL]]/PLANPRODUCCION[[#This Row],[PIEZAS ACTUALIZADO]],)</f>
        <v>0.44235924932975873</v>
      </c>
      <c r="AC692" t="b">
        <f>PLANPRODUCCION[[#This Row],[INGRESO PLANEADO]]&lt;PLANPRODUCCION[[#This Row],[COSTO PLANEADO]]</f>
        <v>0</v>
      </c>
      <c r="AD692" s="46" t="s">
        <v>885</v>
      </c>
      <c r="AF692" t="b">
        <f>IF(COUNTIF(PLANPRODUCCION[[#This Row],[OBSERVACIONES]],"NO APLICA BONO*")&gt;0,TRUE,FALSE)</f>
        <v>0</v>
      </c>
    </row>
    <row r="693" spans="1:32" x14ac:dyDescent="0.25">
      <c r="A693" s="46" t="str">
        <f>UPPER(IF(PLANPRODUCCION[[#This Row],[FECHA]]&lt;=45701,_xlfn.CONCAT(TEXT(B693,"MMM"),"-",IF(ROW(A693)&lt;11,"000"&amp;ROW(A693)-1,IF(ROW(A693)&lt;101,"00"&amp;ROW(A693)-1,IF(ROW(A693)&lt;1001,"0"&amp;ROW(A693)-1,ROW(A693)-1))),"-OLD"),_xlfn.CONCAT(TEXT(B693,"MMM"),"-",IF(ROW(A693)&lt;473,"000"&amp;ROW(A693)-463,IF(ROW(A693)&lt;563,"00"&amp;ROW(A693)-463,IF(ROW(A693)&lt;1001,"0"&amp;ROW(A693)-463,ROW(A693)-463))))))</f>
        <v>MAR-0230</v>
      </c>
      <c r="B693" s="39">
        <v>45722</v>
      </c>
      <c r="C693" s="5">
        <v>2</v>
      </c>
      <c r="D693" s="5">
        <v>6</v>
      </c>
      <c r="E693" t="s">
        <v>67</v>
      </c>
      <c r="F693" s="2">
        <v>0.33333333333333331</v>
      </c>
      <c r="G693" s="2">
        <v>0.75</v>
      </c>
      <c r="H693" s="5">
        <v>1428</v>
      </c>
      <c r="I693" t="s">
        <v>863</v>
      </c>
      <c r="J693" t="s">
        <v>864</v>
      </c>
      <c r="K693" s="5">
        <v>130</v>
      </c>
      <c r="L693" s="5" t="s">
        <v>545</v>
      </c>
      <c r="M693" s="49">
        <v>10</v>
      </c>
      <c r="N693" s="6">
        <f>PLANPRODUCCION[[#This Row],[PIEZAS PLANEADAS]]*PLANPRODUCCION[[#This Row],[PRECIO MAQUILAS]]</f>
        <v>1300</v>
      </c>
      <c r="O693" s="5">
        <v>2</v>
      </c>
      <c r="P693" s="2">
        <v>0.33333333333333331</v>
      </c>
      <c r="Q693" s="2">
        <v>0.125</v>
      </c>
      <c r="R693" s="5">
        <v>122</v>
      </c>
      <c r="S693" s="7">
        <f>PLANPRODUCCION[[#This Row],[PRECIO MAQUILAS]]*PLANPRODUCCION[[#This Row],[PIEZAS REAL]]</f>
        <v>1220</v>
      </c>
      <c r="T69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247</v>
      </c>
      <c r="U69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69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2356</v>
      </c>
      <c r="W69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-1136</v>
      </c>
      <c r="X693" s="8" t="s">
        <v>602</v>
      </c>
      <c r="Y69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9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9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93" s="13">
        <f>IF(PLANPRODUCCION[[#This Row],[PIEZAS REAL]]&gt;0,PLANPRODUCCION[[#This Row],[PIEZAS REAL]]/PLANPRODUCCION[[#This Row],[PIEZAS ACTUALIZADO]],)</f>
        <v>0.49392712550607287</v>
      </c>
      <c r="AC693" t="b">
        <f>PLANPRODUCCION[[#This Row],[INGRESO PLANEADO]]&lt;PLANPRODUCCION[[#This Row],[COSTO PLANEADO]]</f>
        <v>0</v>
      </c>
      <c r="AD693" s="46" t="s">
        <v>886</v>
      </c>
      <c r="AF693" t="b">
        <f>IF(COUNTIF(PLANPRODUCCION[[#This Row],[OBSERVACIONES]],"NO APLICA BONO*")&gt;0,TRUE,FALSE)</f>
        <v>0</v>
      </c>
    </row>
    <row r="694" spans="1:32" x14ac:dyDescent="0.25">
      <c r="A694" s="46" t="str">
        <f>UPPER(IF(PLANPRODUCCION[[#This Row],[FECHA]]&lt;=45701,_xlfn.CONCAT(TEXT(B694,"MMM"),"-",IF(ROW(A694)&lt;11,"000"&amp;ROW(A694)-1,IF(ROW(A694)&lt;101,"00"&amp;ROW(A694)-1,IF(ROW(A694)&lt;1001,"0"&amp;ROW(A694)-1,ROW(A694)-1))),"-OLD"),_xlfn.CONCAT(TEXT(B694,"MMM"),"-",IF(ROW(A694)&lt;473,"000"&amp;ROW(A694)-463,IF(ROW(A694)&lt;563,"00"&amp;ROW(A694)-463,IF(ROW(A694)&lt;1001,"0"&amp;ROW(A694)-463,ROW(A694)-463))))))</f>
        <v>MAR-0231</v>
      </c>
      <c r="B694" s="39">
        <v>45722</v>
      </c>
      <c r="C694" s="5">
        <v>2</v>
      </c>
      <c r="D694" s="5">
        <v>8</v>
      </c>
      <c r="E694" t="s">
        <v>110</v>
      </c>
      <c r="F694" s="2">
        <v>0.54166666666666663</v>
      </c>
      <c r="G694" s="2">
        <v>0.875</v>
      </c>
      <c r="H694" s="5">
        <v>1428</v>
      </c>
      <c r="I694" t="s">
        <v>863</v>
      </c>
      <c r="J694" t="s">
        <v>864</v>
      </c>
      <c r="K694" s="5">
        <v>130</v>
      </c>
      <c r="L694" s="5" t="s">
        <v>545</v>
      </c>
      <c r="M694" s="49">
        <v>10</v>
      </c>
      <c r="N694" s="6">
        <f>PLANPRODUCCION[[#This Row],[PIEZAS PLANEADAS]]*PLANPRODUCCION[[#This Row],[PRECIO MAQUILAS]]</f>
        <v>1300</v>
      </c>
      <c r="O694" s="5">
        <v>4</v>
      </c>
      <c r="P694" s="2">
        <v>0.54166666666666663</v>
      </c>
      <c r="Q694" s="2">
        <v>0.72916666666666663</v>
      </c>
      <c r="R694" s="5">
        <v>231</v>
      </c>
      <c r="S694" s="7">
        <f>PLANPRODUCCION[[#This Row],[PRECIO MAQUILAS]]*PLANPRODUCCION[[#This Row],[PIEZAS REAL]]</f>
        <v>2310</v>
      </c>
      <c r="T69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147</v>
      </c>
      <c r="U69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69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1395</v>
      </c>
      <c r="W69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915</v>
      </c>
      <c r="X694" s="8" t="s">
        <v>602</v>
      </c>
      <c r="Y69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9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9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94" s="13">
        <f>IF(PLANPRODUCCION[[#This Row],[PIEZAS REAL]]&gt;0,PLANPRODUCCION[[#This Row],[PIEZAS REAL]]/PLANPRODUCCION[[#This Row],[PIEZAS ACTUALIZADO]],)</f>
        <v>1.5714285714285714</v>
      </c>
      <c r="AC694" t="b">
        <f>PLANPRODUCCION[[#This Row],[INGRESO PLANEADO]]&lt;PLANPRODUCCION[[#This Row],[COSTO PLANEADO]]</f>
        <v>0</v>
      </c>
      <c r="AD694" s="46" t="s">
        <v>887</v>
      </c>
      <c r="AE694" t="s">
        <v>881</v>
      </c>
      <c r="AF694" t="b">
        <f>IF(COUNTIF(PLANPRODUCCION[[#This Row],[OBSERVACIONES]],"NO APLICA BONO*")&gt;0,TRUE,FALSE)</f>
        <v>1</v>
      </c>
    </row>
    <row r="695" spans="1:32" x14ac:dyDescent="0.25">
      <c r="A695" s="46" t="str">
        <f>UPPER(IF(PLANPRODUCCION[[#This Row],[FECHA]]&lt;=45701,_xlfn.CONCAT(TEXT(B695,"MMM"),"-",IF(ROW(A695)&lt;11,"000"&amp;ROW(A695)-1,IF(ROW(A695)&lt;101,"00"&amp;ROW(A695)-1,IF(ROW(A695)&lt;1001,"0"&amp;ROW(A695)-1,ROW(A695)-1))),"-OLD"),_xlfn.CONCAT(TEXT(B695,"MMM"),"-",IF(ROW(A695)&lt;473,"000"&amp;ROW(A695)-463,IF(ROW(A695)&lt;563,"00"&amp;ROW(A695)-463,IF(ROW(A695)&lt;1001,"0"&amp;ROW(A695)-463,ROW(A695)-463))))))</f>
        <v>MAR-0232</v>
      </c>
      <c r="B695" s="39">
        <v>45722</v>
      </c>
      <c r="C695" s="5">
        <v>3</v>
      </c>
      <c r="D695" s="5">
        <v>0</v>
      </c>
      <c r="E695" t="s">
        <v>110</v>
      </c>
      <c r="F695" s="2">
        <v>0.54166666666666663</v>
      </c>
      <c r="G695" s="2">
        <v>0.875</v>
      </c>
      <c r="H695" s="5">
        <v>1428</v>
      </c>
      <c r="I695" t="s">
        <v>863</v>
      </c>
      <c r="J695" t="s">
        <v>864</v>
      </c>
      <c r="K695" s="5">
        <v>190</v>
      </c>
      <c r="L695" s="5" t="s">
        <v>545</v>
      </c>
      <c r="M695" s="49">
        <v>10</v>
      </c>
      <c r="N695" s="6">
        <f>PLANPRODUCCION[[#This Row],[PIEZAS PLANEADAS]]*PLANPRODUCCION[[#This Row],[PRECIO MAQUILAS]]</f>
        <v>1900</v>
      </c>
      <c r="O695" s="5">
        <v>0</v>
      </c>
      <c r="P695" s="2">
        <v>0</v>
      </c>
      <c r="Q695" s="2">
        <v>0</v>
      </c>
      <c r="R695" s="5">
        <v>0</v>
      </c>
      <c r="S695" s="7">
        <f>PLANPRODUCCION[[#This Row],[PRECIO MAQUILAS]]*PLANPRODUCCION[[#This Row],[PIEZAS REAL]]</f>
        <v>0</v>
      </c>
      <c r="T69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69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69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69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695" s="8" t="s">
        <v>602</v>
      </c>
      <c r="Y695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69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695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695" s="13">
        <f>IF(PLANPRODUCCION[[#This Row],[PIEZAS REAL]]&gt;0,PLANPRODUCCION[[#This Row],[PIEZAS REAL]]/PLANPRODUCCION[[#This Row],[PIEZAS ACTUALIZADO]],)</f>
        <v>0</v>
      </c>
      <c r="AC695" t="b">
        <f>PLANPRODUCCION[[#This Row],[INGRESO PLANEADO]]&lt;PLANPRODUCCION[[#This Row],[COSTO PLANEADO]]</f>
        <v>0</v>
      </c>
      <c r="AD695" s="46" t="s">
        <v>888</v>
      </c>
      <c r="AF695" t="b">
        <f>IF(COUNTIF(PLANPRODUCCION[[#This Row],[OBSERVACIONES]],"NO APLICA BONO*")&gt;0,TRUE,FALSE)</f>
        <v>0</v>
      </c>
    </row>
    <row r="696" spans="1:32" x14ac:dyDescent="0.25">
      <c r="A696" s="46" t="str">
        <f>UPPER(IF(PLANPRODUCCION[[#This Row],[FECHA]]&lt;=45701,_xlfn.CONCAT(TEXT(B696,"MMM"),"-",IF(ROW(A696)&lt;11,"000"&amp;ROW(A696)-1,IF(ROW(A696)&lt;101,"00"&amp;ROW(A696)-1,IF(ROW(A696)&lt;1001,"0"&amp;ROW(A696)-1,ROW(A696)-1))),"-OLD"),_xlfn.CONCAT(TEXT(B696,"MMM"),"-",IF(ROW(A696)&lt;473,"000"&amp;ROW(A696)-463,IF(ROW(A696)&lt;563,"00"&amp;ROW(A696)-463,IF(ROW(A696)&lt;1001,"0"&amp;ROW(A696)-463,ROW(A696)-463))))))</f>
        <v>MAR-0233</v>
      </c>
      <c r="B696" s="39">
        <v>45722</v>
      </c>
      <c r="C696" s="5">
        <v>3</v>
      </c>
      <c r="D696" s="5">
        <v>1</v>
      </c>
      <c r="E696" t="s">
        <v>72</v>
      </c>
      <c r="F696" s="2">
        <v>0.66666666666666663</v>
      </c>
      <c r="G696" s="2">
        <v>0.875</v>
      </c>
      <c r="H696" s="5">
        <v>1428</v>
      </c>
      <c r="I696" t="s">
        <v>863</v>
      </c>
      <c r="J696" t="s">
        <v>864</v>
      </c>
      <c r="K696" s="5">
        <v>95</v>
      </c>
      <c r="L696" s="5" t="s">
        <v>545</v>
      </c>
      <c r="M696" s="49">
        <v>10</v>
      </c>
      <c r="N696" s="6">
        <f>PLANPRODUCCION[[#This Row],[PIEZAS PLANEADAS]]*PLANPRODUCCION[[#This Row],[PRECIO MAQUILAS]]</f>
        <v>950</v>
      </c>
      <c r="O696" s="5">
        <v>4</v>
      </c>
      <c r="P696" s="2">
        <v>0.66666666666666663</v>
      </c>
      <c r="Q696" s="2">
        <v>0.74305555555555558</v>
      </c>
      <c r="R696" s="5">
        <v>102</v>
      </c>
      <c r="S696" s="7">
        <f>PLANPRODUCCION[[#This Row],[PRECIO MAQUILAS]]*PLANPRODUCCION[[#This Row],[PIEZAS REAL]]</f>
        <v>1020</v>
      </c>
      <c r="T69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47</v>
      </c>
      <c r="U69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69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454.66666666666663</v>
      </c>
      <c r="W69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565.33333333333337</v>
      </c>
      <c r="X696" s="8" t="s">
        <v>602</v>
      </c>
      <c r="Y69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9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9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96" s="13">
        <f>IF(PLANPRODUCCION[[#This Row],[PIEZAS REAL]]&gt;0,PLANPRODUCCION[[#This Row],[PIEZAS REAL]]/PLANPRODUCCION[[#This Row],[PIEZAS ACTUALIZADO]],)</f>
        <v>2.1702127659574466</v>
      </c>
      <c r="AC696" t="b">
        <f>PLANPRODUCCION[[#This Row],[INGRESO PLANEADO]]&lt;PLANPRODUCCION[[#This Row],[COSTO PLANEADO]]</f>
        <v>0</v>
      </c>
      <c r="AD696" s="46" t="s">
        <v>889</v>
      </c>
      <c r="AE696" t="s">
        <v>881</v>
      </c>
      <c r="AF696" t="b">
        <f>IF(COUNTIF(PLANPRODUCCION[[#This Row],[OBSERVACIONES]],"NO APLICA BONO*")&gt;0,TRUE,FALSE)</f>
        <v>1</v>
      </c>
    </row>
    <row r="697" spans="1:32" x14ac:dyDescent="0.25">
      <c r="A697" s="46" t="str">
        <f>UPPER(IF(PLANPRODUCCION[[#This Row],[FECHA]]&lt;=45701,_xlfn.CONCAT(TEXT(B697,"MMM"),"-",IF(ROW(A697)&lt;11,"000"&amp;ROW(A697)-1,IF(ROW(A697)&lt;101,"00"&amp;ROW(A697)-1,IF(ROW(A697)&lt;1001,"0"&amp;ROW(A697)-1,ROW(A697)-1))),"-OLD"),_xlfn.CONCAT(TEXT(B697,"MMM"),"-",IF(ROW(A697)&lt;473,"000"&amp;ROW(A697)-463,IF(ROW(A697)&lt;563,"00"&amp;ROW(A697)-463,IF(ROW(A697)&lt;1001,"0"&amp;ROW(A697)-463,ROW(A697)-463))))))</f>
        <v>MAR-0234</v>
      </c>
      <c r="B697" s="39">
        <v>45722</v>
      </c>
      <c r="C697" s="5">
        <v>3</v>
      </c>
      <c r="D697" s="5">
        <v>2</v>
      </c>
      <c r="E697" t="s">
        <v>72</v>
      </c>
      <c r="F697" s="2">
        <v>0.66666666666666663</v>
      </c>
      <c r="G697" s="2">
        <v>0.875</v>
      </c>
      <c r="H697" s="5">
        <v>1428</v>
      </c>
      <c r="I697" t="s">
        <v>863</v>
      </c>
      <c r="J697" t="s">
        <v>864</v>
      </c>
      <c r="K697" s="5">
        <v>95</v>
      </c>
      <c r="L697" s="5" t="s">
        <v>545</v>
      </c>
      <c r="M697" s="49">
        <v>10</v>
      </c>
      <c r="N697" s="6">
        <f>PLANPRODUCCION[[#This Row],[PIEZAS PLANEADAS]]*PLANPRODUCCION[[#This Row],[PRECIO MAQUILAS]]</f>
        <v>950</v>
      </c>
      <c r="O697" s="5">
        <v>3</v>
      </c>
      <c r="P697" s="2">
        <v>0.66666666666666663</v>
      </c>
      <c r="Q697" s="2">
        <v>0.72916666666666663</v>
      </c>
      <c r="R697" s="5">
        <v>102</v>
      </c>
      <c r="S697" s="7">
        <f>PLANPRODUCCION[[#This Row],[PRECIO MAQUILAS]]*PLANPRODUCCION[[#This Row],[PIEZAS REAL]]</f>
        <v>1020</v>
      </c>
      <c r="T69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29</v>
      </c>
      <c r="U69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69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</v>
      </c>
      <c r="W69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741</v>
      </c>
      <c r="X697" s="8" t="s">
        <v>602</v>
      </c>
      <c r="Y69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69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9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97" s="13">
        <f>IF(PLANPRODUCCION[[#This Row],[PIEZAS REAL]]&gt;0,PLANPRODUCCION[[#This Row],[PIEZAS REAL]]/PLANPRODUCCION[[#This Row],[PIEZAS ACTUALIZADO]],)</f>
        <v>3.5172413793103448</v>
      </c>
      <c r="AC697" t="b">
        <f>PLANPRODUCCION[[#This Row],[INGRESO PLANEADO]]&lt;PLANPRODUCCION[[#This Row],[COSTO PLANEADO]]</f>
        <v>0</v>
      </c>
      <c r="AD697" s="46" t="s">
        <v>890</v>
      </c>
      <c r="AE697" t="s">
        <v>881</v>
      </c>
      <c r="AF697" t="b">
        <f>IF(COUNTIF(PLANPRODUCCION[[#This Row],[OBSERVACIONES]],"NO APLICA BONO*")&gt;0,TRUE,FALSE)</f>
        <v>1</v>
      </c>
    </row>
    <row r="698" spans="1:32" x14ac:dyDescent="0.25">
      <c r="A698" s="46" t="str">
        <f>UPPER(IF(PLANPRODUCCION[[#This Row],[FECHA]]&lt;=45701,_xlfn.CONCAT(TEXT(B698,"MMM"),"-",IF(ROW(A698)&lt;11,"000"&amp;ROW(A698)-1,IF(ROW(A698)&lt;101,"00"&amp;ROW(A698)-1,IF(ROW(A698)&lt;1001,"0"&amp;ROW(A698)-1,ROW(A698)-1))),"-OLD"),_xlfn.CONCAT(TEXT(B698,"MMM"),"-",IF(ROW(A698)&lt;473,"000"&amp;ROW(A698)-463,IF(ROW(A698)&lt;563,"00"&amp;ROW(A698)-463,IF(ROW(A698)&lt;1001,"0"&amp;ROW(A698)-463,ROW(A698)-463))))))</f>
        <v>MAR-0235</v>
      </c>
      <c r="B698" s="39">
        <v>45723</v>
      </c>
      <c r="C698" s="5">
        <v>4</v>
      </c>
      <c r="D698" s="5">
        <v>1</v>
      </c>
      <c r="E698" t="s">
        <v>54</v>
      </c>
      <c r="F698" s="2">
        <v>0.4375</v>
      </c>
      <c r="G698" s="2">
        <v>0.66666666666666663</v>
      </c>
      <c r="H698" s="5">
        <v>1600</v>
      </c>
      <c r="I698" t="s">
        <v>891</v>
      </c>
      <c r="J698" t="s">
        <v>843</v>
      </c>
      <c r="K698" s="5">
        <v>687</v>
      </c>
      <c r="L698" s="5" t="s">
        <v>57</v>
      </c>
      <c r="M698" s="50">
        <v>1.2</v>
      </c>
      <c r="N698" s="6">
        <f>PLANPRODUCCION[[#This Row],[PIEZAS PLANEADAS]]*PLANPRODUCCION[[#This Row],[PRECIO MAQUILAS]]</f>
        <v>824.4</v>
      </c>
      <c r="O698" s="5">
        <v>4</v>
      </c>
      <c r="P698" s="2">
        <v>0.4375</v>
      </c>
      <c r="Q698" s="2">
        <v>0.66666666666666663</v>
      </c>
      <c r="R698" s="5">
        <v>1080</v>
      </c>
      <c r="S698" s="7">
        <f>PLANPRODUCCION[[#This Row],[PRECIO MAQUILAS]]*PLANPRODUCCION[[#This Row],[PIEZAS REAL]]</f>
        <v>1296</v>
      </c>
      <c r="T69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687</v>
      </c>
      <c r="U69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1364</v>
      </c>
      <c r="V69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1364</v>
      </c>
      <c r="W69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-68</v>
      </c>
      <c r="X698" s="8" t="s">
        <v>606</v>
      </c>
      <c r="Y69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9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9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98" s="13">
        <f>IF(PLANPRODUCCION[[#This Row],[PIEZAS REAL]]&gt;0,PLANPRODUCCION[[#This Row],[PIEZAS REAL]]/PLANPRODUCCION[[#This Row],[PIEZAS ACTUALIZADO]],)</f>
        <v>1.5720524017467248</v>
      </c>
      <c r="AC698" t="b">
        <f>PLANPRODUCCION[[#This Row],[INGRESO PLANEADO]]&lt;PLANPRODUCCION[[#This Row],[COSTO PLANEADO]]</f>
        <v>1</v>
      </c>
      <c r="AD698" s="46" t="s">
        <v>892</v>
      </c>
      <c r="AF698" t="b">
        <f>IF(COUNTIF(PLANPRODUCCION[[#This Row],[OBSERVACIONES]],"NO APLICA BONO*")&gt;0,TRUE,FALSE)</f>
        <v>0</v>
      </c>
    </row>
    <row r="699" spans="1:32" x14ac:dyDescent="0.25">
      <c r="A699" s="46" t="str">
        <f>UPPER(IF(PLANPRODUCCION[[#This Row],[FECHA]]&lt;=45701,_xlfn.CONCAT(TEXT(B699,"MMM"),"-",IF(ROW(A699)&lt;11,"000"&amp;ROW(A699)-1,IF(ROW(A699)&lt;101,"00"&amp;ROW(A699)-1,IF(ROW(A699)&lt;1001,"0"&amp;ROW(A699)-1,ROW(A699)-1))),"-OLD"),_xlfn.CONCAT(TEXT(B699,"MMM"),"-",IF(ROW(A699)&lt;473,"000"&amp;ROW(A699)-463,IF(ROW(A699)&lt;563,"00"&amp;ROW(A699)-463,IF(ROW(A699)&lt;1001,"0"&amp;ROW(A699)-463,ROW(A699)-463))))))</f>
        <v>MAR-0236</v>
      </c>
      <c r="B699" s="39">
        <v>45726</v>
      </c>
      <c r="C699" s="5">
        <v>4</v>
      </c>
      <c r="D699" s="5">
        <v>1</v>
      </c>
      <c r="E699" t="s">
        <v>54</v>
      </c>
      <c r="F699" s="2">
        <v>0.39583333333333331</v>
      </c>
      <c r="G699" s="2">
        <v>0.5625</v>
      </c>
      <c r="H699" s="5">
        <v>1600</v>
      </c>
      <c r="I699" t="s">
        <v>891</v>
      </c>
      <c r="J699" t="s">
        <v>843</v>
      </c>
      <c r="K699" s="5">
        <v>500</v>
      </c>
      <c r="L699" s="5" t="s">
        <v>57</v>
      </c>
      <c r="M699" s="50">
        <v>1.2</v>
      </c>
      <c r="N699" s="6">
        <f>PLANPRODUCCION[[#This Row],[PIEZAS PLANEADAS]]*PLANPRODUCCION[[#This Row],[PRECIO MAQUILAS]]</f>
        <v>600</v>
      </c>
      <c r="O699" s="5">
        <v>4</v>
      </c>
      <c r="P699" s="2">
        <v>0.39583333333333331</v>
      </c>
      <c r="Q699" s="2">
        <v>0.5625</v>
      </c>
      <c r="R699" s="5">
        <v>1480</v>
      </c>
      <c r="S699" s="7">
        <f>PLANPRODUCCION[[#This Row],[PRECIO MAQUILAS]]*PLANPRODUCCION[[#This Row],[PIEZAS REAL]]</f>
        <v>1776</v>
      </c>
      <c r="T69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500</v>
      </c>
      <c r="U69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992</v>
      </c>
      <c r="V69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992</v>
      </c>
      <c r="W69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784</v>
      </c>
      <c r="X699" s="8" t="s">
        <v>606</v>
      </c>
      <c r="Y69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69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69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699" s="13">
        <f>IF(PLANPRODUCCION[[#This Row],[PIEZAS REAL]]&gt;0,PLANPRODUCCION[[#This Row],[PIEZAS REAL]]/PLANPRODUCCION[[#This Row],[PIEZAS ACTUALIZADO]],)</f>
        <v>2.96</v>
      </c>
      <c r="AC699" t="b">
        <f>PLANPRODUCCION[[#This Row],[INGRESO PLANEADO]]&lt;PLANPRODUCCION[[#This Row],[COSTO PLANEADO]]</f>
        <v>1</v>
      </c>
      <c r="AD699" s="46" t="s">
        <v>893</v>
      </c>
      <c r="AF699" t="b">
        <f>IF(COUNTIF(PLANPRODUCCION[[#This Row],[OBSERVACIONES]],"NO APLICA BONO*")&gt;0,TRUE,FALSE)</f>
        <v>0</v>
      </c>
    </row>
    <row r="700" spans="1:32" x14ac:dyDescent="0.25">
      <c r="A700" s="46" t="str">
        <f>UPPER(IF(PLANPRODUCCION[[#This Row],[FECHA]]&lt;=45701,_xlfn.CONCAT(TEXT(B700,"MMM"),"-",IF(ROW(A700)&lt;11,"000"&amp;ROW(A700)-1,IF(ROW(A700)&lt;101,"00"&amp;ROW(A700)-1,IF(ROW(A700)&lt;1001,"0"&amp;ROW(A700)-1,ROW(A700)-1))),"-OLD"),_xlfn.CONCAT(TEXT(B700,"MMM"),"-",IF(ROW(A700)&lt;473,"000"&amp;ROW(A700)-463,IF(ROW(A700)&lt;563,"00"&amp;ROW(A700)-463,IF(ROW(A700)&lt;1001,"0"&amp;ROW(A700)-463,ROW(A700)-463))))))</f>
        <v>MAR-0237</v>
      </c>
      <c r="B700" s="39">
        <v>45736</v>
      </c>
      <c r="C700" s="5">
        <v>2</v>
      </c>
      <c r="D700" s="5">
        <v>13</v>
      </c>
      <c r="E700" t="s">
        <v>54</v>
      </c>
      <c r="F700" s="2">
        <v>0.5</v>
      </c>
      <c r="G700" s="2">
        <v>0.66666666666666663</v>
      </c>
      <c r="H700" s="5">
        <v>1605</v>
      </c>
      <c r="I700" t="s">
        <v>894</v>
      </c>
      <c r="J700" t="s">
        <v>895</v>
      </c>
      <c r="K700" s="5">
        <v>240</v>
      </c>
      <c r="L700" s="5" t="s">
        <v>57</v>
      </c>
      <c r="M700" s="48">
        <v>13.19</v>
      </c>
      <c r="N700" s="6">
        <f>PLANPRODUCCION[[#This Row],[PIEZAS PLANEADAS]]*PLANPRODUCCION[[#This Row],[PRECIO MAQUILAS]]</f>
        <v>3165.6</v>
      </c>
      <c r="O700" s="5">
        <v>2</v>
      </c>
      <c r="P700" s="2">
        <v>0.625</v>
      </c>
      <c r="Q700" s="2">
        <v>0.66666666666666663</v>
      </c>
      <c r="R700" s="5">
        <v>40</v>
      </c>
      <c r="S700" s="7">
        <f>PLANPRODUCCION[[#This Row],[PRECIO MAQUILAS]]*PLANPRODUCCION[[#This Row],[PIEZAS REAL]]</f>
        <v>527.6</v>
      </c>
      <c r="T70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60</v>
      </c>
      <c r="U70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496</v>
      </c>
      <c r="V70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</v>
      </c>
      <c r="W70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403.6</v>
      </c>
      <c r="X700" s="8" t="s">
        <v>602</v>
      </c>
      <c r="Y70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0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0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00" s="13">
        <f>IF(PLANPRODUCCION[[#This Row],[PIEZAS REAL]]&gt;0,PLANPRODUCCION[[#This Row],[PIEZAS REAL]]/PLANPRODUCCION[[#This Row],[PIEZAS ACTUALIZADO]],)</f>
        <v>0.66666666666666663</v>
      </c>
      <c r="AC700" t="b">
        <f>PLANPRODUCCION[[#This Row],[INGRESO PLANEADO]]&lt;PLANPRODUCCION[[#This Row],[COSTO PLANEADO]]</f>
        <v>0</v>
      </c>
      <c r="AD700" s="46" t="s">
        <v>896</v>
      </c>
      <c r="AF700" t="b">
        <f>IF(COUNTIF(PLANPRODUCCION[[#This Row],[OBSERVACIONES]],"NO APLICA BONO*")&gt;0,TRUE,FALSE)</f>
        <v>0</v>
      </c>
    </row>
    <row r="701" spans="1:32" x14ac:dyDescent="0.25">
      <c r="A701" s="46" t="str">
        <f>UPPER(IF(PLANPRODUCCION[[#This Row],[FECHA]]&lt;=45701,_xlfn.CONCAT(TEXT(B701,"MMM"),"-",IF(ROW(A701)&lt;11,"000"&amp;ROW(A701)-1,IF(ROW(A701)&lt;101,"00"&amp;ROW(A701)-1,IF(ROW(A701)&lt;1001,"0"&amp;ROW(A701)-1,ROW(A701)-1))),"-OLD"),_xlfn.CONCAT(TEXT(B701,"MMM"),"-",IF(ROW(A701)&lt;473,"000"&amp;ROW(A701)-463,IF(ROW(A701)&lt;563,"00"&amp;ROW(A701)-463,IF(ROW(A701)&lt;1001,"0"&amp;ROW(A701)-463,ROW(A701)-463))))))</f>
        <v>MAR-0238</v>
      </c>
      <c r="B701" s="39">
        <v>45736</v>
      </c>
      <c r="C701" s="5">
        <v>3</v>
      </c>
      <c r="D701" s="5">
        <v>1</v>
      </c>
      <c r="E701" t="s">
        <v>54</v>
      </c>
      <c r="F701" s="2">
        <v>0.54166666666666663</v>
      </c>
      <c r="G701" s="2">
        <v>0.66666666666666663</v>
      </c>
      <c r="H701" s="5">
        <v>1604</v>
      </c>
      <c r="I701" t="s">
        <v>897</v>
      </c>
      <c r="J701" t="s">
        <v>421</v>
      </c>
      <c r="K701" s="5">
        <v>72</v>
      </c>
      <c r="L701" s="5" t="s">
        <v>83</v>
      </c>
      <c r="M701" s="49">
        <v>15.4</v>
      </c>
      <c r="N701" s="6">
        <f>PLANPRODUCCION[[#This Row],[PIEZAS PLANEADAS]]*PLANPRODUCCION[[#This Row],[PRECIO MAQUILAS]]</f>
        <v>1108.8</v>
      </c>
      <c r="O701" s="5">
        <v>3</v>
      </c>
      <c r="P701" s="2">
        <v>0.54166666666666663</v>
      </c>
      <c r="Q701" s="2">
        <v>0.66666666666666663</v>
      </c>
      <c r="R701" s="5">
        <v>79</v>
      </c>
      <c r="S701" s="7">
        <f>PLANPRODUCCION[[#This Row],[PRECIO MAQUILAS]]*PLANPRODUCCION[[#This Row],[PIEZAS REAL]]</f>
        <v>1216.6000000000001</v>
      </c>
      <c r="T70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72</v>
      </c>
      <c r="U70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558</v>
      </c>
      <c r="V70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558</v>
      </c>
      <c r="W70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658.60000000000014</v>
      </c>
      <c r="X701" s="8" t="s">
        <v>602</v>
      </c>
      <c r="Y70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0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0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01" s="13">
        <f>IF(PLANPRODUCCION[[#This Row],[PIEZAS REAL]]&gt;0,PLANPRODUCCION[[#This Row],[PIEZAS REAL]]/PLANPRODUCCION[[#This Row],[PIEZAS ACTUALIZADO]],)</f>
        <v>1.0972222222222223</v>
      </c>
      <c r="AC701" t="b">
        <f>PLANPRODUCCION[[#This Row],[INGRESO PLANEADO]]&lt;PLANPRODUCCION[[#This Row],[COSTO PLANEADO]]</f>
        <v>0</v>
      </c>
      <c r="AD701" s="46" t="s">
        <v>898</v>
      </c>
      <c r="AE701" t="s">
        <v>899</v>
      </c>
      <c r="AF701" t="b">
        <f>IF(COUNTIF(PLANPRODUCCION[[#This Row],[OBSERVACIONES]],"NO APLICA BONO*")&gt;0,TRUE,FALSE)</f>
        <v>1</v>
      </c>
    </row>
    <row r="702" spans="1:32" x14ac:dyDescent="0.25">
      <c r="A702" s="46" t="str">
        <f>UPPER(IF(PLANPRODUCCION[[#This Row],[FECHA]]&lt;=45701,_xlfn.CONCAT(TEXT(B702,"MMM"),"-",IF(ROW(A702)&lt;11,"000"&amp;ROW(A702)-1,IF(ROW(A702)&lt;101,"00"&amp;ROW(A702)-1,IF(ROW(A702)&lt;1001,"0"&amp;ROW(A702)-1,ROW(A702)-1))),"-OLD"),_xlfn.CONCAT(TEXT(B702,"MMM"),"-",IF(ROW(A702)&lt;473,"000"&amp;ROW(A702)-463,IF(ROW(A702)&lt;563,"00"&amp;ROW(A702)-463,IF(ROW(A702)&lt;1001,"0"&amp;ROW(A702)-463,ROW(A702)-463))))))</f>
        <v>MAR-0239</v>
      </c>
      <c r="B702" s="39">
        <v>45736</v>
      </c>
      <c r="C702" s="5">
        <v>3</v>
      </c>
      <c r="D702" s="5">
        <v>2</v>
      </c>
      <c r="E702" t="s">
        <v>54</v>
      </c>
      <c r="F702" s="2">
        <v>0.54166666666666663</v>
      </c>
      <c r="G702" s="2">
        <v>0.66666666666666663</v>
      </c>
      <c r="H702" s="5">
        <v>1604</v>
      </c>
      <c r="I702" t="s">
        <v>897</v>
      </c>
      <c r="J702" t="s">
        <v>421</v>
      </c>
      <c r="K702" s="5">
        <v>72</v>
      </c>
      <c r="L702" s="5" t="s">
        <v>83</v>
      </c>
      <c r="M702" s="49">
        <v>15.4</v>
      </c>
      <c r="N702" s="6">
        <f>PLANPRODUCCION[[#This Row],[PIEZAS PLANEADAS]]*PLANPRODUCCION[[#This Row],[PRECIO MAQUILAS]]</f>
        <v>1108.8</v>
      </c>
      <c r="O702" s="5">
        <v>3</v>
      </c>
      <c r="P702" s="2">
        <v>0.54166666666666663</v>
      </c>
      <c r="Q702" s="2">
        <v>0.66666666666666663</v>
      </c>
      <c r="R702" s="5">
        <v>74</v>
      </c>
      <c r="S702" s="7">
        <f>PLANPRODUCCION[[#This Row],[PRECIO MAQUILAS]]*PLANPRODUCCION[[#This Row],[PIEZAS REAL]]</f>
        <v>1139.6000000000001</v>
      </c>
      <c r="T70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72</v>
      </c>
      <c r="U70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558</v>
      </c>
      <c r="V70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558</v>
      </c>
      <c r="W70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581.60000000000014</v>
      </c>
      <c r="X702" s="8" t="s">
        <v>602</v>
      </c>
      <c r="Y70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0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0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02" s="13">
        <f>IF(PLANPRODUCCION[[#This Row],[PIEZAS REAL]]&gt;0,PLANPRODUCCION[[#This Row],[PIEZAS REAL]]/PLANPRODUCCION[[#This Row],[PIEZAS ACTUALIZADO]],)</f>
        <v>1.0277777777777777</v>
      </c>
      <c r="AC702" t="b">
        <f>PLANPRODUCCION[[#This Row],[INGRESO PLANEADO]]&lt;PLANPRODUCCION[[#This Row],[COSTO PLANEADO]]</f>
        <v>0</v>
      </c>
      <c r="AD702" s="46" t="s">
        <v>900</v>
      </c>
      <c r="AE702" t="s">
        <v>899</v>
      </c>
      <c r="AF702" t="b">
        <f>IF(COUNTIF(PLANPRODUCCION[[#This Row],[OBSERVACIONES]],"NO APLICA BONO*")&gt;0,TRUE,FALSE)</f>
        <v>1</v>
      </c>
    </row>
    <row r="703" spans="1:32" x14ac:dyDescent="0.25">
      <c r="A703" s="46" t="str">
        <f>UPPER(IF(PLANPRODUCCION[[#This Row],[FECHA]]&lt;=45701,_xlfn.CONCAT(TEXT(B703,"MMM"),"-",IF(ROW(A703)&lt;11,"000"&amp;ROW(A703)-1,IF(ROW(A703)&lt;101,"00"&amp;ROW(A703)-1,IF(ROW(A703)&lt;1001,"0"&amp;ROW(A703)-1,ROW(A703)-1))),"-OLD"),_xlfn.CONCAT(TEXT(B703,"MMM"),"-",IF(ROW(A703)&lt;473,"000"&amp;ROW(A703)-463,IF(ROW(A703)&lt;563,"00"&amp;ROW(A703)-463,IF(ROW(A703)&lt;1001,"0"&amp;ROW(A703)-463,ROW(A703)-463))))))</f>
        <v>MAR-0240</v>
      </c>
      <c r="B703" s="39">
        <v>45736</v>
      </c>
      <c r="C703" s="5">
        <v>3</v>
      </c>
      <c r="D703" s="5">
        <v>3</v>
      </c>
      <c r="E703" t="s">
        <v>54</v>
      </c>
      <c r="F703" s="2">
        <v>0.54166666666666663</v>
      </c>
      <c r="G703" s="2">
        <v>0.66666666666666663</v>
      </c>
      <c r="H703" s="5">
        <v>1604</v>
      </c>
      <c r="I703" t="s">
        <v>897</v>
      </c>
      <c r="J703" t="s">
        <v>421</v>
      </c>
      <c r="K703" s="5">
        <v>72</v>
      </c>
      <c r="L703" s="5" t="s">
        <v>83</v>
      </c>
      <c r="M703" s="49">
        <v>15.4</v>
      </c>
      <c r="N703" s="6">
        <f>PLANPRODUCCION[[#This Row],[PIEZAS PLANEADAS]]*PLANPRODUCCION[[#This Row],[PRECIO MAQUILAS]]</f>
        <v>1108.8</v>
      </c>
      <c r="O703" s="5">
        <v>3</v>
      </c>
      <c r="P703" s="2">
        <v>0.54166666666666663</v>
      </c>
      <c r="Q703" s="2">
        <v>0.66666666666666663</v>
      </c>
      <c r="R703" s="5">
        <v>89</v>
      </c>
      <c r="S703" s="7">
        <f>PLANPRODUCCION[[#This Row],[PRECIO MAQUILAS]]*PLANPRODUCCION[[#This Row],[PIEZAS REAL]]</f>
        <v>1370.6000000000001</v>
      </c>
      <c r="T70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72</v>
      </c>
      <c r="U70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558</v>
      </c>
      <c r="V70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558</v>
      </c>
      <c r="W70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812.60000000000014</v>
      </c>
      <c r="X703" s="8" t="s">
        <v>602</v>
      </c>
      <c r="Y70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0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0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03" s="13">
        <f>IF(PLANPRODUCCION[[#This Row],[PIEZAS REAL]]&gt;0,PLANPRODUCCION[[#This Row],[PIEZAS REAL]]/PLANPRODUCCION[[#This Row],[PIEZAS ACTUALIZADO]],)</f>
        <v>1.2361111111111112</v>
      </c>
      <c r="AC703" t="b">
        <f>PLANPRODUCCION[[#This Row],[INGRESO PLANEADO]]&lt;PLANPRODUCCION[[#This Row],[COSTO PLANEADO]]</f>
        <v>0</v>
      </c>
      <c r="AD703" s="46" t="s">
        <v>901</v>
      </c>
      <c r="AE703" t="s">
        <v>899</v>
      </c>
      <c r="AF703" t="b">
        <f>IF(COUNTIF(PLANPRODUCCION[[#This Row],[OBSERVACIONES]],"NO APLICA BONO*")&gt;0,TRUE,FALSE)</f>
        <v>1</v>
      </c>
    </row>
    <row r="704" spans="1:32" x14ac:dyDescent="0.25">
      <c r="A704" s="46" t="str">
        <f>UPPER(IF(PLANPRODUCCION[[#This Row],[FECHA]]&lt;=45701,_xlfn.CONCAT(TEXT(B704,"MMM"),"-",IF(ROW(A704)&lt;11,"000"&amp;ROW(A704)-1,IF(ROW(A704)&lt;101,"00"&amp;ROW(A704)-1,IF(ROW(A704)&lt;1001,"0"&amp;ROW(A704)-1,ROW(A704)-1))),"-OLD"),_xlfn.CONCAT(TEXT(B704,"MMM"),"-",IF(ROW(A704)&lt;473,"000"&amp;ROW(A704)-463,IF(ROW(A704)&lt;563,"00"&amp;ROW(A704)-463,IF(ROW(A704)&lt;1001,"0"&amp;ROW(A704)-463,ROW(A704)-463))))))</f>
        <v>MAR-0241</v>
      </c>
      <c r="B704" s="39">
        <v>45736</v>
      </c>
      <c r="C704" s="5">
        <v>4</v>
      </c>
      <c r="D704" s="5">
        <v>4</v>
      </c>
      <c r="E704" t="s">
        <v>54</v>
      </c>
      <c r="F704" s="2">
        <v>0.54166666666666663</v>
      </c>
      <c r="G704" s="2">
        <v>0.66666666666666663</v>
      </c>
      <c r="H704" s="5">
        <v>1604</v>
      </c>
      <c r="I704" t="s">
        <v>897</v>
      </c>
      <c r="J704" t="s">
        <v>421</v>
      </c>
      <c r="K704" s="5">
        <v>96</v>
      </c>
      <c r="L704" s="5" t="s">
        <v>83</v>
      </c>
      <c r="M704" s="49">
        <v>15.4</v>
      </c>
      <c r="N704" s="6">
        <f>PLANPRODUCCION[[#This Row],[PIEZAS PLANEADAS]]*PLANPRODUCCION[[#This Row],[PRECIO MAQUILAS]]</f>
        <v>1478.4</v>
      </c>
      <c r="O704" s="5">
        <v>4</v>
      </c>
      <c r="P704" s="2">
        <v>0.54166666666666663</v>
      </c>
      <c r="Q704" s="2">
        <v>0.66666666666666663</v>
      </c>
      <c r="R704" s="5">
        <v>127</v>
      </c>
      <c r="S704" s="7">
        <f>PLANPRODUCCION[[#This Row],[PRECIO MAQUILAS]]*PLANPRODUCCION[[#This Row],[PIEZAS REAL]]</f>
        <v>1955.8</v>
      </c>
      <c r="T70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96</v>
      </c>
      <c r="U70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744</v>
      </c>
      <c r="V70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70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1211.8</v>
      </c>
      <c r="X704" s="8" t="s">
        <v>602</v>
      </c>
      <c r="Y70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0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0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04" s="13">
        <f>IF(PLANPRODUCCION[[#This Row],[PIEZAS REAL]]&gt;0,PLANPRODUCCION[[#This Row],[PIEZAS REAL]]/PLANPRODUCCION[[#This Row],[PIEZAS ACTUALIZADO]],)</f>
        <v>1.3229166666666667</v>
      </c>
      <c r="AC704" t="b">
        <f>PLANPRODUCCION[[#This Row],[INGRESO PLANEADO]]&lt;PLANPRODUCCION[[#This Row],[COSTO PLANEADO]]</f>
        <v>0</v>
      </c>
      <c r="AD704" s="46" t="s">
        <v>902</v>
      </c>
      <c r="AE704" t="s">
        <v>899</v>
      </c>
      <c r="AF704" t="b">
        <f>IF(COUNTIF(PLANPRODUCCION[[#This Row],[OBSERVACIONES]],"NO APLICA BONO*")&gt;0,TRUE,FALSE)</f>
        <v>1</v>
      </c>
    </row>
    <row r="705" spans="1:32" x14ac:dyDescent="0.25">
      <c r="A705" s="46" t="str">
        <f>UPPER(IF(PLANPRODUCCION[[#This Row],[FECHA]]&lt;=45701,_xlfn.CONCAT(TEXT(B705,"MMM"),"-",IF(ROW(A705)&lt;11,"000"&amp;ROW(A705)-1,IF(ROW(A705)&lt;101,"00"&amp;ROW(A705)-1,IF(ROW(A705)&lt;1001,"0"&amp;ROW(A705)-1,ROW(A705)-1))),"-OLD"),_xlfn.CONCAT(TEXT(B705,"MMM"),"-",IF(ROW(A705)&lt;473,"000"&amp;ROW(A705)-463,IF(ROW(A705)&lt;563,"00"&amp;ROW(A705)-463,IF(ROW(A705)&lt;1001,"0"&amp;ROW(A705)-463,ROW(A705)-463))))))</f>
        <v>MAR-0242</v>
      </c>
      <c r="B705" s="39">
        <v>45736</v>
      </c>
      <c r="C705" s="5">
        <v>3</v>
      </c>
      <c r="D705" s="5">
        <v>5</v>
      </c>
      <c r="E705" t="s">
        <v>110</v>
      </c>
      <c r="F705" s="2">
        <v>0.54166666666666663</v>
      </c>
      <c r="G705" s="2">
        <v>0.875</v>
      </c>
      <c r="H705" s="5">
        <v>1604</v>
      </c>
      <c r="I705" t="s">
        <v>897</v>
      </c>
      <c r="J705" t="s">
        <v>421</v>
      </c>
      <c r="K705" s="5">
        <v>192</v>
      </c>
      <c r="L705" s="5" t="s">
        <v>83</v>
      </c>
      <c r="M705" s="49">
        <v>15.4</v>
      </c>
      <c r="N705" s="6">
        <f>PLANPRODUCCION[[#This Row],[PIEZAS PLANEADAS]]*PLANPRODUCCION[[#This Row],[PRECIO MAQUILAS]]</f>
        <v>2956.8</v>
      </c>
      <c r="O705" s="5">
        <v>1</v>
      </c>
      <c r="P705" s="2">
        <v>0.54166666666666663</v>
      </c>
      <c r="Q705" s="2">
        <v>0.875</v>
      </c>
      <c r="R705" s="5">
        <v>97</v>
      </c>
      <c r="S705" s="7">
        <f>PLANPRODUCCION[[#This Row],[PRECIO MAQUILAS]]*PLANPRODUCCION[[#This Row],[PIEZAS REAL]]</f>
        <v>1493.8</v>
      </c>
      <c r="T70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64</v>
      </c>
      <c r="U70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70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70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873.8</v>
      </c>
      <c r="X705" s="8" t="s">
        <v>602</v>
      </c>
      <c r="Y70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0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0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05" s="13">
        <f>IF(PLANPRODUCCION[[#This Row],[PIEZAS REAL]]&gt;0,PLANPRODUCCION[[#This Row],[PIEZAS REAL]]/PLANPRODUCCION[[#This Row],[PIEZAS ACTUALIZADO]],)</f>
        <v>1.515625</v>
      </c>
      <c r="AC705" t="b">
        <f>PLANPRODUCCION[[#This Row],[INGRESO PLANEADO]]&lt;PLANPRODUCCION[[#This Row],[COSTO PLANEADO]]</f>
        <v>0</v>
      </c>
      <c r="AD705" s="46" t="s">
        <v>903</v>
      </c>
      <c r="AE705" t="s">
        <v>899</v>
      </c>
      <c r="AF705" t="b">
        <f>IF(COUNTIF(PLANPRODUCCION[[#This Row],[OBSERVACIONES]],"NO APLICA BONO*")&gt;0,TRUE,FALSE)</f>
        <v>1</v>
      </c>
    </row>
    <row r="706" spans="1:32" x14ac:dyDescent="0.25">
      <c r="A706" s="46" t="str">
        <f>UPPER(IF(PLANPRODUCCION[[#This Row],[FECHA]]&lt;=45701,_xlfn.CONCAT(TEXT(B706,"MMM"),"-",IF(ROW(A706)&lt;11,"000"&amp;ROW(A706)-1,IF(ROW(A706)&lt;101,"00"&amp;ROW(A706)-1,IF(ROW(A706)&lt;1001,"0"&amp;ROW(A706)-1,ROW(A706)-1))),"-OLD"),_xlfn.CONCAT(TEXT(B706,"MMM"),"-",IF(ROW(A706)&lt;473,"000"&amp;ROW(A706)-463,IF(ROW(A706)&lt;563,"00"&amp;ROW(A706)-463,IF(ROW(A706)&lt;1001,"0"&amp;ROW(A706)-463,ROW(A706)-463))))))</f>
        <v>MAR-0243</v>
      </c>
      <c r="B706" s="39">
        <v>45736</v>
      </c>
      <c r="C706" s="5">
        <v>2</v>
      </c>
      <c r="D706" s="5">
        <v>6</v>
      </c>
      <c r="E706" t="s">
        <v>72</v>
      </c>
      <c r="F706" s="2">
        <v>0.66666666666666663</v>
      </c>
      <c r="G706" s="2">
        <v>0.875</v>
      </c>
      <c r="H706" s="5">
        <v>1604</v>
      </c>
      <c r="I706" t="s">
        <v>897</v>
      </c>
      <c r="J706" t="s">
        <v>421</v>
      </c>
      <c r="K706" s="5">
        <v>80</v>
      </c>
      <c r="L706" s="5" t="s">
        <v>83</v>
      </c>
      <c r="M706" s="49">
        <v>15.4</v>
      </c>
      <c r="N706" s="6">
        <f>PLANPRODUCCION[[#This Row],[PIEZAS PLANEADAS]]*PLANPRODUCCION[[#This Row],[PRECIO MAQUILAS]]</f>
        <v>1232</v>
      </c>
      <c r="O706" s="5">
        <v>2</v>
      </c>
      <c r="P706" s="2">
        <v>0.66666666666666663</v>
      </c>
      <c r="Q706" s="2">
        <v>0.875</v>
      </c>
      <c r="R706" s="5">
        <v>81</v>
      </c>
      <c r="S706" s="7">
        <f>PLANPRODUCCION[[#This Row],[PRECIO MAQUILAS]]*PLANPRODUCCION[[#This Row],[PIEZAS REAL]]</f>
        <v>1247.4000000000001</v>
      </c>
      <c r="T70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80</v>
      </c>
      <c r="U70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70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70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627.40000000000009</v>
      </c>
      <c r="X706" s="8" t="s">
        <v>602</v>
      </c>
      <c r="Y706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0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0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06" s="13">
        <f>IF(PLANPRODUCCION[[#This Row],[PIEZAS REAL]]&gt;0,PLANPRODUCCION[[#This Row],[PIEZAS REAL]]/PLANPRODUCCION[[#This Row],[PIEZAS ACTUALIZADO]],)</f>
        <v>1.0125</v>
      </c>
      <c r="AC706" t="b">
        <f>PLANPRODUCCION[[#This Row],[INGRESO PLANEADO]]&lt;PLANPRODUCCION[[#This Row],[COSTO PLANEADO]]</f>
        <v>0</v>
      </c>
      <c r="AD706" s="46" t="s">
        <v>904</v>
      </c>
      <c r="AE706" t="s">
        <v>899</v>
      </c>
      <c r="AF706" t="b">
        <f>IF(COUNTIF(PLANPRODUCCION[[#This Row],[OBSERVACIONES]],"NO APLICA BONO*")&gt;0,TRUE,FALSE)</f>
        <v>1</v>
      </c>
    </row>
    <row r="707" spans="1:32" x14ac:dyDescent="0.25">
      <c r="A707" s="46" t="str">
        <f>UPPER(IF(PLANPRODUCCION[[#This Row],[FECHA]]&lt;=45701,_xlfn.CONCAT(TEXT(B707,"MMM"),"-",IF(ROW(A707)&lt;11,"000"&amp;ROW(A707)-1,IF(ROW(A707)&lt;101,"00"&amp;ROW(A707)-1,IF(ROW(A707)&lt;1001,"0"&amp;ROW(A707)-1,ROW(A707)-1))),"-OLD"),_xlfn.CONCAT(TEXT(B707,"MMM"),"-",IF(ROW(A707)&lt;473,"000"&amp;ROW(A707)-463,IF(ROW(A707)&lt;563,"00"&amp;ROW(A707)-463,IF(ROW(A707)&lt;1001,"0"&amp;ROW(A707)-463,ROW(A707)-463))))))</f>
        <v>MAR-0244</v>
      </c>
      <c r="B707" s="39">
        <v>45737</v>
      </c>
      <c r="C707" s="5">
        <v>3</v>
      </c>
      <c r="D707" s="5">
        <v>1</v>
      </c>
      <c r="E707" t="s">
        <v>54</v>
      </c>
      <c r="F707" s="2">
        <v>0.25</v>
      </c>
      <c r="G707" s="2">
        <v>0.5</v>
      </c>
      <c r="H707" s="5">
        <v>1604</v>
      </c>
      <c r="I707" t="s">
        <v>897</v>
      </c>
      <c r="J707" t="s">
        <v>421</v>
      </c>
      <c r="K707" s="5">
        <v>180</v>
      </c>
      <c r="L707" s="5" t="s">
        <v>83</v>
      </c>
      <c r="M707" s="49">
        <v>15.4</v>
      </c>
      <c r="N707" s="6">
        <f>PLANPRODUCCION[[#This Row],[PIEZAS PLANEADAS]]*PLANPRODUCCION[[#This Row],[PRECIO MAQUILAS]]</f>
        <v>2772</v>
      </c>
      <c r="O707" s="5">
        <v>3</v>
      </c>
      <c r="P707" s="2">
        <v>0.25</v>
      </c>
      <c r="Q707" s="2">
        <v>0.61111111111111116</v>
      </c>
      <c r="R707" s="5">
        <v>180</v>
      </c>
      <c r="S707" s="7">
        <f>PLANPRODUCCION[[#This Row],[PRECIO MAQUILAS]]*PLANPRODUCCION[[#This Row],[PIEZAS REAL]]</f>
        <v>2772</v>
      </c>
      <c r="T70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260</v>
      </c>
      <c r="U70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1116</v>
      </c>
      <c r="V70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1612</v>
      </c>
      <c r="W70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1160</v>
      </c>
      <c r="X707" s="8" t="s">
        <v>602</v>
      </c>
      <c r="Y70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0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07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707" s="13">
        <f>IF(PLANPRODUCCION[[#This Row],[PIEZAS REAL]]&gt;0,PLANPRODUCCION[[#This Row],[PIEZAS REAL]]/PLANPRODUCCION[[#This Row],[PIEZAS ACTUALIZADO]],)</f>
        <v>0.69230769230769229</v>
      </c>
      <c r="AC707" t="b">
        <f>PLANPRODUCCION[[#This Row],[INGRESO PLANEADO]]&lt;PLANPRODUCCION[[#This Row],[COSTO PLANEADO]]</f>
        <v>0</v>
      </c>
      <c r="AD707" s="46" t="s">
        <v>905</v>
      </c>
      <c r="AF707" t="b">
        <f>IF(COUNTIF(PLANPRODUCCION[[#This Row],[OBSERVACIONES]],"NO APLICA BONO*")&gt;0,TRUE,FALSE)</f>
        <v>0</v>
      </c>
    </row>
    <row r="708" spans="1:32" x14ac:dyDescent="0.25">
      <c r="A708" s="46" t="str">
        <f>UPPER(IF(PLANPRODUCCION[[#This Row],[FECHA]]&lt;=45701,_xlfn.CONCAT(TEXT(B708,"MMM"),"-",IF(ROW(A708)&lt;11,"000"&amp;ROW(A708)-1,IF(ROW(A708)&lt;101,"00"&amp;ROW(A708)-1,IF(ROW(A708)&lt;1001,"0"&amp;ROW(A708)-1,ROW(A708)-1))),"-OLD"),_xlfn.CONCAT(TEXT(B708,"MMM"),"-",IF(ROW(A708)&lt;473,"000"&amp;ROW(A708)-463,IF(ROW(A708)&lt;563,"00"&amp;ROW(A708)-463,IF(ROW(A708)&lt;1001,"0"&amp;ROW(A708)-463,ROW(A708)-463))))))</f>
        <v>MAR-0245</v>
      </c>
      <c r="B708" s="39">
        <v>45737</v>
      </c>
      <c r="C708" s="5">
        <v>3</v>
      </c>
      <c r="D708" s="5">
        <v>2</v>
      </c>
      <c r="E708" t="s">
        <v>54</v>
      </c>
      <c r="F708" s="2">
        <v>0.25</v>
      </c>
      <c r="G708" s="2">
        <v>0.5</v>
      </c>
      <c r="H708" s="5">
        <v>1604</v>
      </c>
      <c r="I708" t="s">
        <v>897</v>
      </c>
      <c r="J708" t="s">
        <v>421</v>
      </c>
      <c r="K708" s="5">
        <v>180</v>
      </c>
      <c r="L708" s="5" t="s">
        <v>83</v>
      </c>
      <c r="M708" s="49">
        <v>15.4</v>
      </c>
      <c r="N708" s="6">
        <f>PLANPRODUCCION[[#This Row],[PIEZAS PLANEADAS]]*PLANPRODUCCION[[#This Row],[PRECIO MAQUILAS]]</f>
        <v>2772</v>
      </c>
      <c r="O708" s="5">
        <v>3</v>
      </c>
      <c r="P708" s="2">
        <v>0.25</v>
      </c>
      <c r="Q708" s="2">
        <v>0.60416666666666663</v>
      </c>
      <c r="R708" s="5">
        <v>180</v>
      </c>
      <c r="S708" s="7">
        <f>PLANPRODUCCION[[#This Row],[PRECIO MAQUILAS]]*PLANPRODUCCION[[#This Row],[PIEZAS REAL]]</f>
        <v>2772</v>
      </c>
      <c r="T70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255</v>
      </c>
      <c r="U70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1116</v>
      </c>
      <c r="V70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1581</v>
      </c>
      <c r="W70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1191</v>
      </c>
      <c r="X708" s="8" t="s">
        <v>602</v>
      </c>
      <c r="Y708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0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08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708" s="13">
        <f>IF(PLANPRODUCCION[[#This Row],[PIEZAS REAL]]&gt;0,PLANPRODUCCION[[#This Row],[PIEZAS REAL]]/PLANPRODUCCION[[#This Row],[PIEZAS ACTUALIZADO]],)</f>
        <v>0.70588235294117652</v>
      </c>
      <c r="AC708" t="b">
        <f>PLANPRODUCCION[[#This Row],[INGRESO PLANEADO]]&lt;PLANPRODUCCION[[#This Row],[COSTO PLANEADO]]</f>
        <v>0</v>
      </c>
      <c r="AD708" s="46" t="s">
        <v>906</v>
      </c>
      <c r="AF708" t="b">
        <f>IF(COUNTIF(PLANPRODUCCION[[#This Row],[OBSERVACIONES]],"NO APLICA BONO*")&gt;0,TRUE,FALSE)</f>
        <v>0</v>
      </c>
    </row>
    <row r="709" spans="1:32" x14ac:dyDescent="0.25">
      <c r="A709" s="46" t="str">
        <f>UPPER(IF(PLANPRODUCCION[[#This Row],[FECHA]]&lt;=45701,_xlfn.CONCAT(TEXT(B709,"MMM"),"-",IF(ROW(A709)&lt;11,"000"&amp;ROW(A709)-1,IF(ROW(A709)&lt;101,"00"&amp;ROW(A709)-1,IF(ROW(A709)&lt;1001,"0"&amp;ROW(A709)-1,ROW(A709)-1))),"-OLD"),_xlfn.CONCAT(TEXT(B709,"MMM"),"-",IF(ROW(A709)&lt;473,"000"&amp;ROW(A709)-463,IF(ROW(A709)&lt;563,"00"&amp;ROW(A709)-463,IF(ROW(A709)&lt;1001,"0"&amp;ROW(A709)-463,ROW(A709)-463))))))</f>
        <v>MAR-0246</v>
      </c>
      <c r="B709" s="39">
        <v>45737</v>
      </c>
      <c r="C709" s="5">
        <v>3</v>
      </c>
      <c r="D709" s="5">
        <v>3</v>
      </c>
      <c r="E709" t="s">
        <v>54</v>
      </c>
      <c r="F709" s="2">
        <v>0.25</v>
      </c>
      <c r="G709" s="2">
        <v>0.5</v>
      </c>
      <c r="H709" s="5">
        <v>1604</v>
      </c>
      <c r="I709" t="s">
        <v>897</v>
      </c>
      <c r="J709" t="s">
        <v>421</v>
      </c>
      <c r="K709" s="5">
        <v>180</v>
      </c>
      <c r="L709" s="5" t="s">
        <v>83</v>
      </c>
      <c r="M709" s="49">
        <v>15.4</v>
      </c>
      <c r="N709" s="6">
        <f>PLANPRODUCCION[[#This Row],[PIEZAS PLANEADAS]]*PLANPRODUCCION[[#This Row],[PRECIO MAQUILAS]]</f>
        <v>2772</v>
      </c>
      <c r="O709" s="5">
        <v>3</v>
      </c>
      <c r="P709" s="2">
        <v>0.25</v>
      </c>
      <c r="Q709" s="2">
        <v>0.5625</v>
      </c>
      <c r="R709" s="5">
        <v>176</v>
      </c>
      <c r="S709" s="7">
        <f>PLANPRODUCCION[[#This Row],[PRECIO MAQUILAS]]*PLANPRODUCCION[[#This Row],[PIEZAS REAL]]</f>
        <v>2710.4</v>
      </c>
      <c r="T70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225</v>
      </c>
      <c r="U70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1116</v>
      </c>
      <c r="V70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1395</v>
      </c>
      <c r="W70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1315.4</v>
      </c>
      <c r="X709" s="8" t="s">
        <v>602</v>
      </c>
      <c r="Y70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0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0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09" s="13">
        <f>IF(PLANPRODUCCION[[#This Row],[PIEZAS REAL]]&gt;0,PLANPRODUCCION[[#This Row],[PIEZAS REAL]]/PLANPRODUCCION[[#This Row],[PIEZAS ACTUALIZADO]],)</f>
        <v>0.78222222222222226</v>
      </c>
      <c r="AC709" t="b">
        <f>PLANPRODUCCION[[#This Row],[INGRESO PLANEADO]]&lt;PLANPRODUCCION[[#This Row],[COSTO PLANEADO]]</f>
        <v>0</v>
      </c>
      <c r="AD709" s="46" t="s">
        <v>907</v>
      </c>
      <c r="AF709" t="b">
        <f>IF(COUNTIF(PLANPRODUCCION[[#This Row],[OBSERVACIONES]],"NO APLICA BONO*")&gt;0,TRUE,FALSE)</f>
        <v>0</v>
      </c>
    </row>
    <row r="710" spans="1:32" x14ac:dyDescent="0.25">
      <c r="A710" s="46" t="str">
        <f>UPPER(IF(PLANPRODUCCION[[#This Row],[FECHA]]&lt;=45701,_xlfn.CONCAT(TEXT(B710,"MMM"),"-",IF(ROW(A710)&lt;11,"000"&amp;ROW(A710)-1,IF(ROW(A710)&lt;101,"00"&amp;ROW(A710)-1,IF(ROW(A710)&lt;1001,"0"&amp;ROW(A710)-1,ROW(A710)-1))),"-OLD"),_xlfn.CONCAT(TEXT(B710,"MMM"),"-",IF(ROW(A710)&lt;473,"000"&amp;ROW(A710)-463,IF(ROW(A710)&lt;563,"00"&amp;ROW(A710)-463,IF(ROW(A710)&lt;1001,"0"&amp;ROW(A710)-463,ROW(A710)-463))))))</f>
        <v>MAR-0247</v>
      </c>
      <c r="B710" s="39">
        <v>45737</v>
      </c>
      <c r="C710" s="5">
        <v>2</v>
      </c>
      <c r="D710" s="5">
        <v>4</v>
      </c>
      <c r="E710" t="s">
        <v>54</v>
      </c>
      <c r="F710" s="2">
        <v>0.25</v>
      </c>
      <c r="G710" s="2">
        <v>0.5</v>
      </c>
      <c r="H710" s="5">
        <v>1604</v>
      </c>
      <c r="I710" t="s">
        <v>897</v>
      </c>
      <c r="J710" t="s">
        <v>421</v>
      </c>
      <c r="K710" s="5">
        <v>120</v>
      </c>
      <c r="L710" s="5" t="s">
        <v>83</v>
      </c>
      <c r="M710" s="49">
        <v>15.4</v>
      </c>
      <c r="N710" s="6">
        <f>PLANPRODUCCION[[#This Row],[PIEZAS PLANEADAS]]*PLANPRODUCCION[[#This Row],[PRECIO MAQUILAS]]</f>
        <v>1848</v>
      </c>
      <c r="O710" s="5">
        <v>2</v>
      </c>
      <c r="P710" s="2">
        <v>0.25</v>
      </c>
      <c r="Q710" s="2">
        <v>0.5625</v>
      </c>
      <c r="R710" s="5">
        <v>120</v>
      </c>
      <c r="S710" s="7">
        <f>PLANPRODUCCION[[#This Row],[PRECIO MAQUILAS]]*PLANPRODUCCION[[#This Row],[PIEZAS REAL]]</f>
        <v>1848</v>
      </c>
      <c r="T71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150</v>
      </c>
      <c r="U71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744</v>
      </c>
      <c r="V71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71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918</v>
      </c>
      <c r="X710" s="8" t="s">
        <v>602</v>
      </c>
      <c r="Y71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1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10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710" s="13">
        <f>IF(PLANPRODUCCION[[#This Row],[PIEZAS REAL]]&gt;0,PLANPRODUCCION[[#This Row],[PIEZAS REAL]]/PLANPRODUCCION[[#This Row],[PIEZAS ACTUALIZADO]],)</f>
        <v>0.8</v>
      </c>
      <c r="AC710" t="b">
        <f>PLANPRODUCCION[[#This Row],[INGRESO PLANEADO]]&lt;PLANPRODUCCION[[#This Row],[COSTO PLANEADO]]</f>
        <v>0</v>
      </c>
      <c r="AD710" s="46" t="s">
        <v>908</v>
      </c>
      <c r="AF710" t="b">
        <f>IF(COUNTIF(PLANPRODUCCION[[#This Row],[OBSERVACIONES]],"NO APLICA BONO*")&gt;0,TRUE,FALSE)</f>
        <v>0</v>
      </c>
    </row>
    <row r="711" spans="1:32" x14ac:dyDescent="0.25">
      <c r="A711" s="46" t="str">
        <f>UPPER(IF(PLANPRODUCCION[[#This Row],[FECHA]]&lt;=45701,_xlfn.CONCAT(TEXT(B711,"MMM"),"-",IF(ROW(A711)&lt;11,"000"&amp;ROW(A711)-1,IF(ROW(A711)&lt;101,"00"&amp;ROW(A711)-1,IF(ROW(A711)&lt;1001,"0"&amp;ROW(A711)-1,ROW(A711)-1))),"-OLD"),_xlfn.CONCAT(TEXT(B711,"MMM"),"-",IF(ROW(A711)&lt;473,"000"&amp;ROW(A711)-463,IF(ROW(A711)&lt;563,"00"&amp;ROW(A711)-463,IF(ROW(A711)&lt;1001,"0"&amp;ROW(A711)-463,ROW(A711)-463))))))</f>
        <v>MAR-0248</v>
      </c>
      <c r="B711" s="39">
        <v>45737</v>
      </c>
      <c r="C711" s="5">
        <v>2</v>
      </c>
      <c r="D711" s="5">
        <v>5</v>
      </c>
      <c r="E711" t="s">
        <v>54</v>
      </c>
      <c r="F711" s="2">
        <v>0.33333333333333331</v>
      </c>
      <c r="G711" s="2">
        <v>0.66666666666666663</v>
      </c>
      <c r="H711" s="5">
        <v>1605</v>
      </c>
      <c r="I711" t="s">
        <v>894</v>
      </c>
      <c r="J711" t="s">
        <v>895</v>
      </c>
      <c r="K711" s="5">
        <v>480</v>
      </c>
      <c r="L711" s="5" t="s">
        <v>57</v>
      </c>
      <c r="M711" s="48">
        <v>13.19</v>
      </c>
      <c r="N711" s="27">
        <f>PLANPRODUCCION[[#This Row],[PIEZAS PLANEADAS]]*PLANPRODUCCION[[#This Row],[PRECIO MAQUILAS]]</f>
        <v>6331.2</v>
      </c>
      <c r="O711" s="5">
        <v>2</v>
      </c>
      <c r="P711" s="2">
        <v>0.58333333333333337</v>
      </c>
      <c r="Q711" s="2">
        <v>0.66666666666666663</v>
      </c>
      <c r="R711" s="5">
        <v>216</v>
      </c>
      <c r="S711" s="7">
        <f>PLANPRODUCCION[[#This Row],[PRECIO MAQUILAS]]*PLANPRODUCCION[[#This Row],[PIEZAS REAL]]</f>
        <v>2849.04</v>
      </c>
      <c r="T71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120</v>
      </c>
      <c r="U71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992</v>
      </c>
      <c r="V71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71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2601.04</v>
      </c>
      <c r="X711" s="8" t="s">
        <v>602</v>
      </c>
      <c r="Y71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1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1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11" s="13">
        <f>IF(PLANPRODUCCION[[#This Row],[PIEZAS REAL]]&gt;0,PLANPRODUCCION[[#This Row],[PIEZAS REAL]]/PLANPRODUCCION[[#This Row],[PIEZAS ACTUALIZADO]],)</f>
        <v>1.8</v>
      </c>
      <c r="AC711" t="b">
        <f>PLANPRODUCCION[[#This Row],[INGRESO PLANEADO]]&lt;PLANPRODUCCION[[#This Row],[COSTO PLANEADO]]</f>
        <v>0</v>
      </c>
      <c r="AD711" s="46" t="s">
        <v>909</v>
      </c>
      <c r="AF711" t="b">
        <f>IF(COUNTIF(PLANPRODUCCION[[#This Row],[OBSERVACIONES]],"NO APLICA BONO*")&gt;0,TRUE,FALSE)</f>
        <v>0</v>
      </c>
    </row>
    <row r="712" spans="1:32" x14ac:dyDescent="0.25">
      <c r="A712" s="46" t="str">
        <f>UPPER(IF(PLANPRODUCCION[[#This Row],[FECHA]]&lt;=45701,_xlfn.CONCAT(TEXT(B712,"MMM"),"-",IF(ROW(A712)&lt;11,"000"&amp;ROW(A712)-1,IF(ROW(A712)&lt;101,"00"&amp;ROW(A712)-1,IF(ROW(A712)&lt;1001,"0"&amp;ROW(A712)-1,ROW(A712)-1))),"-OLD"),_xlfn.CONCAT(TEXT(B712,"MMM"),"-",IF(ROW(A712)&lt;473,"000"&amp;ROW(A712)-463,IF(ROW(A712)&lt;563,"00"&amp;ROW(A712)-463,IF(ROW(A712)&lt;1001,"0"&amp;ROW(A712)-463,ROW(A712)-463))))))</f>
        <v>MAR-0249</v>
      </c>
      <c r="B712" s="39">
        <v>45737</v>
      </c>
      <c r="C712" s="5">
        <v>1</v>
      </c>
      <c r="D712" s="5">
        <v>7</v>
      </c>
      <c r="E712" t="s">
        <v>110</v>
      </c>
      <c r="F712" s="2">
        <v>0.54166666666666663</v>
      </c>
      <c r="G712" s="2">
        <v>0.875</v>
      </c>
      <c r="H712" s="5">
        <v>1604</v>
      </c>
      <c r="I712" t="s">
        <v>897</v>
      </c>
      <c r="J712" t="s">
        <v>910</v>
      </c>
      <c r="K712" s="41"/>
      <c r="L712" s="5" t="s">
        <v>83</v>
      </c>
      <c r="M712" s="51">
        <v>0</v>
      </c>
      <c r="N712" s="27">
        <f>PLANPRODUCCION[[#This Row],[PIEZAS PLANEADAS]]*PLANPRODUCCION[[#This Row],[PRECIO MAQUILAS]]</f>
        <v>0</v>
      </c>
      <c r="O712" s="5">
        <v>1</v>
      </c>
      <c r="P712" s="2">
        <v>0.54166666666666663</v>
      </c>
      <c r="Q712" s="2">
        <v>0.66666666666666663</v>
      </c>
      <c r="R712" s="5">
        <v>90</v>
      </c>
      <c r="S712" s="7">
        <f>PLANPRODUCCION[[#This Row],[PRECIO MAQUILAS]]*PLANPRODUCCION[[#This Row],[PIEZAS REAL]]</f>
        <v>0</v>
      </c>
      <c r="T71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71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71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232.5</v>
      </c>
      <c r="W71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-232.5</v>
      </c>
      <c r="X712" s="8" t="s">
        <v>602</v>
      </c>
      <c r="Y71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1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1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12" s="13" t="e">
        <f>IF(PLANPRODUCCION[[#This Row],[PIEZAS REAL]]&gt;0,PLANPRODUCCION[[#This Row],[PIEZAS REAL]]/PLANPRODUCCION[[#This Row],[PIEZAS ACTUALIZADO]],)</f>
        <v>#DIV/0!</v>
      </c>
      <c r="AC712" t="b">
        <f>PLANPRODUCCION[[#This Row],[INGRESO PLANEADO]]&lt;PLANPRODUCCION[[#This Row],[COSTO PLANEADO]]</f>
        <v>1</v>
      </c>
      <c r="AD712" s="46" t="s">
        <v>911</v>
      </c>
      <c r="AF712" t="b">
        <f>IF(COUNTIF(PLANPRODUCCION[[#This Row],[OBSERVACIONES]],"NO APLICA BONO*")&gt;0,TRUE,FALSE)</f>
        <v>0</v>
      </c>
    </row>
    <row r="713" spans="1:32" x14ac:dyDescent="0.25">
      <c r="A713" s="46" t="str">
        <f>UPPER(IF(PLANPRODUCCION[[#This Row],[FECHA]]&lt;=45701,_xlfn.CONCAT(TEXT(B713,"MMM"),"-",IF(ROW(A713)&lt;11,"000"&amp;ROW(A713)-1,IF(ROW(A713)&lt;101,"00"&amp;ROW(A713)-1,IF(ROW(A713)&lt;1001,"0"&amp;ROW(A713)-1,ROW(A713)-1))),"-OLD"),_xlfn.CONCAT(TEXT(B713,"MMM"),"-",IF(ROW(A713)&lt;473,"000"&amp;ROW(A713)-463,IF(ROW(A713)&lt;563,"00"&amp;ROW(A713)-463,IF(ROW(A713)&lt;1001,"0"&amp;ROW(A713)-463,ROW(A713)-463))))))</f>
        <v>MAR-0250</v>
      </c>
      <c r="B713" s="39">
        <v>45737</v>
      </c>
      <c r="C713" s="5">
        <v>1</v>
      </c>
      <c r="D713" s="5" t="s">
        <v>62</v>
      </c>
      <c r="E713" t="s">
        <v>72</v>
      </c>
      <c r="F713" s="2">
        <v>0.66666666666666663</v>
      </c>
      <c r="G713" s="2">
        <v>0.875</v>
      </c>
      <c r="H713" s="5">
        <v>1603</v>
      </c>
      <c r="I713" t="s">
        <v>912</v>
      </c>
      <c r="J713" t="s">
        <v>913</v>
      </c>
      <c r="K713" s="5">
        <v>2100</v>
      </c>
      <c r="L713" s="5" t="s">
        <v>65</v>
      </c>
      <c r="M713" s="49">
        <v>1.4</v>
      </c>
      <c r="N713" s="6">
        <f>PLANPRODUCCION[[#This Row],[PIEZAS PLANEADAS]]*PLANPRODUCCION[[#This Row],[PRECIO MAQUILAS]]</f>
        <v>2940</v>
      </c>
      <c r="O713" s="5">
        <v>1</v>
      </c>
      <c r="P713" s="2">
        <v>0.66666666666666663</v>
      </c>
      <c r="Q713" s="2">
        <v>0.875</v>
      </c>
      <c r="R713" s="5">
        <v>1714</v>
      </c>
      <c r="S713" s="7">
        <f>PLANPRODUCCION[[#This Row],[PRECIO MAQUILAS]]*PLANPRODUCCION[[#This Row],[PIEZAS REAL]]</f>
        <v>2399.6</v>
      </c>
      <c r="T71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2100</v>
      </c>
      <c r="U71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310</v>
      </c>
      <c r="V71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71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2089.6</v>
      </c>
      <c r="X713" s="8" t="s">
        <v>602</v>
      </c>
      <c r="Y71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1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1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13" s="13">
        <f>IF(PLANPRODUCCION[[#This Row],[PIEZAS REAL]]&gt;0,PLANPRODUCCION[[#This Row],[PIEZAS REAL]]/PLANPRODUCCION[[#This Row],[PIEZAS ACTUALIZADO]],)</f>
        <v>0.81619047619047624</v>
      </c>
      <c r="AC713" t="b">
        <f>PLANPRODUCCION[[#This Row],[INGRESO PLANEADO]]&lt;PLANPRODUCCION[[#This Row],[COSTO PLANEADO]]</f>
        <v>0</v>
      </c>
      <c r="AD713" s="46" t="s">
        <v>914</v>
      </c>
      <c r="AF713" t="b">
        <f>IF(COUNTIF(PLANPRODUCCION[[#This Row],[OBSERVACIONES]],"NO APLICA BONO*")&gt;0,TRUE,FALSE)</f>
        <v>0</v>
      </c>
    </row>
    <row r="714" spans="1:32" x14ac:dyDescent="0.25">
      <c r="A714" s="46" t="str">
        <f>UPPER(IF(PLANPRODUCCION[[#This Row],[FECHA]]&lt;=45701,_xlfn.CONCAT(TEXT(B714,"MMM"),"-",IF(ROW(A714)&lt;11,"000"&amp;ROW(A714)-1,IF(ROW(A714)&lt;101,"00"&amp;ROW(A714)-1,IF(ROW(A714)&lt;1001,"0"&amp;ROW(A714)-1,ROW(A714)-1))),"-OLD"),_xlfn.CONCAT(TEXT(B714,"MMM"),"-",IF(ROW(A714)&lt;473,"000"&amp;ROW(A714)-463,IF(ROW(A714)&lt;563,"00"&amp;ROW(A714)-463,IF(ROW(A714)&lt;1001,"0"&amp;ROW(A714)-463,ROW(A714)-463))))))</f>
        <v>MAR-0251</v>
      </c>
      <c r="B714" s="39">
        <v>45737</v>
      </c>
      <c r="C714" s="5">
        <v>1</v>
      </c>
      <c r="D714" s="5">
        <v>6</v>
      </c>
      <c r="E714" t="s">
        <v>72</v>
      </c>
      <c r="F714" s="2">
        <v>0.66666666666666663</v>
      </c>
      <c r="G714" s="2">
        <v>0.875</v>
      </c>
      <c r="H714" s="5">
        <v>1604</v>
      </c>
      <c r="I714" t="s">
        <v>897</v>
      </c>
      <c r="J714" t="s">
        <v>910</v>
      </c>
      <c r="K714" s="41"/>
      <c r="L714" s="5" t="s">
        <v>83</v>
      </c>
      <c r="M714" s="51">
        <v>0</v>
      </c>
      <c r="N714" s="6">
        <f>PLANPRODUCCION[[#This Row],[PIEZAS PLANEADAS]]*PLANPRODUCCION[[#This Row],[PRECIO MAQUILAS]]</f>
        <v>0</v>
      </c>
      <c r="O714" s="5">
        <v>2</v>
      </c>
      <c r="P714" s="2">
        <v>0.66666666666666663</v>
      </c>
      <c r="Q714" s="2">
        <v>0.875</v>
      </c>
      <c r="R714" s="5">
        <v>152</v>
      </c>
      <c r="S714" s="7">
        <f>PLANPRODUCCION[[#This Row],[PRECIO MAQUILAS]]*PLANPRODUCCION[[#This Row],[PIEZAS REAL]]</f>
        <v>0</v>
      </c>
      <c r="T71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71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310</v>
      </c>
      <c r="V71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71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-620</v>
      </c>
      <c r="X714" s="8" t="s">
        <v>602</v>
      </c>
      <c r="Y71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1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1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14" s="13" t="e">
        <f>IF(PLANPRODUCCION[[#This Row],[PIEZAS REAL]]&gt;0,PLANPRODUCCION[[#This Row],[PIEZAS REAL]]/PLANPRODUCCION[[#This Row],[PIEZAS ACTUALIZADO]],)</f>
        <v>#DIV/0!</v>
      </c>
      <c r="AC714" t="b">
        <f>PLANPRODUCCION[[#This Row],[INGRESO PLANEADO]]&lt;PLANPRODUCCION[[#This Row],[COSTO PLANEADO]]</f>
        <v>1</v>
      </c>
      <c r="AD714" s="46" t="s">
        <v>915</v>
      </c>
      <c r="AF714" t="b">
        <f>IF(COUNTIF(PLANPRODUCCION[[#This Row],[OBSERVACIONES]],"NO APLICA BONO*")&gt;0,TRUE,FALSE)</f>
        <v>0</v>
      </c>
    </row>
    <row r="715" spans="1:32" x14ac:dyDescent="0.25">
      <c r="A715" s="46" t="str">
        <f>UPPER(IF(PLANPRODUCCION[[#This Row],[FECHA]]&lt;=45701,_xlfn.CONCAT(TEXT(B715,"MMM"),"-",IF(ROW(A715)&lt;11,"000"&amp;ROW(A715)-1,IF(ROW(A715)&lt;101,"00"&amp;ROW(A715)-1,IF(ROW(A715)&lt;1001,"0"&amp;ROW(A715)-1,ROW(A715)-1))),"-OLD"),_xlfn.CONCAT(TEXT(B715,"MMM"),"-",IF(ROW(A715)&lt;473,"000"&amp;ROW(A715)-463,IF(ROW(A715)&lt;563,"00"&amp;ROW(A715)-463,IF(ROW(A715)&lt;1001,"0"&amp;ROW(A715)-463,ROW(A715)-463))))))</f>
        <v>MAR-0252</v>
      </c>
      <c r="B715" s="39">
        <v>45740</v>
      </c>
      <c r="C715" s="5">
        <v>4</v>
      </c>
      <c r="D715" s="5">
        <v>13</v>
      </c>
      <c r="E715" t="s">
        <v>54</v>
      </c>
      <c r="F715" s="2">
        <v>0.33333333333333331</v>
      </c>
      <c r="G715" s="2">
        <v>0.66666666666666663</v>
      </c>
      <c r="H715" s="5">
        <v>1605</v>
      </c>
      <c r="I715" t="s">
        <v>894</v>
      </c>
      <c r="J715" t="s">
        <v>895</v>
      </c>
      <c r="K715" s="5">
        <v>480</v>
      </c>
      <c r="L715" s="5" t="s">
        <v>57</v>
      </c>
      <c r="M715" s="48">
        <v>13.19</v>
      </c>
      <c r="N715" s="6">
        <f>PLANPRODUCCION[[#This Row],[PIEZAS PLANEADAS]]*PLANPRODUCCION[[#This Row],[PRECIO MAQUILAS]]</f>
        <v>6331.2</v>
      </c>
      <c r="O715" s="5">
        <v>4</v>
      </c>
      <c r="P715" s="2">
        <v>0.33333333333333331</v>
      </c>
      <c r="Q715" s="2">
        <v>0.66666666666666663</v>
      </c>
      <c r="R715" s="5">
        <v>378</v>
      </c>
      <c r="S715" s="7">
        <f>PLANPRODUCCION[[#This Row],[PRECIO MAQUILAS]]*PLANPRODUCCION[[#This Row],[PIEZAS REAL]]</f>
        <v>4985.82</v>
      </c>
      <c r="T71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480</v>
      </c>
      <c r="U71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1984</v>
      </c>
      <c r="V71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1984</v>
      </c>
      <c r="W71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3001.8199999999997</v>
      </c>
      <c r="X715" s="8" t="s">
        <v>602</v>
      </c>
      <c r="Y71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1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1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15" s="13">
        <f>IF(PLANPRODUCCION[[#This Row],[PIEZAS REAL]]&gt;0,PLANPRODUCCION[[#This Row],[PIEZAS REAL]]/PLANPRODUCCION[[#This Row],[PIEZAS ACTUALIZADO]],)</f>
        <v>0.78749999999999998</v>
      </c>
      <c r="AC715" t="b">
        <f>PLANPRODUCCION[[#This Row],[INGRESO PLANEADO]]&lt;PLANPRODUCCION[[#This Row],[COSTO PLANEADO]]</f>
        <v>0</v>
      </c>
      <c r="AD715" s="46" t="s">
        <v>916</v>
      </c>
      <c r="AF715" t="b">
        <f>IF(COUNTIF(PLANPRODUCCION[[#This Row],[OBSERVACIONES]],"NO APLICA BONO*")&gt;0,TRUE,FALSE)</f>
        <v>0</v>
      </c>
    </row>
    <row r="716" spans="1:32" x14ac:dyDescent="0.25">
      <c r="A716" s="46" t="str">
        <f>UPPER(IF(PLANPRODUCCION[[#This Row],[FECHA]]&lt;=45701,_xlfn.CONCAT(TEXT(B716,"MMM"),"-",IF(ROW(A716)&lt;11,"000"&amp;ROW(A716)-1,IF(ROW(A716)&lt;101,"00"&amp;ROW(A716)-1,IF(ROW(A716)&lt;1001,"0"&amp;ROW(A716)-1,ROW(A716)-1))),"-OLD"),_xlfn.CONCAT(TEXT(B716,"MMM"),"-",IF(ROW(A716)&lt;473,"000"&amp;ROW(A716)-463,IF(ROW(A716)&lt;563,"00"&amp;ROW(A716)-463,IF(ROW(A716)&lt;1001,"0"&amp;ROW(A716)-463,ROW(A716)-463))))))</f>
        <v>MAR-0253</v>
      </c>
      <c r="B716" s="39">
        <v>45740</v>
      </c>
      <c r="C716" s="5">
        <v>2</v>
      </c>
      <c r="D716" s="5" t="s">
        <v>62</v>
      </c>
      <c r="E716" t="s">
        <v>54</v>
      </c>
      <c r="F716" s="2">
        <v>0.25</v>
      </c>
      <c r="G716" s="2">
        <v>0.66666666666666663</v>
      </c>
      <c r="H716" s="5">
        <v>1603</v>
      </c>
      <c r="I716" t="s">
        <v>912</v>
      </c>
      <c r="J716" t="s">
        <v>773</v>
      </c>
      <c r="K716" s="5">
        <v>5000</v>
      </c>
      <c r="L716" s="5" t="s">
        <v>65</v>
      </c>
      <c r="M716" s="49">
        <v>1.4</v>
      </c>
      <c r="N716" s="6">
        <f>PLANPRODUCCION[[#This Row],[PIEZAS PLANEADAS]]*PLANPRODUCCION[[#This Row],[PRECIO MAQUILAS]]</f>
        <v>7000</v>
      </c>
      <c r="O716" s="5">
        <v>2</v>
      </c>
      <c r="P716" s="2">
        <v>0.25</v>
      </c>
      <c r="Q716" s="2">
        <v>0.66666666666666663</v>
      </c>
      <c r="R716" s="5">
        <v>5880</v>
      </c>
      <c r="S716" s="7">
        <f>PLANPRODUCCION[[#This Row],[PRECIO MAQUILAS]]*PLANPRODUCCION[[#This Row],[PIEZAS REAL]]</f>
        <v>8232</v>
      </c>
      <c r="T71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5000</v>
      </c>
      <c r="U71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71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71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6992</v>
      </c>
      <c r="X716" s="8" t="s">
        <v>602</v>
      </c>
      <c r="Y716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1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1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16" s="13">
        <f>IF(PLANPRODUCCION[[#This Row],[PIEZAS REAL]]&gt;0,PLANPRODUCCION[[#This Row],[PIEZAS REAL]]/PLANPRODUCCION[[#This Row],[PIEZAS ACTUALIZADO]],)</f>
        <v>1.1759999999999999</v>
      </c>
      <c r="AC716" t="b">
        <f>PLANPRODUCCION[[#This Row],[INGRESO PLANEADO]]&lt;PLANPRODUCCION[[#This Row],[COSTO PLANEADO]]</f>
        <v>0</v>
      </c>
      <c r="AD716" s="46" t="s">
        <v>917</v>
      </c>
      <c r="AF716" t="b">
        <f>IF(COUNTIF(PLANPRODUCCION[[#This Row],[OBSERVACIONES]],"NO APLICA BONO*")&gt;0,TRUE,FALSE)</f>
        <v>0</v>
      </c>
    </row>
    <row r="717" spans="1:32" x14ac:dyDescent="0.25">
      <c r="A717" s="46" t="str">
        <f>UPPER(IF(PLANPRODUCCION[[#This Row],[FECHA]]&lt;=45701,_xlfn.CONCAT(TEXT(B717,"MMM"),"-",IF(ROW(A717)&lt;11,"000"&amp;ROW(A717)-1,IF(ROW(A717)&lt;101,"00"&amp;ROW(A717)-1,IF(ROW(A717)&lt;1001,"0"&amp;ROW(A717)-1,ROW(A717)-1))),"-OLD"),_xlfn.CONCAT(TEXT(B717,"MMM"),"-",IF(ROW(A717)&lt;473,"000"&amp;ROW(A717)-463,IF(ROW(A717)&lt;563,"00"&amp;ROW(A717)-463,IF(ROW(A717)&lt;1001,"0"&amp;ROW(A717)-463,ROW(A717)-463))))))</f>
        <v>MAR-0254</v>
      </c>
      <c r="B717" s="39">
        <v>45740</v>
      </c>
      <c r="C717" s="5">
        <v>4</v>
      </c>
      <c r="D717" s="5">
        <v>1</v>
      </c>
      <c r="E717" t="s">
        <v>54</v>
      </c>
      <c r="F717" s="2">
        <v>0.25</v>
      </c>
      <c r="G717" s="2">
        <v>0.375</v>
      </c>
      <c r="H717" s="5">
        <v>1604</v>
      </c>
      <c r="I717" t="s">
        <v>897</v>
      </c>
      <c r="J717" t="s">
        <v>910</v>
      </c>
      <c r="K717" s="41"/>
      <c r="L717" s="5" t="s">
        <v>83</v>
      </c>
      <c r="M717" s="51">
        <v>0</v>
      </c>
      <c r="N717" s="6">
        <f>PLANPRODUCCION[[#This Row],[PIEZAS PLANEADAS]]*PLANPRODUCCION[[#This Row],[PRECIO MAQUILAS]]</f>
        <v>0</v>
      </c>
      <c r="O717" s="5">
        <v>0</v>
      </c>
      <c r="P717" s="2">
        <v>0</v>
      </c>
      <c r="Q717" s="2">
        <v>0</v>
      </c>
      <c r="R717" s="5">
        <v>0</v>
      </c>
      <c r="S717" s="7">
        <f>PLANPRODUCCION[[#This Row],[PRECIO MAQUILAS]]*PLANPRODUCCION[[#This Row],[PIEZAS REAL]]</f>
        <v>0</v>
      </c>
      <c r="T71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71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1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71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717" s="8" t="s">
        <v>602</v>
      </c>
      <c r="Y717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71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717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717" s="13">
        <f>IF(PLANPRODUCCION[[#This Row],[PIEZAS REAL]]&gt;0,PLANPRODUCCION[[#This Row],[PIEZAS REAL]]/PLANPRODUCCION[[#This Row],[PIEZAS ACTUALIZADO]],)</f>
        <v>0</v>
      </c>
      <c r="AC717" t="b">
        <f>PLANPRODUCCION[[#This Row],[INGRESO PLANEADO]]&lt;PLANPRODUCCION[[#This Row],[COSTO PLANEADO]]</f>
        <v>0</v>
      </c>
      <c r="AD717" s="46" t="s">
        <v>918</v>
      </c>
      <c r="AF717" t="b">
        <f>IF(COUNTIF(PLANPRODUCCION[[#This Row],[OBSERVACIONES]],"NO APLICA BONO*")&gt;0,TRUE,FALSE)</f>
        <v>0</v>
      </c>
    </row>
    <row r="718" spans="1:32" x14ac:dyDescent="0.25">
      <c r="A718" s="46" t="str">
        <f>UPPER(IF(PLANPRODUCCION[[#This Row],[FECHA]]&lt;=45701,_xlfn.CONCAT(TEXT(B718,"MMM"),"-",IF(ROW(A718)&lt;11,"000"&amp;ROW(A718)-1,IF(ROW(A718)&lt;101,"00"&amp;ROW(A718)-1,IF(ROW(A718)&lt;1001,"0"&amp;ROW(A718)-1,ROW(A718)-1))),"-OLD"),_xlfn.CONCAT(TEXT(B718,"MMM"),"-",IF(ROW(A718)&lt;473,"000"&amp;ROW(A718)-463,IF(ROW(A718)&lt;563,"00"&amp;ROW(A718)-463,IF(ROW(A718)&lt;1001,"0"&amp;ROW(A718)-463,ROW(A718)-463))))))</f>
        <v>MAR-0255</v>
      </c>
      <c r="B718" s="39">
        <v>45740</v>
      </c>
      <c r="C718" s="5">
        <v>4</v>
      </c>
      <c r="D718" s="5">
        <v>1</v>
      </c>
      <c r="E718" t="s">
        <v>54</v>
      </c>
      <c r="F718" s="2">
        <v>0.375</v>
      </c>
      <c r="G718" s="2">
        <v>0.66666666666666663</v>
      </c>
      <c r="H718" s="5">
        <v>1603</v>
      </c>
      <c r="I718" t="s">
        <v>912</v>
      </c>
      <c r="J718" t="s">
        <v>89</v>
      </c>
      <c r="K718" s="5">
        <v>2800</v>
      </c>
      <c r="L718" s="5" t="s">
        <v>57</v>
      </c>
      <c r="M718" s="49">
        <v>0.75</v>
      </c>
      <c r="N718" s="6">
        <f>PLANPRODUCCION[[#This Row],[PIEZAS PLANEADAS]]*PLANPRODUCCION[[#This Row],[PRECIO MAQUILAS]]</f>
        <v>2100</v>
      </c>
      <c r="O718" s="5">
        <v>2</v>
      </c>
      <c r="P718" s="2">
        <v>0.375</v>
      </c>
      <c r="Q718" s="2">
        <v>0.66666666666666663</v>
      </c>
      <c r="R718" s="5">
        <v>2160</v>
      </c>
      <c r="S718" s="7">
        <f>PLANPRODUCCION[[#This Row],[PRECIO MAQUILAS]]*PLANPRODUCCION[[#This Row],[PIEZAS REAL]]</f>
        <v>1620</v>
      </c>
      <c r="T71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1400</v>
      </c>
      <c r="U71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1736</v>
      </c>
      <c r="V71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868</v>
      </c>
      <c r="W71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752</v>
      </c>
      <c r="X718" s="8" t="s">
        <v>602</v>
      </c>
      <c r="Y71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1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1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18" s="13">
        <f>IF(PLANPRODUCCION[[#This Row],[PIEZAS REAL]]&gt;0,PLANPRODUCCION[[#This Row],[PIEZAS REAL]]/PLANPRODUCCION[[#This Row],[PIEZAS ACTUALIZADO]],)</f>
        <v>1.5428571428571429</v>
      </c>
      <c r="AC718" t="b">
        <f>PLANPRODUCCION[[#This Row],[INGRESO PLANEADO]]&lt;PLANPRODUCCION[[#This Row],[COSTO PLANEADO]]</f>
        <v>0</v>
      </c>
      <c r="AD718" s="46" t="s">
        <v>919</v>
      </c>
      <c r="AF718" t="b">
        <f>IF(COUNTIF(PLANPRODUCCION[[#This Row],[OBSERVACIONES]],"NO APLICA BONO*")&gt;0,TRUE,FALSE)</f>
        <v>0</v>
      </c>
    </row>
    <row r="719" spans="1:32" x14ac:dyDescent="0.25">
      <c r="A719" s="46" t="str">
        <f>UPPER(IF(PLANPRODUCCION[[#This Row],[FECHA]]&lt;=45701,_xlfn.CONCAT(TEXT(B719,"MMM"),"-",IF(ROW(A719)&lt;11,"000"&amp;ROW(A719)-1,IF(ROW(A719)&lt;101,"00"&amp;ROW(A719)-1,IF(ROW(A719)&lt;1001,"0"&amp;ROW(A719)-1,ROW(A719)-1))),"-OLD"),_xlfn.CONCAT(TEXT(B719,"MMM"),"-",IF(ROW(A719)&lt;473,"000"&amp;ROW(A719)-463,IF(ROW(A719)&lt;563,"00"&amp;ROW(A719)-463,IF(ROW(A719)&lt;1001,"0"&amp;ROW(A719)-463,ROW(A719)-463))))))</f>
        <v>MAR-0256</v>
      </c>
      <c r="B719" s="39">
        <v>45740</v>
      </c>
      <c r="C719" s="5">
        <v>4</v>
      </c>
      <c r="D719" s="5">
        <v>2</v>
      </c>
      <c r="E719" t="s">
        <v>54</v>
      </c>
      <c r="F719" s="2">
        <v>0.25</v>
      </c>
      <c r="G719" s="2">
        <v>0.375</v>
      </c>
      <c r="H719" s="5">
        <v>1604</v>
      </c>
      <c r="I719" t="s">
        <v>897</v>
      </c>
      <c r="J719" t="s">
        <v>910</v>
      </c>
      <c r="K719" s="41"/>
      <c r="L719" s="5" t="s">
        <v>83</v>
      </c>
      <c r="M719" s="51">
        <v>0</v>
      </c>
      <c r="N719" s="6">
        <f>PLANPRODUCCION[[#This Row],[PIEZAS PLANEADAS]]*PLANPRODUCCION[[#This Row],[PRECIO MAQUILAS]]</f>
        <v>0</v>
      </c>
      <c r="O719" s="5">
        <v>0</v>
      </c>
      <c r="P719" s="2">
        <v>0</v>
      </c>
      <c r="Q719" s="2">
        <v>0</v>
      </c>
      <c r="R719" s="5">
        <v>0</v>
      </c>
      <c r="S719" s="7">
        <f>PLANPRODUCCION[[#This Row],[PRECIO MAQUILAS]]*PLANPRODUCCION[[#This Row],[PIEZAS REAL]]</f>
        <v>0</v>
      </c>
      <c r="T71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71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1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71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719" s="8" t="s">
        <v>602</v>
      </c>
      <c r="Y719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71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719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719" s="13">
        <f>IF(PLANPRODUCCION[[#This Row],[PIEZAS REAL]]&gt;0,PLANPRODUCCION[[#This Row],[PIEZAS REAL]]/PLANPRODUCCION[[#This Row],[PIEZAS ACTUALIZADO]],)</f>
        <v>0</v>
      </c>
      <c r="AC719" t="b">
        <f>PLANPRODUCCION[[#This Row],[INGRESO PLANEADO]]&lt;PLANPRODUCCION[[#This Row],[COSTO PLANEADO]]</f>
        <v>0</v>
      </c>
      <c r="AD719" s="46" t="s">
        <v>920</v>
      </c>
      <c r="AF719" t="b">
        <f>IF(COUNTIF(PLANPRODUCCION[[#This Row],[OBSERVACIONES]],"NO APLICA BONO*")&gt;0,TRUE,FALSE)</f>
        <v>0</v>
      </c>
    </row>
    <row r="720" spans="1:32" x14ac:dyDescent="0.25">
      <c r="A720" s="46" t="str">
        <f>UPPER(IF(PLANPRODUCCION[[#This Row],[FECHA]]&lt;=45701,_xlfn.CONCAT(TEXT(B720,"MMM"),"-",IF(ROW(A720)&lt;11,"000"&amp;ROW(A720)-1,IF(ROW(A720)&lt;101,"00"&amp;ROW(A720)-1,IF(ROW(A720)&lt;1001,"0"&amp;ROW(A720)-1,ROW(A720)-1))),"-OLD"),_xlfn.CONCAT(TEXT(B720,"MMM"),"-",IF(ROW(A720)&lt;473,"000"&amp;ROW(A720)-463,IF(ROW(A720)&lt;563,"00"&amp;ROW(A720)-463,IF(ROW(A720)&lt;1001,"0"&amp;ROW(A720)-463,ROW(A720)-463))))))</f>
        <v>MAR-0257</v>
      </c>
      <c r="B720" s="39">
        <v>45740</v>
      </c>
      <c r="C720" s="5">
        <v>4</v>
      </c>
      <c r="D720" s="5">
        <v>2</v>
      </c>
      <c r="E720" t="s">
        <v>54</v>
      </c>
      <c r="F720" s="2">
        <v>0.375</v>
      </c>
      <c r="G720" s="2">
        <v>0.66666666666666663</v>
      </c>
      <c r="H720" s="5">
        <v>1603</v>
      </c>
      <c r="I720" t="s">
        <v>912</v>
      </c>
      <c r="J720" t="s">
        <v>89</v>
      </c>
      <c r="K720" s="5">
        <v>2800</v>
      </c>
      <c r="L720" s="5" t="s">
        <v>57</v>
      </c>
      <c r="M720" s="49">
        <v>0.75</v>
      </c>
      <c r="N720" s="6">
        <f>PLANPRODUCCION[[#This Row],[PIEZAS PLANEADAS]]*PLANPRODUCCION[[#This Row],[PRECIO MAQUILAS]]</f>
        <v>2100</v>
      </c>
      <c r="O720" s="5">
        <v>3</v>
      </c>
      <c r="P720" s="2">
        <v>0.375</v>
      </c>
      <c r="Q720" s="2">
        <v>0.66666666666666663</v>
      </c>
      <c r="R720" s="5">
        <v>2235</v>
      </c>
      <c r="S720" s="7">
        <f>PLANPRODUCCION[[#This Row],[PRECIO MAQUILAS]]*PLANPRODUCCION[[#This Row],[PIEZAS REAL]]</f>
        <v>1676.25</v>
      </c>
      <c r="T72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2100</v>
      </c>
      <c r="U72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1736</v>
      </c>
      <c r="V72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1302</v>
      </c>
      <c r="W72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374.25</v>
      </c>
      <c r="X720" s="8" t="s">
        <v>602</v>
      </c>
      <c r="Y72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2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2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20" s="13">
        <f>IF(PLANPRODUCCION[[#This Row],[PIEZAS REAL]]&gt;0,PLANPRODUCCION[[#This Row],[PIEZAS REAL]]/PLANPRODUCCION[[#This Row],[PIEZAS ACTUALIZADO]],)</f>
        <v>1.0642857142857143</v>
      </c>
      <c r="AC720" t="b">
        <f>PLANPRODUCCION[[#This Row],[INGRESO PLANEADO]]&lt;PLANPRODUCCION[[#This Row],[COSTO PLANEADO]]</f>
        <v>0</v>
      </c>
      <c r="AD720" s="46" t="s">
        <v>921</v>
      </c>
      <c r="AF720" t="b">
        <f>IF(COUNTIF(PLANPRODUCCION[[#This Row],[OBSERVACIONES]],"NO APLICA BONO*")&gt;0,TRUE,FALSE)</f>
        <v>0</v>
      </c>
    </row>
    <row r="721" spans="1:32" x14ac:dyDescent="0.25">
      <c r="A721" s="46" t="str">
        <f>UPPER(IF(PLANPRODUCCION[[#This Row],[FECHA]]&lt;=45701,_xlfn.CONCAT(TEXT(B721,"MMM"),"-",IF(ROW(A721)&lt;11,"000"&amp;ROW(A721)-1,IF(ROW(A721)&lt;101,"00"&amp;ROW(A721)-1,IF(ROW(A721)&lt;1001,"0"&amp;ROW(A721)-1,ROW(A721)-1))),"-OLD"),_xlfn.CONCAT(TEXT(B721,"MMM"),"-",IF(ROW(A721)&lt;473,"000"&amp;ROW(A721)-463,IF(ROW(A721)&lt;563,"00"&amp;ROW(A721)-463,IF(ROW(A721)&lt;1001,"0"&amp;ROW(A721)-463,ROW(A721)-463))))))</f>
        <v>MAR-0258</v>
      </c>
      <c r="B721" s="40">
        <v>45740</v>
      </c>
      <c r="C721" s="30">
        <v>2</v>
      </c>
      <c r="D721" s="30">
        <v>3</v>
      </c>
      <c r="E721" s="28" t="s">
        <v>110</v>
      </c>
      <c r="F721" s="29">
        <v>0.54166666666666663</v>
      </c>
      <c r="G721" s="29">
        <v>0.875</v>
      </c>
      <c r="H721" s="30">
        <v>1603</v>
      </c>
      <c r="I721" s="28" t="s">
        <v>922</v>
      </c>
      <c r="J721" s="28" t="s">
        <v>445</v>
      </c>
      <c r="K721" s="30">
        <v>1050</v>
      </c>
      <c r="L721" s="30" t="s">
        <v>57</v>
      </c>
      <c r="M721" s="31">
        <v>1.2</v>
      </c>
      <c r="N721" s="6">
        <f>PLANPRODUCCION[[#This Row],[PIEZAS PLANEADAS]]*PLANPRODUCCION[[#This Row],[PRECIO MAQUILAS]]</f>
        <v>1260</v>
      </c>
      <c r="O721" s="30">
        <v>1</v>
      </c>
      <c r="P721" s="29">
        <v>0.54166666666666663</v>
      </c>
      <c r="Q721" s="29">
        <v>0.875</v>
      </c>
      <c r="R721" s="30">
        <v>720</v>
      </c>
      <c r="S721" s="7">
        <f>PLANPRODUCCION[[#This Row],[PRECIO MAQUILAS]]*PLANPRODUCCION[[#This Row],[PIEZAS REAL]]</f>
        <v>864</v>
      </c>
      <c r="T72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525</v>
      </c>
      <c r="U72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72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72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244</v>
      </c>
      <c r="X721" s="8" t="s">
        <v>602</v>
      </c>
      <c r="Y72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2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2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21" s="13">
        <f>IF(PLANPRODUCCION[[#This Row],[PIEZAS REAL]]&gt;0,PLANPRODUCCION[[#This Row],[PIEZAS REAL]]/PLANPRODUCCION[[#This Row],[PIEZAS ACTUALIZADO]],)</f>
        <v>1.3714285714285714</v>
      </c>
      <c r="AC721" t="b">
        <f>PLANPRODUCCION[[#This Row],[INGRESO PLANEADO]]&lt;PLANPRODUCCION[[#This Row],[COSTO PLANEADO]]</f>
        <v>0</v>
      </c>
      <c r="AD721" s="46" t="s">
        <v>923</v>
      </c>
      <c r="AE721" s="28"/>
      <c r="AF721" t="b">
        <f>IF(COUNTIF(PLANPRODUCCION[[#This Row],[OBSERVACIONES]],"NO APLICA BONO*")&gt;0,TRUE,FALSE)</f>
        <v>0</v>
      </c>
    </row>
    <row r="722" spans="1:32" x14ac:dyDescent="0.25">
      <c r="A722" s="46" t="str">
        <f>UPPER(IF(PLANPRODUCCION[[#This Row],[FECHA]]&lt;=45701,_xlfn.CONCAT(TEXT(B722,"MMM"),"-",IF(ROW(A722)&lt;11,"000"&amp;ROW(A722)-1,IF(ROW(A722)&lt;101,"00"&amp;ROW(A722)-1,IF(ROW(A722)&lt;1001,"0"&amp;ROW(A722)-1,ROW(A722)-1))),"-OLD"),_xlfn.CONCAT(TEXT(B722,"MMM"),"-",IF(ROW(A722)&lt;473,"000"&amp;ROW(A722)-463,IF(ROW(A722)&lt;563,"00"&amp;ROW(A722)-463,IF(ROW(A722)&lt;1001,"0"&amp;ROW(A722)-463,ROW(A722)-463))))))</f>
        <v>MAR-0259</v>
      </c>
      <c r="B722" s="40">
        <v>45740</v>
      </c>
      <c r="C722" s="30">
        <v>2</v>
      </c>
      <c r="D722" s="30">
        <v>4</v>
      </c>
      <c r="E722" s="28" t="s">
        <v>72</v>
      </c>
      <c r="F722" s="29">
        <v>0.66666666666666663</v>
      </c>
      <c r="G722" s="29">
        <v>0.875</v>
      </c>
      <c r="H722" s="30">
        <v>1603</v>
      </c>
      <c r="I722" s="28" t="s">
        <v>922</v>
      </c>
      <c r="J722" s="28" t="s">
        <v>445</v>
      </c>
      <c r="K722" s="30">
        <v>525</v>
      </c>
      <c r="L722" s="30" t="s">
        <v>57</v>
      </c>
      <c r="M722" s="31">
        <v>1.2</v>
      </c>
      <c r="N722" s="6">
        <f>PLANPRODUCCION[[#This Row],[PIEZAS PLANEADAS]]*PLANPRODUCCION[[#This Row],[PRECIO MAQUILAS]]</f>
        <v>630</v>
      </c>
      <c r="O722" s="30">
        <v>3</v>
      </c>
      <c r="P722" s="29">
        <v>0.66666666666666663</v>
      </c>
      <c r="Q722" s="29">
        <v>0.875</v>
      </c>
      <c r="R722" s="30">
        <v>780</v>
      </c>
      <c r="S722" s="7">
        <f>PLANPRODUCCION[[#This Row],[PRECIO MAQUILAS]]*PLANPRODUCCION[[#This Row],[PIEZAS REAL]]</f>
        <v>936</v>
      </c>
      <c r="T72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788</v>
      </c>
      <c r="U72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72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72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</v>
      </c>
      <c r="X722" s="8" t="s">
        <v>602</v>
      </c>
      <c r="Y72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2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2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22" s="13">
        <f>IF(PLANPRODUCCION[[#This Row],[PIEZAS REAL]]&gt;0,PLANPRODUCCION[[#This Row],[PIEZAS REAL]]/PLANPRODUCCION[[#This Row],[PIEZAS ACTUALIZADO]],)</f>
        <v>0.98984771573604058</v>
      </c>
      <c r="AC722" t="b">
        <f>PLANPRODUCCION[[#This Row],[INGRESO PLANEADO]]&lt;PLANPRODUCCION[[#This Row],[COSTO PLANEADO]]</f>
        <v>0</v>
      </c>
      <c r="AD722" s="46" t="s">
        <v>924</v>
      </c>
      <c r="AE722" s="28"/>
      <c r="AF722" t="b">
        <f>IF(COUNTIF(PLANPRODUCCION[[#This Row],[OBSERVACIONES]],"NO APLICA BONO*")&gt;0,TRUE,FALSE)</f>
        <v>0</v>
      </c>
    </row>
    <row r="723" spans="1:32" x14ac:dyDescent="0.25">
      <c r="A723" s="46" t="str">
        <f>UPPER(IF(PLANPRODUCCION[[#This Row],[FECHA]]&lt;=45701,_xlfn.CONCAT(TEXT(B723,"MMM"),"-",IF(ROW(A723)&lt;11,"000"&amp;ROW(A723)-1,IF(ROW(A723)&lt;101,"00"&amp;ROW(A723)-1,IF(ROW(A723)&lt;1001,"0"&amp;ROW(A723)-1,ROW(A723)-1))),"-OLD"),_xlfn.CONCAT(TEXT(B723,"MMM"),"-",IF(ROW(A723)&lt;473,"000"&amp;ROW(A723)-463,IF(ROW(A723)&lt;563,"00"&amp;ROW(A723)-463,IF(ROW(A723)&lt;1001,"0"&amp;ROW(A723)-463,ROW(A723)-463))))))</f>
        <v>MAR-0260</v>
      </c>
      <c r="B723" s="40">
        <v>45741</v>
      </c>
      <c r="C723" s="30">
        <v>3</v>
      </c>
      <c r="D723" s="30">
        <v>13</v>
      </c>
      <c r="E723" s="28" t="s">
        <v>54</v>
      </c>
      <c r="F723" s="2">
        <v>0.33333333333333331</v>
      </c>
      <c r="G723" s="29">
        <v>0.66666666666666663</v>
      </c>
      <c r="H723" s="30">
        <v>1605</v>
      </c>
      <c r="I723" s="28" t="s">
        <v>894</v>
      </c>
      <c r="J723" t="s">
        <v>895</v>
      </c>
      <c r="K723" s="30">
        <v>480</v>
      </c>
      <c r="L723" s="30" t="s">
        <v>57</v>
      </c>
      <c r="M723" s="48">
        <v>13.19</v>
      </c>
      <c r="N723" s="6">
        <f>PLANPRODUCCION[[#This Row],[PIEZAS PLANEADAS]]*PLANPRODUCCION[[#This Row],[PRECIO MAQUILAS]]</f>
        <v>6331.2</v>
      </c>
      <c r="O723" s="30">
        <v>3</v>
      </c>
      <c r="P723" s="29">
        <v>0.33333333333333331</v>
      </c>
      <c r="Q723" s="29">
        <v>0.66666666666666663</v>
      </c>
      <c r="R723" s="30">
        <v>180</v>
      </c>
      <c r="S723" s="7">
        <f>PLANPRODUCCION[[#This Row],[PRECIO MAQUILAS]]*PLANPRODUCCION[[#This Row],[PIEZAS REAL]]</f>
        <v>2374.1999999999998</v>
      </c>
      <c r="T72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480</v>
      </c>
      <c r="U72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1488</v>
      </c>
      <c r="V72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72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886.19999999999982</v>
      </c>
      <c r="X723" s="8" t="s">
        <v>602</v>
      </c>
      <c r="Y72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2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2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23" s="13">
        <f>IF(PLANPRODUCCION[[#This Row],[PIEZAS REAL]]&gt;0,PLANPRODUCCION[[#This Row],[PIEZAS REAL]]/PLANPRODUCCION[[#This Row],[PIEZAS ACTUALIZADO]],)</f>
        <v>0.375</v>
      </c>
      <c r="AC723" t="b">
        <f>PLANPRODUCCION[[#This Row],[INGRESO PLANEADO]]&lt;PLANPRODUCCION[[#This Row],[COSTO PLANEADO]]</f>
        <v>0</v>
      </c>
      <c r="AD723" s="47" t="s">
        <v>925</v>
      </c>
      <c r="AE723" s="28"/>
      <c r="AF723" t="b">
        <f>IF(COUNTIF(PLANPRODUCCION[[#This Row],[OBSERVACIONES]],"NO APLICA BONO*")&gt;0,TRUE,FALSE)</f>
        <v>0</v>
      </c>
    </row>
    <row r="724" spans="1:32" x14ac:dyDescent="0.25">
      <c r="A724" s="46" t="str">
        <f>UPPER(IF(PLANPRODUCCION[[#This Row],[FECHA]]&lt;=45701,_xlfn.CONCAT(TEXT(B724,"MMM"),"-",IF(ROW(A724)&lt;11,"000"&amp;ROW(A724)-1,IF(ROW(A724)&lt;101,"00"&amp;ROW(A724)-1,IF(ROW(A724)&lt;1001,"0"&amp;ROW(A724)-1,ROW(A724)-1))),"-OLD"),_xlfn.CONCAT(TEXT(B724,"MMM"),"-",IF(ROW(A724)&lt;473,"000"&amp;ROW(A724)-463,IF(ROW(A724)&lt;563,"00"&amp;ROW(A724)-463,IF(ROW(A724)&lt;1001,"0"&amp;ROW(A724)-463,ROW(A724)-463))))))</f>
        <v>MAR-0261</v>
      </c>
      <c r="B724" s="40">
        <v>45741</v>
      </c>
      <c r="C724" s="30">
        <v>2</v>
      </c>
      <c r="D724" s="30" t="s">
        <v>62</v>
      </c>
      <c r="E724" s="28" t="s">
        <v>54</v>
      </c>
      <c r="F724" s="29">
        <v>0.25</v>
      </c>
      <c r="G724" s="29">
        <v>0.52083333333333337</v>
      </c>
      <c r="H724" s="30">
        <v>1601</v>
      </c>
      <c r="I724" s="28" t="s">
        <v>926</v>
      </c>
      <c r="J724" s="28" t="s">
        <v>773</v>
      </c>
      <c r="K724" s="30">
        <v>2620</v>
      </c>
      <c r="L724" s="30" t="s">
        <v>65</v>
      </c>
      <c r="M724" s="31">
        <v>1.4</v>
      </c>
      <c r="N724" s="6">
        <f>PLANPRODUCCION[[#This Row],[PIEZAS PLANEADAS]]*PLANPRODUCCION[[#This Row],[PRECIO MAQUILAS]]</f>
        <v>3667.9999999999995</v>
      </c>
      <c r="O724" s="30">
        <v>2</v>
      </c>
      <c r="P724" s="29">
        <v>0.25</v>
      </c>
      <c r="Q724" s="29">
        <v>0.45833333333333331</v>
      </c>
      <c r="R724" s="30">
        <v>2544</v>
      </c>
      <c r="S724" s="7">
        <f>PLANPRODUCCION[[#This Row],[PRECIO MAQUILAS]]*PLANPRODUCCION[[#This Row],[PIEZAS REAL]]</f>
        <v>3561.6</v>
      </c>
      <c r="T72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2016</v>
      </c>
      <c r="U72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806</v>
      </c>
      <c r="V72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72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2941.6</v>
      </c>
      <c r="X724" s="8" t="s">
        <v>602</v>
      </c>
      <c r="Y72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2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2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24" s="13">
        <f>IF(PLANPRODUCCION[[#This Row],[PIEZAS REAL]]&gt;0,PLANPRODUCCION[[#This Row],[PIEZAS REAL]]/PLANPRODUCCION[[#This Row],[PIEZAS ACTUALIZADO]],)</f>
        <v>1.2619047619047619</v>
      </c>
      <c r="AC724" t="b">
        <f>PLANPRODUCCION[[#This Row],[INGRESO PLANEADO]]&lt;PLANPRODUCCION[[#This Row],[COSTO PLANEADO]]</f>
        <v>0</v>
      </c>
      <c r="AD724" s="47" t="s">
        <v>927</v>
      </c>
      <c r="AE724" s="28"/>
      <c r="AF724" t="b">
        <f>IF(COUNTIF(PLANPRODUCCION[[#This Row],[OBSERVACIONES]],"NO APLICA BONO*")&gt;0,TRUE,FALSE)</f>
        <v>0</v>
      </c>
    </row>
    <row r="725" spans="1:32" x14ac:dyDescent="0.25">
      <c r="A725" s="46" t="str">
        <f>UPPER(IF(PLANPRODUCCION[[#This Row],[FECHA]]&lt;=45701,_xlfn.CONCAT(TEXT(B725,"MMM"),"-",IF(ROW(A725)&lt;11,"000"&amp;ROW(A725)-1,IF(ROW(A725)&lt;101,"00"&amp;ROW(A725)-1,IF(ROW(A725)&lt;1001,"0"&amp;ROW(A725)-1,ROW(A725)-1))),"-OLD"),_xlfn.CONCAT(TEXT(B725,"MMM"),"-",IF(ROW(A725)&lt;473,"000"&amp;ROW(A725)-463,IF(ROW(A725)&lt;563,"00"&amp;ROW(A725)-463,IF(ROW(A725)&lt;1001,"0"&amp;ROW(A725)-463,ROW(A725)-463))))))</f>
        <v>MAR-0262</v>
      </c>
      <c r="B725" s="40">
        <v>45741</v>
      </c>
      <c r="C725" s="30">
        <v>2</v>
      </c>
      <c r="D725" s="30">
        <v>7</v>
      </c>
      <c r="E725" s="28" t="s">
        <v>54</v>
      </c>
      <c r="F725" s="29">
        <v>0.52083333333333337</v>
      </c>
      <c r="G725" s="29">
        <v>0.66666666666666663</v>
      </c>
      <c r="H725" s="30">
        <v>1603</v>
      </c>
      <c r="I725" s="28" t="s">
        <v>922</v>
      </c>
      <c r="J725" s="28" t="s">
        <v>445</v>
      </c>
      <c r="K725" s="30">
        <v>380</v>
      </c>
      <c r="L725" s="30" t="s">
        <v>57</v>
      </c>
      <c r="M725" s="31">
        <v>1.2</v>
      </c>
      <c r="N725" s="6">
        <f>PLANPRODUCCION[[#This Row],[PIEZAS PLANEADAS]]*PLANPRODUCCION[[#This Row],[PRECIO MAQUILAS]]</f>
        <v>456</v>
      </c>
      <c r="O725" s="30">
        <v>2</v>
      </c>
      <c r="P725" s="29">
        <v>0.45833333333333331</v>
      </c>
      <c r="Q725" s="29">
        <v>0.66666666666666663</v>
      </c>
      <c r="R725" s="30">
        <v>720</v>
      </c>
      <c r="S725" s="7">
        <f>PLANPRODUCCION[[#This Row],[PRECIO MAQUILAS]]*PLANPRODUCCION[[#This Row],[PIEZAS REAL]]</f>
        <v>864</v>
      </c>
      <c r="T72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543</v>
      </c>
      <c r="U72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434</v>
      </c>
      <c r="V72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72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244</v>
      </c>
      <c r="X725" s="8" t="s">
        <v>602</v>
      </c>
      <c r="Y72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2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2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25" s="13">
        <f>IF(PLANPRODUCCION[[#This Row],[PIEZAS REAL]]&gt;0,PLANPRODUCCION[[#This Row],[PIEZAS REAL]]/PLANPRODUCCION[[#This Row],[PIEZAS ACTUALIZADO]],)</f>
        <v>1.3259668508287292</v>
      </c>
      <c r="AC725" t="b">
        <f>PLANPRODUCCION[[#This Row],[INGRESO PLANEADO]]&lt;PLANPRODUCCION[[#This Row],[COSTO PLANEADO]]</f>
        <v>0</v>
      </c>
      <c r="AD725" s="47" t="s">
        <v>928</v>
      </c>
      <c r="AE725" s="28"/>
      <c r="AF725" t="b">
        <f>IF(COUNTIF(PLANPRODUCCION[[#This Row],[OBSERVACIONES]],"NO APLICA BONO*")&gt;0,TRUE,FALSE)</f>
        <v>0</v>
      </c>
    </row>
    <row r="726" spans="1:32" x14ac:dyDescent="0.25">
      <c r="A726" s="46" t="str">
        <f>UPPER(IF(PLANPRODUCCION[[#This Row],[FECHA]]&lt;=45701,_xlfn.CONCAT(TEXT(B726,"MMM"),"-",IF(ROW(A726)&lt;11,"000"&amp;ROW(A726)-1,IF(ROW(A726)&lt;101,"00"&amp;ROW(A726)-1,IF(ROW(A726)&lt;1001,"0"&amp;ROW(A726)-1,ROW(A726)-1))),"-OLD"),_xlfn.CONCAT(TEXT(B726,"MMM"),"-",IF(ROW(A726)&lt;473,"000"&amp;ROW(A726)-463,IF(ROW(A726)&lt;563,"00"&amp;ROW(A726)-463,IF(ROW(A726)&lt;1001,"0"&amp;ROW(A726)-463,ROW(A726)-463))))))</f>
        <v>MAR-0263</v>
      </c>
      <c r="B726" s="40">
        <v>45741</v>
      </c>
      <c r="C726" s="30">
        <v>4</v>
      </c>
      <c r="D726" s="30">
        <v>2</v>
      </c>
      <c r="E726" s="28" t="s">
        <v>54</v>
      </c>
      <c r="F726" s="29">
        <v>0.25</v>
      </c>
      <c r="G726" s="29">
        <v>0.66666666666666663</v>
      </c>
      <c r="H726" s="30">
        <v>1603</v>
      </c>
      <c r="I726" s="28" t="s">
        <v>912</v>
      </c>
      <c r="J726" s="28" t="s">
        <v>89</v>
      </c>
      <c r="K726" s="30">
        <v>4000</v>
      </c>
      <c r="L726" s="30" t="s">
        <v>57</v>
      </c>
      <c r="M726" s="31">
        <v>0.75</v>
      </c>
      <c r="N726" s="6">
        <f>PLANPRODUCCION[[#This Row],[PIEZAS PLANEADAS]]*PLANPRODUCCION[[#This Row],[PRECIO MAQUILAS]]</f>
        <v>3000</v>
      </c>
      <c r="O726" s="30">
        <v>3</v>
      </c>
      <c r="P726" s="29">
        <v>0.25</v>
      </c>
      <c r="Q726" s="29">
        <v>0.60416666666666663</v>
      </c>
      <c r="R726" s="30">
        <v>3135</v>
      </c>
      <c r="S726" s="7">
        <f>PLANPRODUCCION[[#This Row],[PRECIO MAQUILAS]]*PLANPRODUCCION[[#This Row],[PIEZAS REAL]]</f>
        <v>2351.25</v>
      </c>
      <c r="T72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2550</v>
      </c>
      <c r="U72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2480</v>
      </c>
      <c r="V72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1581</v>
      </c>
      <c r="W72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770.25</v>
      </c>
      <c r="X726" s="8" t="s">
        <v>602</v>
      </c>
      <c r="Y72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2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2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26" s="13">
        <f>IF(PLANPRODUCCION[[#This Row],[PIEZAS REAL]]&gt;0,PLANPRODUCCION[[#This Row],[PIEZAS REAL]]/PLANPRODUCCION[[#This Row],[PIEZAS ACTUALIZADO]],)</f>
        <v>1.2294117647058824</v>
      </c>
      <c r="AC726" t="b">
        <f>PLANPRODUCCION[[#This Row],[INGRESO PLANEADO]]&lt;PLANPRODUCCION[[#This Row],[COSTO PLANEADO]]</f>
        <v>0</v>
      </c>
      <c r="AD726" s="47" t="s">
        <v>929</v>
      </c>
      <c r="AE726" s="28"/>
      <c r="AF726" t="b">
        <f>IF(COUNTIF(PLANPRODUCCION[[#This Row],[OBSERVACIONES]],"NO APLICA BONO*")&gt;0,TRUE,FALSE)</f>
        <v>0</v>
      </c>
    </row>
    <row r="727" spans="1:32" x14ac:dyDescent="0.25">
      <c r="A727" s="46" t="str">
        <f>UPPER(IF(PLANPRODUCCION[[#This Row],[FECHA]]&lt;=45701,_xlfn.CONCAT(TEXT(B727,"MMM"),"-",IF(ROW(A727)&lt;11,"000"&amp;ROW(A727)-1,IF(ROW(A727)&lt;101,"00"&amp;ROW(A727)-1,IF(ROW(A727)&lt;1001,"0"&amp;ROW(A727)-1,ROW(A727)-1))),"-OLD"),_xlfn.CONCAT(TEXT(B727,"MMM"),"-",IF(ROW(A727)&lt;473,"000"&amp;ROW(A727)-463,IF(ROW(A727)&lt;563,"00"&amp;ROW(A727)-463,IF(ROW(A727)&lt;1001,"0"&amp;ROW(A727)-463,ROW(A727)-463))))))</f>
        <v>MAR-0264</v>
      </c>
      <c r="B727" s="40">
        <v>45741</v>
      </c>
      <c r="C727" s="30">
        <v>3</v>
      </c>
      <c r="D727" s="30">
        <v>5</v>
      </c>
      <c r="E727" s="28" t="s">
        <v>54</v>
      </c>
      <c r="F727" s="29">
        <v>0.25</v>
      </c>
      <c r="G727" s="29">
        <v>0.66666666666666663</v>
      </c>
      <c r="H727" s="30">
        <v>1603</v>
      </c>
      <c r="I727" s="28" t="s">
        <v>912</v>
      </c>
      <c r="J727" s="28" t="s">
        <v>89</v>
      </c>
      <c r="K727" s="30">
        <v>3000</v>
      </c>
      <c r="L727" s="30" t="s">
        <v>57</v>
      </c>
      <c r="M727" s="31">
        <v>0.75</v>
      </c>
      <c r="N727" s="6">
        <f>PLANPRODUCCION[[#This Row],[PIEZAS PLANEADAS]]*PLANPRODUCCION[[#This Row],[PRECIO MAQUILAS]]</f>
        <v>2250</v>
      </c>
      <c r="O727" s="30">
        <v>3</v>
      </c>
      <c r="P727" s="29">
        <v>0.25</v>
      </c>
      <c r="Q727" s="29">
        <v>0.60416666666666663</v>
      </c>
      <c r="R727" s="30">
        <v>4057</v>
      </c>
      <c r="S727" s="7">
        <f>PLANPRODUCCION[[#This Row],[PRECIO MAQUILAS]]*PLANPRODUCCION[[#This Row],[PIEZAS REAL]]</f>
        <v>3042.75</v>
      </c>
      <c r="T72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2550</v>
      </c>
      <c r="U72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72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1581</v>
      </c>
      <c r="W72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1461.75</v>
      </c>
      <c r="X727" s="8" t="s">
        <v>602</v>
      </c>
      <c r="Y72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2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2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27" s="13">
        <f>IF(PLANPRODUCCION[[#This Row],[PIEZAS REAL]]&gt;0,PLANPRODUCCION[[#This Row],[PIEZAS REAL]]/PLANPRODUCCION[[#This Row],[PIEZAS ACTUALIZADO]],)</f>
        <v>1.5909803921568628</v>
      </c>
      <c r="AC727" t="b">
        <f>PLANPRODUCCION[[#This Row],[INGRESO PLANEADO]]&lt;PLANPRODUCCION[[#This Row],[COSTO PLANEADO]]</f>
        <v>0</v>
      </c>
      <c r="AD727" s="47" t="s">
        <v>930</v>
      </c>
      <c r="AE727" s="28"/>
      <c r="AF727" t="b">
        <f>IF(COUNTIF(PLANPRODUCCION[[#This Row],[OBSERVACIONES]],"NO APLICA BONO*")&gt;0,TRUE,FALSE)</f>
        <v>0</v>
      </c>
    </row>
    <row r="728" spans="1:32" x14ac:dyDescent="0.25">
      <c r="A728" s="46" t="str">
        <f>UPPER(IF(PLANPRODUCCION[[#This Row],[FECHA]]&lt;=45701,_xlfn.CONCAT(TEXT(B728,"MMM"),"-",IF(ROW(A728)&lt;11,"000"&amp;ROW(A728)-1,IF(ROW(A728)&lt;101,"00"&amp;ROW(A728)-1,IF(ROW(A728)&lt;1001,"0"&amp;ROW(A728)-1,ROW(A728)-1))),"-OLD"),_xlfn.CONCAT(TEXT(B728,"MMM"),"-",IF(ROW(A728)&lt;473,"000"&amp;ROW(A728)-463,IF(ROW(A728)&lt;563,"00"&amp;ROW(A728)-463,IF(ROW(A728)&lt;1001,"0"&amp;ROW(A728)-463,ROW(A728)-463))))))</f>
        <v>MAR-0265</v>
      </c>
      <c r="B728" s="40">
        <v>45741</v>
      </c>
      <c r="C728" s="42">
        <v>2</v>
      </c>
      <c r="D728" s="42">
        <v>1</v>
      </c>
      <c r="E728" s="28" t="s">
        <v>54</v>
      </c>
      <c r="F728" s="29">
        <v>0.25</v>
      </c>
      <c r="G728" s="29">
        <v>0.66666666666666663</v>
      </c>
      <c r="H728" s="30">
        <v>1603</v>
      </c>
      <c r="I728" s="28" t="s">
        <v>912</v>
      </c>
      <c r="J728" s="28" t="s">
        <v>89</v>
      </c>
      <c r="K728" s="30">
        <v>2000</v>
      </c>
      <c r="L728" s="30" t="s">
        <v>57</v>
      </c>
      <c r="M728" s="31">
        <v>0.75</v>
      </c>
      <c r="N728" s="6">
        <f>PLANPRODUCCION[[#This Row],[PIEZAS PLANEADAS]]*PLANPRODUCCION[[#This Row],[PRECIO MAQUILAS]]</f>
        <v>1500</v>
      </c>
      <c r="O728" s="42">
        <v>2</v>
      </c>
      <c r="P728" s="44">
        <v>0.25</v>
      </c>
      <c r="Q728" s="29">
        <v>0.60069444444444442</v>
      </c>
      <c r="R728" s="42">
        <v>3525</v>
      </c>
      <c r="S728" s="7">
        <f>PLANPRODUCCION[[#This Row],[PRECIO MAQUILAS]]*PLANPRODUCCION[[#This Row],[PIEZAS REAL]]</f>
        <v>2643.75</v>
      </c>
      <c r="T72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1684</v>
      </c>
      <c r="U72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72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1043.6666666666667</v>
      </c>
      <c r="W72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1600.0833333333333</v>
      </c>
      <c r="X728" s="8" t="s">
        <v>606</v>
      </c>
      <c r="Y72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2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2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28" s="13">
        <f>IF(PLANPRODUCCION[[#This Row],[PIEZAS REAL]]&gt;0,PLANPRODUCCION[[#This Row],[PIEZAS REAL]]/PLANPRODUCCION[[#This Row],[PIEZAS ACTUALIZADO]],)</f>
        <v>2.093230403800475</v>
      </c>
      <c r="AC728" t="b">
        <f>PLANPRODUCCION[[#This Row],[INGRESO PLANEADO]]&lt;PLANPRODUCCION[[#This Row],[COSTO PLANEADO]]</f>
        <v>0</v>
      </c>
      <c r="AD728" s="47" t="s">
        <v>931</v>
      </c>
      <c r="AE728" s="43"/>
      <c r="AF728" t="b">
        <f>IF(COUNTIF(PLANPRODUCCION[[#This Row],[OBSERVACIONES]],"NO APLICA BONO*")&gt;0,TRUE,FALSE)</f>
        <v>0</v>
      </c>
    </row>
    <row r="729" spans="1:32" x14ac:dyDescent="0.25">
      <c r="A729" s="46" t="str">
        <f>UPPER(IF(PLANPRODUCCION[[#This Row],[FECHA]]&lt;=45701,_xlfn.CONCAT(TEXT(B729,"MMM"),"-",IF(ROW(A729)&lt;11,"000"&amp;ROW(A729)-1,IF(ROW(A729)&lt;101,"00"&amp;ROW(A729)-1,IF(ROW(A729)&lt;1001,"0"&amp;ROW(A729)-1,ROW(A729)-1))),"-OLD"),_xlfn.CONCAT(TEXT(B729,"MMM"),"-",IF(ROW(A729)&lt;473,"000"&amp;ROW(A729)-463,IF(ROW(A729)&lt;563,"00"&amp;ROW(A729)-463,IF(ROW(A729)&lt;1001,"0"&amp;ROW(A729)-463,ROW(A729)-463))))))</f>
        <v>MAR-0266</v>
      </c>
      <c r="B729" s="39">
        <v>45741</v>
      </c>
      <c r="C729" s="5">
        <v>1</v>
      </c>
      <c r="D729" s="5">
        <v>0</v>
      </c>
      <c r="E729" s="28" t="s">
        <v>54</v>
      </c>
      <c r="F729" s="29">
        <v>0.25</v>
      </c>
      <c r="G729" s="29">
        <v>0.66666666666666663</v>
      </c>
      <c r="H729" s="30">
        <v>1603</v>
      </c>
      <c r="I729" s="28" t="s">
        <v>912</v>
      </c>
      <c r="J729" s="28" t="s">
        <v>89</v>
      </c>
      <c r="K729" s="30">
        <v>3000</v>
      </c>
      <c r="L729" s="30" t="s">
        <v>57</v>
      </c>
      <c r="M729" s="31">
        <v>0.75</v>
      </c>
      <c r="N729" s="6">
        <f>PLANPRODUCCION[[#This Row],[PIEZAS PLANEADAS]]*PLANPRODUCCION[[#This Row],[PRECIO MAQUILAS]]</f>
        <v>2250</v>
      </c>
      <c r="O729" s="5">
        <v>0</v>
      </c>
      <c r="P729" s="2">
        <v>0</v>
      </c>
      <c r="Q729" s="2">
        <v>0</v>
      </c>
      <c r="R729" s="5">
        <v>0</v>
      </c>
      <c r="S729" s="7">
        <f>PLANPRODUCCION[[#This Row],[PRECIO MAQUILAS]]*PLANPRODUCCION[[#This Row],[PIEZAS REAL]]</f>
        <v>0</v>
      </c>
      <c r="T72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72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2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72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729" s="8" t="s">
        <v>602</v>
      </c>
      <c r="Y729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72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729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729" s="13">
        <f>IF(PLANPRODUCCION[[#This Row],[PIEZAS REAL]]&gt;0,PLANPRODUCCION[[#This Row],[PIEZAS REAL]]/PLANPRODUCCION[[#This Row],[PIEZAS ACTUALIZADO]],)</f>
        <v>0</v>
      </c>
      <c r="AC729" t="b">
        <f>PLANPRODUCCION[[#This Row],[INGRESO PLANEADO]]&lt;PLANPRODUCCION[[#This Row],[COSTO PLANEADO]]</f>
        <v>0</v>
      </c>
      <c r="AD729" s="47" t="s">
        <v>932</v>
      </c>
      <c r="AF729" t="b">
        <f>IF(COUNTIF(PLANPRODUCCION[[#This Row],[OBSERVACIONES]],"NO APLICA BONO*")&gt;0,TRUE,FALSE)</f>
        <v>0</v>
      </c>
    </row>
    <row r="730" spans="1:32" x14ac:dyDescent="0.25">
      <c r="A730" s="46" t="str">
        <f>UPPER(IF(PLANPRODUCCION[[#This Row],[FECHA]]&lt;=45701,_xlfn.CONCAT(TEXT(B730,"MMM"),"-",IF(ROW(A730)&lt;11,"000"&amp;ROW(A730)-1,IF(ROW(A730)&lt;101,"00"&amp;ROW(A730)-1,IF(ROW(A730)&lt;1001,"0"&amp;ROW(A730)-1,ROW(A730)-1))),"-OLD"),_xlfn.CONCAT(TEXT(B730,"MMM"),"-",IF(ROW(A730)&lt;473,"000"&amp;ROW(A730)-463,IF(ROW(A730)&lt;563,"00"&amp;ROW(A730)-463,IF(ROW(A730)&lt;1001,"0"&amp;ROW(A730)-463,ROW(A730)-463))))))</f>
        <v>MAR-0267</v>
      </c>
      <c r="B730" s="39">
        <v>45741</v>
      </c>
      <c r="C730" s="5">
        <v>1</v>
      </c>
      <c r="D730" s="5">
        <v>4</v>
      </c>
      <c r="E730" s="43" t="s">
        <v>110</v>
      </c>
      <c r="F730" s="44">
        <v>0.54166666666666663</v>
      </c>
      <c r="G730" s="44">
        <v>0.875</v>
      </c>
      <c r="H730" s="5">
        <v>1601</v>
      </c>
      <c r="I730" t="s">
        <v>926</v>
      </c>
      <c r="J730" t="s">
        <v>89</v>
      </c>
      <c r="K730" s="5">
        <v>800</v>
      </c>
      <c r="L730" s="5" t="s">
        <v>57</v>
      </c>
      <c r="M730" s="49">
        <v>0.75</v>
      </c>
      <c r="N730" s="6">
        <f>PLANPRODUCCION[[#This Row],[PIEZAS PLANEADAS]]*PLANPRODUCCION[[#This Row],[PRECIO MAQUILAS]]</f>
        <v>600</v>
      </c>
      <c r="O730" s="5">
        <v>2</v>
      </c>
      <c r="P730" s="2">
        <v>0.54166666666666663</v>
      </c>
      <c r="Q730" s="2">
        <v>0.875</v>
      </c>
      <c r="R730" s="5">
        <v>2595</v>
      </c>
      <c r="S730" s="7">
        <f>PLANPRODUCCION[[#This Row],[PRECIO MAQUILAS]]*PLANPRODUCCION[[#This Row],[PIEZAS REAL]]</f>
        <v>1946.25</v>
      </c>
      <c r="T73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1600</v>
      </c>
      <c r="U73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73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73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706.25</v>
      </c>
      <c r="X730" s="8" t="s">
        <v>602</v>
      </c>
      <c r="Y73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3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3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30" s="13">
        <f>IF(PLANPRODUCCION[[#This Row],[PIEZAS REAL]]&gt;0,PLANPRODUCCION[[#This Row],[PIEZAS REAL]]/PLANPRODUCCION[[#This Row],[PIEZAS ACTUALIZADO]],)</f>
        <v>1.621875</v>
      </c>
      <c r="AC730" t="b">
        <f>PLANPRODUCCION[[#This Row],[INGRESO PLANEADO]]&lt;PLANPRODUCCION[[#This Row],[COSTO PLANEADO]]</f>
        <v>1</v>
      </c>
      <c r="AD730" s="47" t="s">
        <v>933</v>
      </c>
      <c r="AF730" t="b">
        <f>IF(COUNTIF(PLANPRODUCCION[[#This Row],[OBSERVACIONES]],"NO APLICA BONO*")&gt;0,TRUE,FALSE)</f>
        <v>0</v>
      </c>
    </row>
    <row r="731" spans="1:32" x14ac:dyDescent="0.25">
      <c r="A731" s="46" t="str">
        <f>UPPER(IF(PLANPRODUCCION[[#This Row],[FECHA]]&lt;=45701,_xlfn.CONCAT(TEXT(B731,"MMM"),"-",IF(ROW(A731)&lt;11,"000"&amp;ROW(A731)-1,IF(ROW(A731)&lt;101,"00"&amp;ROW(A731)-1,IF(ROW(A731)&lt;1001,"0"&amp;ROW(A731)-1,ROW(A731)-1))),"-OLD"),_xlfn.CONCAT(TEXT(B731,"MMM"),"-",IF(ROW(A731)&lt;473,"000"&amp;ROW(A731)-463,IF(ROW(A731)&lt;563,"00"&amp;ROW(A731)-463,IF(ROW(A731)&lt;1001,"0"&amp;ROW(A731)-463,ROW(A731)-463))))))</f>
        <v>MAR-0268</v>
      </c>
      <c r="B731" s="39">
        <v>45741</v>
      </c>
      <c r="C731" s="5">
        <v>2</v>
      </c>
      <c r="D731" s="5">
        <v>5</v>
      </c>
      <c r="E731" t="s">
        <v>72</v>
      </c>
      <c r="F731" s="2">
        <v>0.66666666666666663</v>
      </c>
      <c r="G731" s="2">
        <v>0.875</v>
      </c>
      <c r="H731" s="5">
        <v>1601</v>
      </c>
      <c r="I731" t="s">
        <v>926</v>
      </c>
      <c r="J731" t="s">
        <v>89</v>
      </c>
      <c r="K731" s="5">
        <v>1000</v>
      </c>
      <c r="L731" s="5" t="s">
        <v>57</v>
      </c>
      <c r="M731" s="49">
        <v>0.75</v>
      </c>
      <c r="N731" s="6">
        <f>PLANPRODUCCION[[#This Row],[PIEZAS PLANEADAS]]*PLANPRODUCCION[[#This Row],[PRECIO MAQUILAS]]</f>
        <v>750</v>
      </c>
      <c r="O731" s="5">
        <v>3</v>
      </c>
      <c r="P731" s="2">
        <v>0.66666666666666663</v>
      </c>
      <c r="Q731" s="2">
        <v>0.875</v>
      </c>
      <c r="R731" s="5">
        <v>1650</v>
      </c>
      <c r="S731" s="7">
        <f>PLANPRODUCCION[[#This Row],[PRECIO MAQUILAS]]*PLANPRODUCCION[[#This Row],[PIEZAS REAL]]</f>
        <v>1237.5</v>
      </c>
      <c r="T73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1500</v>
      </c>
      <c r="U73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73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73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307.5</v>
      </c>
      <c r="X731" s="8" t="s">
        <v>602</v>
      </c>
      <c r="Y73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3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3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31" s="13">
        <f>IF(PLANPRODUCCION[[#This Row],[PIEZAS REAL]]&gt;0,PLANPRODUCCION[[#This Row],[PIEZAS REAL]]/PLANPRODUCCION[[#This Row],[PIEZAS ACTUALIZADO]],)</f>
        <v>1.1000000000000001</v>
      </c>
      <c r="AC731" t="b">
        <f>PLANPRODUCCION[[#This Row],[INGRESO PLANEADO]]&lt;PLANPRODUCCION[[#This Row],[COSTO PLANEADO]]</f>
        <v>0</v>
      </c>
      <c r="AD731" s="47" t="s">
        <v>934</v>
      </c>
      <c r="AF731" t="b">
        <f>IF(COUNTIF(PLANPRODUCCION[[#This Row],[OBSERVACIONES]],"NO APLICA BONO*")&gt;0,TRUE,FALSE)</f>
        <v>0</v>
      </c>
    </row>
    <row r="732" spans="1:32" x14ac:dyDescent="0.25">
      <c r="A732" s="46" t="str">
        <f>UPPER(IF(PLANPRODUCCION[[#This Row],[FECHA]]&lt;=45701,_xlfn.CONCAT(TEXT(B732,"MMM"),"-",IF(ROW(A732)&lt;11,"000"&amp;ROW(A732)-1,IF(ROW(A732)&lt;101,"00"&amp;ROW(A732)-1,IF(ROW(A732)&lt;1001,"0"&amp;ROW(A732)-1,ROW(A732)-1))),"-OLD"),_xlfn.CONCAT(TEXT(B732,"MMM"),"-",IF(ROW(A732)&lt;473,"000"&amp;ROW(A732)-463,IF(ROW(A732)&lt;563,"00"&amp;ROW(A732)-463,IF(ROW(A732)&lt;1001,"0"&amp;ROW(A732)-463,ROW(A732)-463))))))</f>
        <v>MAR-0269</v>
      </c>
      <c r="B732" s="39">
        <v>45742</v>
      </c>
      <c r="C732" s="5">
        <v>3</v>
      </c>
      <c r="D732" s="5">
        <v>1</v>
      </c>
      <c r="E732" t="s">
        <v>54</v>
      </c>
      <c r="F732" s="2">
        <v>0.25</v>
      </c>
      <c r="G732" s="2">
        <v>0.3125</v>
      </c>
      <c r="H732" s="5">
        <v>1611</v>
      </c>
      <c r="I732" t="s">
        <v>935</v>
      </c>
      <c r="J732" t="s">
        <v>445</v>
      </c>
      <c r="K732" s="5">
        <v>300</v>
      </c>
      <c r="L732" s="5" t="s">
        <v>57</v>
      </c>
      <c r="M732" s="49">
        <v>1.2</v>
      </c>
      <c r="N732" s="6">
        <f>PLANPRODUCCION[[#This Row],[PIEZAS PLANEADAS]]*PLANPRODUCCION[[#This Row],[PRECIO MAQUILAS]]</f>
        <v>360</v>
      </c>
      <c r="O732" s="5">
        <v>3</v>
      </c>
      <c r="P732" s="2">
        <v>0.25</v>
      </c>
      <c r="Q732" s="2">
        <v>0.3125</v>
      </c>
      <c r="R732" s="5">
        <v>266</v>
      </c>
      <c r="S732" s="7">
        <f>PLANPRODUCCION[[#This Row],[PRECIO MAQUILAS]]*PLANPRODUCCION[[#This Row],[PIEZAS REAL]]</f>
        <v>319.2</v>
      </c>
      <c r="T73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300</v>
      </c>
      <c r="U73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279</v>
      </c>
      <c r="V73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279</v>
      </c>
      <c r="W73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40.199999999999989</v>
      </c>
      <c r="X732" s="8" t="s">
        <v>602</v>
      </c>
      <c r="Y73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3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3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32" s="13">
        <f>IF(PLANPRODUCCION[[#This Row],[PIEZAS REAL]]&gt;0,PLANPRODUCCION[[#This Row],[PIEZAS REAL]]/PLANPRODUCCION[[#This Row],[PIEZAS ACTUALIZADO]],)</f>
        <v>0.88666666666666671</v>
      </c>
      <c r="AC732" t="b">
        <f>PLANPRODUCCION[[#This Row],[INGRESO PLANEADO]]&lt;PLANPRODUCCION[[#This Row],[COSTO PLANEADO]]</f>
        <v>0</v>
      </c>
      <c r="AD732" s="47" t="s">
        <v>936</v>
      </c>
      <c r="AF732" t="b">
        <f>IF(COUNTIF(PLANPRODUCCION[[#This Row],[OBSERVACIONES]],"NO APLICA BONO*")&gt;0,TRUE,FALSE)</f>
        <v>0</v>
      </c>
    </row>
    <row r="733" spans="1:32" x14ac:dyDescent="0.25">
      <c r="A733" s="46" t="str">
        <f>UPPER(IF(PLANPRODUCCION[[#This Row],[FECHA]]&lt;=45701,_xlfn.CONCAT(TEXT(B733,"MMM"),"-",IF(ROW(A733)&lt;11,"000"&amp;ROW(A733)-1,IF(ROW(A733)&lt;101,"00"&amp;ROW(A733)-1,IF(ROW(A733)&lt;1001,"0"&amp;ROW(A733)-1,ROW(A733)-1))),"-OLD"),_xlfn.CONCAT(TEXT(B733,"MMM"),"-",IF(ROW(A733)&lt;473,"000"&amp;ROW(A733)-463,IF(ROW(A733)&lt;563,"00"&amp;ROW(A733)-463,IF(ROW(A733)&lt;1001,"0"&amp;ROW(A733)-463,ROW(A733)-463))))))</f>
        <v>MAR-0270</v>
      </c>
      <c r="B733" s="39">
        <v>45742</v>
      </c>
      <c r="C733" s="5">
        <v>3</v>
      </c>
      <c r="D733" s="5">
        <v>1</v>
      </c>
      <c r="E733" t="s">
        <v>54</v>
      </c>
      <c r="F733" s="2">
        <v>0.3125</v>
      </c>
      <c r="G733" s="2">
        <v>0.66666666666666663</v>
      </c>
      <c r="H733" s="5">
        <v>1603</v>
      </c>
      <c r="I733" t="s">
        <v>922</v>
      </c>
      <c r="J733" t="s">
        <v>445</v>
      </c>
      <c r="K733" s="5">
        <v>1650</v>
      </c>
      <c r="L733" s="5" t="s">
        <v>57</v>
      </c>
      <c r="M733" s="49">
        <v>1.2</v>
      </c>
      <c r="N733" s="6">
        <f>PLANPRODUCCION[[#This Row],[PIEZAS PLANEADAS]]*PLANPRODUCCION[[#This Row],[PRECIO MAQUILAS]]</f>
        <v>1980</v>
      </c>
      <c r="O733" s="5">
        <v>3</v>
      </c>
      <c r="P733" s="2">
        <v>0.3125</v>
      </c>
      <c r="Q733" s="2">
        <v>0.66666666666666663</v>
      </c>
      <c r="R733" s="5">
        <v>1740</v>
      </c>
      <c r="S733" s="7">
        <f>PLANPRODUCCION[[#This Row],[PRECIO MAQUILAS]]*PLANPRODUCCION[[#This Row],[PIEZAS REAL]]</f>
        <v>2088</v>
      </c>
      <c r="T73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1650</v>
      </c>
      <c r="U73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1581</v>
      </c>
      <c r="V73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1581</v>
      </c>
      <c r="W73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507</v>
      </c>
      <c r="X733" s="8" t="s">
        <v>602</v>
      </c>
      <c r="Y73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3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3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33" s="13">
        <f>IF(PLANPRODUCCION[[#This Row],[PIEZAS REAL]]&gt;0,PLANPRODUCCION[[#This Row],[PIEZAS REAL]]/PLANPRODUCCION[[#This Row],[PIEZAS ACTUALIZADO]],)</f>
        <v>1.0545454545454545</v>
      </c>
      <c r="AC733" t="b">
        <f>PLANPRODUCCION[[#This Row],[INGRESO PLANEADO]]&lt;PLANPRODUCCION[[#This Row],[COSTO PLANEADO]]</f>
        <v>0</v>
      </c>
      <c r="AD733" s="47" t="s">
        <v>937</v>
      </c>
      <c r="AF733" t="b">
        <f>IF(COUNTIF(PLANPRODUCCION[[#This Row],[OBSERVACIONES]],"NO APLICA BONO*")&gt;0,TRUE,FALSE)</f>
        <v>0</v>
      </c>
    </row>
    <row r="734" spans="1:32" x14ac:dyDescent="0.25">
      <c r="A734" s="46" t="str">
        <f>UPPER(IF(PLANPRODUCCION[[#This Row],[FECHA]]&lt;=45701,_xlfn.CONCAT(TEXT(B734,"MMM"),"-",IF(ROW(A734)&lt;11,"000"&amp;ROW(A734)-1,IF(ROW(A734)&lt;101,"00"&amp;ROW(A734)-1,IF(ROW(A734)&lt;1001,"0"&amp;ROW(A734)-1,ROW(A734)-1))),"-OLD"),_xlfn.CONCAT(TEXT(B734,"MMM"),"-",IF(ROW(A734)&lt;473,"000"&amp;ROW(A734)-463,IF(ROW(A734)&lt;563,"00"&amp;ROW(A734)-463,IF(ROW(A734)&lt;1001,"0"&amp;ROW(A734)-463,ROW(A734)-463))))))</f>
        <v>MAR-0271</v>
      </c>
      <c r="B734" s="39">
        <v>45742</v>
      </c>
      <c r="C734" s="5">
        <v>3</v>
      </c>
      <c r="D734" s="5">
        <v>5</v>
      </c>
      <c r="E734" t="s">
        <v>54</v>
      </c>
      <c r="F734" s="2">
        <v>0.25</v>
      </c>
      <c r="G734" s="2">
        <v>0.3125</v>
      </c>
      <c r="H734" s="5">
        <v>1611</v>
      </c>
      <c r="I734" t="s">
        <v>935</v>
      </c>
      <c r="J734" t="s">
        <v>445</v>
      </c>
      <c r="K734" s="5">
        <v>300</v>
      </c>
      <c r="L734" s="5" t="s">
        <v>57</v>
      </c>
      <c r="M734" s="49">
        <v>1.2</v>
      </c>
      <c r="N734" s="6">
        <f>PLANPRODUCCION[[#This Row],[PIEZAS PLANEADAS]]*PLANPRODUCCION[[#This Row],[PRECIO MAQUILAS]]</f>
        <v>360</v>
      </c>
      <c r="O734" s="5">
        <v>3</v>
      </c>
      <c r="P734" s="2">
        <v>0.25</v>
      </c>
      <c r="Q734" s="2">
        <v>0.34722222222222221</v>
      </c>
      <c r="R734" s="5">
        <v>615</v>
      </c>
      <c r="S734" s="7">
        <f>PLANPRODUCCION[[#This Row],[PRECIO MAQUILAS]]*PLANPRODUCCION[[#This Row],[PIEZAS REAL]]</f>
        <v>738</v>
      </c>
      <c r="T73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467</v>
      </c>
      <c r="U73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279</v>
      </c>
      <c r="V73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434</v>
      </c>
      <c r="W73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304</v>
      </c>
      <c r="X734" s="8" t="s">
        <v>602</v>
      </c>
      <c r="Y73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3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3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34" s="13">
        <f>IF(PLANPRODUCCION[[#This Row],[PIEZAS REAL]]&gt;0,PLANPRODUCCION[[#This Row],[PIEZAS REAL]]/PLANPRODUCCION[[#This Row],[PIEZAS ACTUALIZADO]],)</f>
        <v>1.316916488222698</v>
      </c>
      <c r="AC734" t="b">
        <f>PLANPRODUCCION[[#This Row],[INGRESO PLANEADO]]&lt;PLANPRODUCCION[[#This Row],[COSTO PLANEADO]]</f>
        <v>0</v>
      </c>
      <c r="AD734" s="47" t="s">
        <v>938</v>
      </c>
      <c r="AF734" t="b">
        <f>IF(COUNTIF(PLANPRODUCCION[[#This Row],[OBSERVACIONES]],"NO APLICA BONO*")&gt;0,TRUE,FALSE)</f>
        <v>0</v>
      </c>
    </row>
    <row r="735" spans="1:32" x14ac:dyDescent="0.25">
      <c r="A735" s="46" t="str">
        <f>UPPER(IF(PLANPRODUCCION[[#This Row],[FECHA]]&lt;=45701,_xlfn.CONCAT(TEXT(B735,"MMM"),"-",IF(ROW(A735)&lt;11,"000"&amp;ROW(A735)-1,IF(ROW(A735)&lt;101,"00"&amp;ROW(A735)-1,IF(ROW(A735)&lt;1001,"0"&amp;ROW(A735)-1,ROW(A735)-1))),"-OLD"),_xlfn.CONCAT(TEXT(B735,"MMM"),"-",IF(ROW(A735)&lt;473,"000"&amp;ROW(A735)-463,IF(ROW(A735)&lt;563,"00"&amp;ROW(A735)-463,IF(ROW(A735)&lt;1001,"0"&amp;ROW(A735)-463,ROW(A735)-463))))))</f>
        <v>MAR-0272</v>
      </c>
      <c r="B735" s="39">
        <v>45742</v>
      </c>
      <c r="C735" s="5">
        <v>3</v>
      </c>
      <c r="D735" s="5">
        <v>5</v>
      </c>
      <c r="E735" t="s">
        <v>54</v>
      </c>
      <c r="F735" s="2">
        <v>0.3125</v>
      </c>
      <c r="G735" s="2">
        <v>0.66666666666666663</v>
      </c>
      <c r="H735" s="5">
        <v>1603</v>
      </c>
      <c r="I735" t="s">
        <v>922</v>
      </c>
      <c r="J735" t="s">
        <v>445</v>
      </c>
      <c r="K735" s="5">
        <v>1650</v>
      </c>
      <c r="L735" s="5" t="s">
        <v>57</v>
      </c>
      <c r="M735" s="49">
        <v>1.2</v>
      </c>
      <c r="N735" s="6">
        <f>PLANPRODUCCION[[#This Row],[PIEZAS PLANEADAS]]*PLANPRODUCCION[[#This Row],[PRECIO MAQUILAS]]</f>
        <v>1980</v>
      </c>
      <c r="O735" s="5">
        <v>3</v>
      </c>
      <c r="P735" s="2">
        <v>0.34722222222222221</v>
      </c>
      <c r="Q735" s="2">
        <v>0.66666666666666663</v>
      </c>
      <c r="R735" s="5">
        <v>1440</v>
      </c>
      <c r="S735" s="7">
        <f>PLANPRODUCCION[[#This Row],[PRECIO MAQUILAS]]*PLANPRODUCCION[[#This Row],[PIEZAS REAL]]</f>
        <v>1728</v>
      </c>
      <c r="T73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1489</v>
      </c>
      <c r="U73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1581</v>
      </c>
      <c r="V73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1426</v>
      </c>
      <c r="W73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302</v>
      </c>
      <c r="X735" s="8" t="s">
        <v>602</v>
      </c>
      <c r="Y73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3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3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35" s="13">
        <f>IF(PLANPRODUCCION[[#This Row],[PIEZAS REAL]]&gt;0,PLANPRODUCCION[[#This Row],[PIEZAS REAL]]/PLANPRODUCCION[[#This Row],[PIEZAS ACTUALIZADO]],)</f>
        <v>0.96709200805910012</v>
      </c>
      <c r="AC735" t="b">
        <f>PLANPRODUCCION[[#This Row],[INGRESO PLANEADO]]&lt;PLANPRODUCCION[[#This Row],[COSTO PLANEADO]]</f>
        <v>0</v>
      </c>
      <c r="AD735" s="47" t="s">
        <v>939</v>
      </c>
      <c r="AF735" t="b">
        <f>IF(COUNTIF(PLANPRODUCCION[[#This Row],[OBSERVACIONES]],"NO APLICA BONO*")&gt;0,TRUE,FALSE)</f>
        <v>0</v>
      </c>
    </row>
    <row r="736" spans="1:32" x14ac:dyDescent="0.25">
      <c r="A736" s="46" t="str">
        <f>UPPER(IF(PLANPRODUCCION[[#This Row],[FECHA]]&lt;=45701,_xlfn.CONCAT(TEXT(B736,"MMM"),"-",IF(ROW(A736)&lt;11,"000"&amp;ROW(A736)-1,IF(ROW(A736)&lt;101,"00"&amp;ROW(A736)-1,IF(ROW(A736)&lt;1001,"0"&amp;ROW(A736)-1,ROW(A736)-1))),"-OLD"),_xlfn.CONCAT(TEXT(B736,"MMM"),"-",IF(ROW(A736)&lt;473,"000"&amp;ROW(A736)-463,IF(ROW(A736)&lt;563,"00"&amp;ROW(A736)-463,IF(ROW(A736)&lt;1001,"0"&amp;ROW(A736)-463,ROW(A736)-463))))))</f>
        <v>MAR-0273</v>
      </c>
      <c r="B736" s="39">
        <v>45742</v>
      </c>
      <c r="C736" s="5">
        <v>3</v>
      </c>
      <c r="D736" s="5">
        <v>2</v>
      </c>
      <c r="E736" t="s">
        <v>54</v>
      </c>
      <c r="F736" s="2">
        <v>0.25</v>
      </c>
      <c r="G736" s="2">
        <v>0.29166666666666669</v>
      </c>
      <c r="H736" s="5">
        <v>1611</v>
      </c>
      <c r="I736" t="s">
        <v>935</v>
      </c>
      <c r="J736" t="s">
        <v>89</v>
      </c>
      <c r="K736" s="5">
        <v>300</v>
      </c>
      <c r="L736" s="5" t="s">
        <v>57</v>
      </c>
      <c r="M736" s="49">
        <v>0.75</v>
      </c>
      <c r="N736" s="6">
        <f>PLANPRODUCCION[[#This Row],[PIEZAS PLANEADAS]]*PLANPRODUCCION[[#This Row],[PRECIO MAQUILAS]]</f>
        <v>225</v>
      </c>
      <c r="O736" s="5">
        <v>4</v>
      </c>
      <c r="P736" s="2">
        <v>0.25</v>
      </c>
      <c r="Q736" s="2">
        <v>0.3125</v>
      </c>
      <c r="R736" s="5">
        <v>319</v>
      </c>
      <c r="S736" s="7">
        <f>PLANPRODUCCION[[#This Row],[PRECIO MAQUILAS]]*PLANPRODUCCION[[#This Row],[PIEZAS REAL]]</f>
        <v>239.25</v>
      </c>
      <c r="T73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600</v>
      </c>
      <c r="U73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</v>
      </c>
      <c r="V73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73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-132.75</v>
      </c>
      <c r="X736" s="8" t="s">
        <v>602</v>
      </c>
      <c r="Y73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3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3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36" s="13">
        <f>IF(PLANPRODUCCION[[#This Row],[PIEZAS REAL]]&gt;0,PLANPRODUCCION[[#This Row],[PIEZAS REAL]]/PLANPRODUCCION[[#This Row],[PIEZAS ACTUALIZADO]],)</f>
        <v>0.53166666666666662</v>
      </c>
      <c r="AC736" t="b">
        <f>PLANPRODUCCION[[#This Row],[INGRESO PLANEADO]]&lt;PLANPRODUCCION[[#This Row],[COSTO PLANEADO]]</f>
        <v>0</v>
      </c>
      <c r="AD736" s="47" t="s">
        <v>940</v>
      </c>
      <c r="AF736" t="b">
        <f>IF(COUNTIF(PLANPRODUCCION[[#This Row],[OBSERVACIONES]],"NO APLICA BONO*")&gt;0,TRUE,FALSE)</f>
        <v>0</v>
      </c>
    </row>
    <row r="737" spans="1:32" x14ac:dyDescent="0.25">
      <c r="A737" s="46" t="str">
        <f>UPPER(IF(PLANPRODUCCION[[#This Row],[FECHA]]&lt;=45701,_xlfn.CONCAT(TEXT(B737,"MMM"),"-",IF(ROW(A737)&lt;11,"000"&amp;ROW(A737)-1,IF(ROW(A737)&lt;101,"00"&amp;ROW(A737)-1,IF(ROW(A737)&lt;1001,"0"&amp;ROW(A737)-1,ROW(A737)-1))),"-OLD"),_xlfn.CONCAT(TEXT(B737,"MMM"),"-",IF(ROW(A737)&lt;473,"000"&amp;ROW(A737)-463,IF(ROW(A737)&lt;563,"00"&amp;ROW(A737)-463,IF(ROW(A737)&lt;1001,"0"&amp;ROW(A737)-463,ROW(A737)-463))))))</f>
        <v>MAR-0274</v>
      </c>
      <c r="B737" s="39">
        <v>45742</v>
      </c>
      <c r="C737" s="5">
        <v>3</v>
      </c>
      <c r="D737" s="5">
        <v>2</v>
      </c>
      <c r="E737" t="s">
        <v>54</v>
      </c>
      <c r="F737" s="2">
        <v>0.3125</v>
      </c>
      <c r="G737" s="2">
        <v>0.66666666666666663</v>
      </c>
      <c r="H737" s="5">
        <v>1603</v>
      </c>
      <c r="I737" t="s">
        <v>922</v>
      </c>
      <c r="J737" t="s">
        <v>445</v>
      </c>
      <c r="K737" s="5">
        <v>1730</v>
      </c>
      <c r="L737" s="5" t="s">
        <v>57</v>
      </c>
      <c r="M737" s="49">
        <v>1.2</v>
      </c>
      <c r="N737" s="6">
        <f>PLANPRODUCCION[[#This Row],[PIEZAS PLANEADAS]]*PLANPRODUCCION[[#This Row],[PRECIO MAQUILAS]]</f>
        <v>2076</v>
      </c>
      <c r="O737" s="5">
        <v>4</v>
      </c>
      <c r="P737" s="2">
        <v>0.3125</v>
      </c>
      <c r="Q737" s="2">
        <v>0.66666666666666663</v>
      </c>
      <c r="R737" s="5">
        <v>2200</v>
      </c>
      <c r="S737" s="7">
        <f>PLANPRODUCCION[[#This Row],[PRECIO MAQUILAS]]*PLANPRODUCCION[[#This Row],[PIEZAS REAL]]</f>
        <v>2640</v>
      </c>
      <c r="T73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2307</v>
      </c>
      <c r="U73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1581</v>
      </c>
      <c r="V73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2108</v>
      </c>
      <c r="W73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532</v>
      </c>
      <c r="X737" s="8" t="s">
        <v>602</v>
      </c>
      <c r="Y73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3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3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37" s="13">
        <f>IF(PLANPRODUCCION[[#This Row],[PIEZAS REAL]]&gt;0,PLANPRODUCCION[[#This Row],[PIEZAS REAL]]/PLANPRODUCCION[[#This Row],[PIEZAS ACTUALIZADO]],)</f>
        <v>0.95361941915908111</v>
      </c>
      <c r="AC737" t="b">
        <f>PLANPRODUCCION[[#This Row],[INGRESO PLANEADO]]&lt;PLANPRODUCCION[[#This Row],[COSTO PLANEADO]]</f>
        <v>0</v>
      </c>
      <c r="AD737" s="47" t="s">
        <v>941</v>
      </c>
      <c r="AF737" t="b">
        <f>IF(COUNTIF(PLANPRODUCCION[[#This Row],[OBSERVACIONES]],"NO APLICA BONO*")&gt;0,TRUE,FALSE)</f>
        <v>0</v>
      </c>
    </row>
    <row r="738" spans="1:32" x14ac:dyDescent="0.25">
      <c r="A738" s="46" t="str">
        <f>UPPER(IF(PLANPRODUCCION[[#This Row],[FECHA]]&lt;=45701,_xlfn.CONCAT(TEXT(B738,"MMM"),"-",IF(ROW(A738)&lt;11,"000"&amp;ROW(A738)-1,IF(ROW(A738)&lt;101,"00"&amp;ROW(A738)-1,IF(ROW(A738)&lt;1001,"0"&amp;ROW(A738)-1,ROW(A738)-1))),"-OLD"),_xlfn.CONCAT(TEXT(B738,"MMM"),"-",IF(ROW(A738)&lt;473,"000"&amp;ROW(A738)-463,IF(ROW(A738)&lt;563,"00"&amp;ROW(A738)-463,IF(ROW(A738)&lt;1001,"0"&amp;ROW(A738)-463,ROW(A738)-463))))))</f>
        <v>MAR-0275</v>
      </c>
      <c r="B738" s="39">
        <v>45742</v>
      </c>
      <c r="C738" s="5">
        <v>3</v>
      </c>
      <c r="D738" s="5">
        <v>0</v>
      </c>
      <c r="E738" t="s">
        <v>54</v>
      </c>
      <c r="F738" s="2">
        <v>0.25</v>
      </c>
      <c r="G738" s="2">
        <v>0.29166666666666669</v>
      </c>
      <c r="H738" s="5">
        <v>1611</v>
      </c>
      <c r="I738" t="s">
        <v>935</v>
      </c>
      <c r="J738" t="s">
        <v>89</v>
      </c>
      <c r="K738" s="5">
        <v>300</v>
      </c>
      <c r="L738" s="5" t="s">
        <v>57</v>
      </c>
      <c r="M738" s="49">
        <v>0.75</v>
      </c>
      <c r="N738" s="6">
        <f>PLANPRODUCCION[[#This Row],[PIEZAS PLANEADAS]]*PLANPRODUCCION[[#This Row],[PRECIO MAQUILAS]]</f>
        <v>225</v>
      </c>
      <c r="O738" s="5">
        <v>0</v>
      </c>
      <c r="P738" s="2">
        <v>0</v>
      </c>
      <c r="Q738" s="2">
        <v>0</v>
      </c>
      <c r="R738" s="5">
        <v>0</v>
      </c>
      <c r="S738" s="7">
        <f>PLANPRODUCCION[[#This Row],[PRECIO MAQUILAS]]*PLANPRODUCCION[[#This Row],[PIEZAS REAL]]</f>
        <v>0</v>
      </c>
      <c r="T73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73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3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73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738" s="8" t="s">
        <v>602</v>
      </c>
      <c r="Y738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73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738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738" s="13">
        <f>IF(PLANPRODUCCION[[#This Row],[PIEZAS REAL]]&gt;0,PLANPRODUCCION[[#This Row],[PIEZAS REAL]]/PLANPRODUCCION[[#This Row],[PIEZAS ACTUALIZADO]],)</f>
        <v>0</v>
      </c>
      <c r="AC738" t="b">
        <f>PLANPRODUCCION[[#This Row],[INGRESO PLANEADO]]&lt;PLANPRODUCCION[[#This Row],[COSTO PLANEADO]]</f>
        <v>0</v>
      </c>
      <c r="AD738" s="47" t="s">
        <v>942</v>
      </c>
      <c r="AF738" t="b">
        <f>IF(COUNTIF(PLANPRODUCCION[[#This Row],[OBSERVACIONES]],"NO APLICA BONO*")&gt;0,TRUE,FALSE)</f>
        <v>0</v>
      </c>
    </row>
    <row r="739" spans="1:32" x14ac:dyDescent="0.25">
      <c r="A739" s="46" t="str">
        <f>UPPER(IF(PLANPRODUCCION[[#This Row],[FECHA]]&lt;=45701,_xlfn.CONCAT(TEXT(B739,"MMM"),"-",IF(ROW(A739)&lt;11,"000"&amp;ROW(A739)-1,IF(ROW(A739)&lt;101,"00"&amp;ROW(A739)-1,IF(ROW(A739)&lt;1001,"0"&amp;ROW(A739)-1,ROW(A739)-1))),"-OLD"),_xlfn.CONCAT(TEXT(B739,"MMM"),"-",IF(ROW(A739)&lt;473,"000"&amp;ROW(A739)-463,IF(ROW(A739)&lt;563,"00"&amp;ROW(A739)-463,IF(ROW(A739)&lt;1001,"0"&amp;ROW(A739)-463,ROW(A739)-463))))))</f>
        <v>MAR-0276</v>
      </c>
      <c r="B739" s="39">
        <v>45742</v>
      </c>
      <c r="C739" s="5">
        <v>3</v>
      </c>
      <c r="D739" s="5">
        <v>0</v>
      </c>
      <c r="E739" t="s">
        <v>54</v>
      </c>
      <c r="F739" s="2">
        <v>0.3125</v>
      </c>
      <c r="G739" s="2">
        <v>0.66666666666666663</v>
      </c>
      <c r="H739" s="5">
        <v>1603</v>
      </c>
      <c r="I739" t="s">
        <v>922</v>
      </c>
      <c r="J739" t="s">
        <v>445</v>
      </c>
      <c r="K739" s="5">
        <v>1730</v>
      </c>
      <c r="L739" s="5" t="s">
        <v>57</v>
      </c>
      <c r="M739" s="49">
        <v>1.2</v>
      </c>
      <c r="N739" s="6">
        <f>PLANPRODUCCION[[#This Row],[PIEZAS PLANEADAS]]*PLANPRODUCCION[[#This Row],[PRECIO MAQUILAS]]</f>
        <v>2076</v>
      </c>
      <c r="O739" s="5">
        <v>0</v>
      </c>
      <c r="P739" s="2">
        <v>0</v>
      </c>
      <c r="Q739" s="2">
        <v>0</v>
      </c>
      <c r="R739" s="5">
        <v>0</v>
      </c>
      <c r="S739" s="7">
        <f>PLANPRODUCCION[[#This Row],[PRECIO MAQUILAS]]*PLANPRODUCCION[[#This Row],[PIEZAS REAL]]</f>
        <v>0</v>
      </c>
      <c r="T73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73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3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73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739" s="8" t="s">
        <v>602</v>
      </c>
      <c r="Y739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73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739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739" s="13">
        <f>IF(PLANPRODUCCION[[#This Row],[PIEZAS REAL]]&gt;0,PLANPRODUCCION[[#This Row],[PIEZAS REAL]]/PLANPRODUCCION[[#This Row],[PIEZAS ACTUALIZADO]],)</f>
        <v>0</v>
      </c>
      <c r="AC739" t="b">
        <f>PLANPRODUCCION[[#This Row],[INGRESO PLANEADO]]&lt;PLANPRODUCCION[[#This Row],[COSTO PLANEADO]]</f>
        <v>0</v>
      </c>
      <c r="AD739" s="47" t="s">
        <v>943</v>
      </c>
      <c r="AF739" t="b">
        <f>IF(COUNTIF(PLANPRODUCCION[[#This Row],[OBSERVACIONES]],"NO APLICA BONO*")&gt;0,TRUE,FALSE)</f>
        <v>0</v>
      </c>
    </row>
    <row r="740" spans="1:32" x14ac:dyDescent="0.25">
      <c r="A740" s="46" t="str">
        <f>UPPER(IF(PLANPRODUCCION[[#This Row],[FECHA]]&lt;=45701,_xlfn.CONCAT(TEXT(B740,"MMM"),"-",IF(ROW(A740)&lt;11,"000"&amp;ROW(A740)-1,IF(ROW(A740)&lt;101,"00"&amp;ROW(A740)-1,IF(ROW(A740)&lt;1001,"0"&amp;ROW(A740)-1,ROW(A740)-1))),"-OLD"),_xlfn.CONCAT(TEXT(B740,"MMM"),"-",IF(ROW(A740)&lt;473,"000"&amp;ROW(A740)-463,IF(ROW(A740)&lt;563,"00"&amp;ROW(A740)-463,IF(ROW(A740)&lt;1001,"0"&amp;ROW(A740)-463,ROW(A740)-463))))))</f>
        <v>MAR-0277</v>
      </c>
      <c r="B740" s="39">
        <v>45742</v>
      </c>
      <c r="C740" s="5">
        <v>1</v>
      </c>
      <c r="D740" s="5">
        <v>4</v>
      </c>
      <c r="E740" t="s">
        <v>110</v>
      </c>
      <c r="F740" s="2">
        <v>0.54166666666666663</v>
      </c>
      <c r="G740" s="2">
        <v>0.8125</v>
      </c>
      <c r="H740" s="5">
        <v>1601</v>
      </c>
      <c r="I740" t="s">
        <v>926</v>
      </c>
      <c r="J740" t="s">
        <v>89</v>
      </c>
      <c r="K740" s="5">
        <v>755</v>
      </c>
      <c r="L740" s="5" t="s">
        <v>57</v>
      </c>
      <c r="M740" s="49">
        <v>0.75</v>
      </c>
      <c r="N740" s="6">
        <f>PLANPRODUCCION[[#This Row],[PIEZAS PLANEADAS]]*PLANPRODUCCION[[#This Row],[PRECIO MAQUILAS]]</f>
        <v>566.25</v>
      </c>
      <c r="O740" s="5">
        <v>1</v>
      </c>
      <c r="P740" s="2">
        <v>0.54166666666666663</v>
      </c>
      <c r="Q740" s="2">
        <v>0.66666666666666663</v>
      </c>
      <c r="R740" s="5">
        <v>795</v>
      </c>
      <c r="S740" s="7">
        <f>PLANPRODUCCION[[#This Row],[PRECIO MAQUILAS]]*PLANPRODUCCION[[#This Row],[PIEZAS REAL]]</f>
        <v>596.25</v>
      </c>
      <c r="T74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349</v>
      </c>
      <c r="U74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503.75</v>
      </c>
      <c r="V74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232.5</v>
      </c>
      <c r="W74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363.75</v>
      </c>
      <c r="X740" s="8" t="s">
        <v>602</v>
      </c>
      <c r="Y74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4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4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40" s="13">
        <f>IF(PLANPRODUCCION[[#This Row],[PIEZAS REAL]]&gt;0,PLANPRODUCCION[[#This Row],[PIEZAS REAL]]/PLANPRODUCCION[[#This Row],[PIEZAS ACTUALIZADO]],)</f>
        <v>2.2779369627507164</v>
      </c>
      <c r="AC740" t="b">
        <f>PLANPRODUCCION[[#This Row],[INGRESO PLANEADO]]&lt;PLANPRODUCCION[[#This Row],[COSTO PLANEADO]]</f>
        <v>0</v>
      </c>
      <c r="AD740" s="47" t="s">
        <v>944</v>
      </c>
      <c r="AF740" t="b">
        <f>IF(COUNTIF(PLANPRODUCCION[[#This Row],[OBSERVACIONES]],"NO APLICA BONO*")&gt;0,TRUE,FALSE)</f>
        <v>0</v>
      </c>
    </row>
    <row r="741" spans="1:32" x14ac:dyDescent="0.25">
      <c r="A741" s="46" t="str">
        <f>UPPER(IF(PLANPRODUCCION[[#This Row],[FECHA]]&lt;=45701,_xlfn.CONCAT(TEXT(B741,"MMM"),"-",IF(ROW(A741)&lt;11,"000"&amp;ROW(A741)-1,IF(ROW(A741)&lt;101,"00"&amp;ROW(A741)-1,IF(ROW(A741)&lt;1001,"0"&amp;ROW(A741)-1,ROW(A741)-1))),"-OLD"),_xlfn.CONCAT(TEXT(B741,"MMM"),"-",IF(ROW(A741)&lt;473,"000"&amp;ROW(A741)-463,IF(ROW(A741)&lt;563,"00"&amp;ROW(A741)-463,IF(ROW(A741)&lt;1001,"0"&amp;ROW(A741)-463,ROW(A741)-463))))))</f>
        <v>MAR-0278</v>
      </c>
      <c r="B741" s="39">
        <v>45742</v>
      </c>
      <c r="C741" s="5">
        <v>1</v>
      </c>
      <c r="D741" s="5">
        <v>4</v>
      </c>
      <c r="E741" t="s">
        <v>110</v>
      </c>
      <c r="F741" s="2">
        <v>0.8125</v>
      </c>
      <c r="G741" s="2">
        <v>0.875</v>
      </c>
      <c r="H741" s="5">
        <v>1603</v>
      </c>
      <c r="I741" t="s">
        <v>922</v>
      </c>
      <c r="J741" t="s">
        <v>445</v>
      </c>
      <c r="K741" s="5">
        <v>100</v>
      </c>
      <c r="L741" s="5" t="s">
        <v>57</v>
      </c>
      <c r="M741" s="49">
        <v>1.2</v>
      </c>
      <c r="N741" s="6">
        <f>PLANPRODUCCION[[#This Row],[PIEZAS PLANEADAS]]*PLANPRODUCCION[[#This Row],[PRECIO MAQUILAS]]</f>
        <v>120</v>
      </c>
      <c r="O741" s="5">
        <v>1</v>
      </c>
      <c r="P741" s="2">
        <v>0.66666666666666663</v>
      </c>
      <c r="Q741" s="2">
        <v>0.875</v>
      </c>
      <c r="R741" s="5">
        <v>480</v>
      </c>
      <c r="S741" s="7">
        <f>PLANPRODUCCION[[#This Row],[PRECIO MAQUILAS]]*PLANPRODUCCION[[#This Row],[PIEZAS REAL]]</f>
        <v>576</v>
      </c>
      <c r="T74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334</v>
      </c>
      <c r="U74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116.25</v>
      </c>
      <c r="V74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387.5</v>
      </c>
      <c r="W74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188.5</v>
      </c>
      <c r="X741" s="8" t="s">
        <v>602</v>
      </c>
      <c r="Y74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4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4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41" s="13">
        <f>IF(PLANPRODUCCION[[#This Row],[PIEZAS REAL]]&gt;0,PLANPRODUCCION[[#This Row],[PIEZAS REAL]]/PLANPRODUCCION[[#This Row],[PIEZAS ACTUALIZADO]],)</f>
        <v>1.437125748502994</v>
      </c>
      <c r="AC741" t="b">
        <f>PLANPRODUCCION[[#This Row],[INGRESO PLANEADO]]&lt;PLANPRODUCCION[[#This Row],[COSTO PLANEADO]]</f>
        <v>0</v>
      </c>
      <c r="AD741" s="47" t="s">
        <v>945</v>
      </c>
      <c r="AF741" t="b">
        <f>IF(COUNTIF(PLANPRODUCCION[[#This Row],[OBSERVACIONES]],"NO APLICA BONO*")&gt;0,TRUE,FALSE)</f>
        <v>0</v>
      </c>
    </row>
    <row r="742" spans="1:32" x14ac:dyDescent="0.25">
      <c r="A742" s="46" t="str">
        <f>UPPER(IF(PLANPRODUCCION[[#This Row],[FECHA]]&lt;=45701,_xlfn.CONCAT(TEXT(B742,"MMM"),"-",IF(ROW(A742)&lt;11,"000"&amp;ROW(A742)-1,IF(ROW(A742)&lt;101,"00"&amp;ROW(A742)-1,IF(ROW(A742)&lt;1001,"0"&amp;ROW(A742)-1,ROW(A742)-1))),"-OLD"),_xlfn.CONCAT(TEXT(B742,"MMM"),"-",IF(ROW(A742)&lt;473,"000"&amp;ROW(A742)-463,IF(ROW(A742)&lt;563,"00"&amp;ROW(A742)-463,IF(ROW(A742)&lt;1001,"0"&amp;ROW(A742)-463,ROW(A742)-463))))))</f>
        <v>MAR-0279</v>
      </c>
      <c r="B742" s="39">
        <v>45742</v>
      </c>
      <c r="C742" s="5">
        <v>2</v>
      </c>
      <c r="D742" s="5">
        <v>5</v>
      </c>
      <c r="E742" t="s">
        <v>72</v>
      </c>
      <c r="F742" s="2">
        <v>0.66666666666666663</v>
      </c>
      <c r="G742" s="2">
        <v>0.875</v>
      </c>
      <c r="H742" s="5">
        <v>1603</v>
      </c>
      <c r="I742" t="s">
        <v>922</v>
      </c>
      <c r="J742" t="s">
        <v>445</v>
      </c>
      <c r="K742" s="5">
        <v>640</v>
      </c>
      <c r="L742" s="5" t="s">
        <v>57</v>
      </c>
      <c r="M742" s="49">
        <v>1.2</v>
      </c>
      <c r="N742" s="6">
        <f>PLANPRODUCCION[[#This Row],[PIEZAS PLANEADAS]]*PLANPRODUCCION[[#This Row],[PRECIO MAQUILAS]]</f>
        <v>768</v>
      </c>
      <c r="O742" s="5">
        <v>3</v>
      </c>
      <c r="P742" s="2">
        <v>0.66666666666666663</v>
      </c>
      <c r="Q742" s="2">
        <v>0.875</v>
      </c>
      <c r="R742" s="5">
        <v>1140</v>
      </c>
      <c r="S742" s="7">
        <f>PLANPRODUCCION[[#This Row],[PRECIO MAQUILAS]]*PLANPRODUCCION[[#This Row],[PIEZAS REAL]]</f>
        <v>1368</v>
      </c>
      <c r="T74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960</v>
      </c>
      <c r="U74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74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74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438</v>
      </c>
      <c r="X742" s="8" t="s">
        <v>602</v>
      </c>
      <c r="Y74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4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4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42" s="13">
        <f>IF(PLANPRODUCCION[[#This Row],[PIEZAS REAL]]&gt;0,PLANPRODUCCION[[#This Row],[PIEZAS REAL]]/PLANPRODUCCION[[#This Row],[PIEZAS ACTUALIZADO]],)</f>
        <v>1.1875</v>
      </c>
      <c r="AC742" t="b">
        <f>PLANPRODUCCION[[#This Row],[INGRESO PLANEADO]]&lt;PLANPRODUCCION[[#This Row],[COSTO PLANEADO]]</f>
        <v>0</v>
      </c>
      <c r="AD742" s="47" t="s">
        <v>946</v>
      </c>
      <c r="AF742" t="b">
        <f>IF(COUNTIF(PLANPRODUCCION[[#This Row],[OBSERVACIONES]],"NO APLICA BONO*")&gt;0,TRUE,FALSE)</f>
        <v>0</v>
      </c>
    </row>
    <row r="743" spans="1:32" x14ac:dyDescent="0.25">
      <c r="A743" s="46" t="str">
        <f>UPPER(IF(PLANPRODUCCION[[#This Row],[FECHA]]&lt;=45701,_xlfn.CONCAT(TEXT(B743,"MMM"),"-",IF(ROW(A743)&lt;11,"000"&amp;ROW(A743)-1,IF(ROW(A743)&lt;101,"00"&amp;ROW(A743)-1,IF(ROW(A743)&lt;1001,"0"&amp;ROW(A743)-1,ROW(A743)-1))),"-OLD"),_xlfn.CONCAT(TEXT(B743,"MMM"),"-",IF(ROW(A743)&lt;473,"000"&amp;ROW(A743)-463,IF(ROW(A743)&lt;563,"00"&amp;ROW(A743)-463,IF(ROW(A743)&lt;1001,"0"&amp;ROW(A743)-463,ROW(A743)-463))))))</f>
        <v>MAR-0280</v>
      </c>
      <c r="B743" s="39">
        <v>45743</v>
      </c>
      <c r="C743" s="5">
        <v>2</v>
      </c>
      <c r="D743" s="5">
        <v>13</v>
      </c>
      <c r="E743" t="s">
        <v>54</v>
      </c>
      <c r="F743" s="2">
        <v>0.33333333333333331</v>
      </c>
      <c r="G743" s="2">
        <v>0.66666666666666663</v>
      </c>
      <c r="H743" s="5">
        <v>1605</v>
      </c>
      <c r="I743" t="s">
        <v>894</v>
      </c>
      <c r="J743" t="s">
        <v>895</v>
      </c>
      <c r="K743" s="5">
        <v>480</v>
      </c>
      <c r="L743" s="5" t="s">
        <v>57</v>
      </c>
      <c r="M743" s="48">
        <v>13.19</v>
      </c>
      <c r="N743" s="6">
        <f>PLANPRODUCCION[[#This Row],[PIEZAS PLANEADAS]]*PLANPRODUCCION[[#This Row],[PRECIO MAQUILAS]]</f>
        <v>6331.2</v>
      </c>
      <c r="O743" s="5">
        <v>2</v>
      </c>
      <c r="P743" s="2">
        <v>0.375</v>
      </c>
      <c r="Q743" s="2">
        <v>0.54166666666666663</v>
      </c>
      <c r="R743" s="5">
        <v>750</v>
      </c>
      <c r="S743" s="7">
        <f>PLANPRODUCCION[[#This Row],[PRECIO MAQUILAS]]*PLANPRODUCCION[[#This Row],[PIEZAS REAL]]</f>
        <v>9892.5</v>
      </c>
      <c r="T74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240</v>
      </c>
      <c r="U74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992</v>
      </c>
      <c r="V74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496</v>
      </c>
      <c r="W74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9396.5</v>
      </c>
      <c r="X743" s="8" t="s">
        <v>602</v>
      </c>
      <c r="Y74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4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4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43" s="13">
        <f>IF(PLANPRODUCCION[[#This Row],[PIEZAS REAL]]&gt;0,PLANPRODUCCION[[#This Row],[PIEZAS REAL]]/PLANPRODUCCION[[#This Row],[PIEZAS ACTUALIZADO]],)</f>
        <v>3.125</v>
      </c>
      <c r="AC743" t="b">
        <f>PLANPRODUCCION[[#This Row],[INGRESO PLANEADO]]&lt;PLANPRODUCCION[[#This Row],[COSTO PLANEADO]]</f>
        <v>0</v>
      </c>
      <c r="AD743" s="47" t="s">
        <v>947</v>
      </c>
      <c r="AF743" t="b">
        <f>IF(COUNTIF(PLANPRODUCCION[[#This Row],[OBSERVACIONES]],"NO APLICA BONO*")&gt;0,TRUE,FALSE)</f>
        <v>0</v>
      </c>
    </row>
    <row r="744" spans="1:32" x14ac:dyDescent="0.25">
      <c r="A744" s="46" t="str">
        <f>UPPER(IF(PLANPRODUCCION[[#This Row],[FECHA]]&lt;=45701,_xlfn.CONCAT(TEXT(B744,"MMM"),"-",IF(ROW(A744)&lt;11,"000"&amp;ROW(A744)-1,IF(ROW(A744)&lt;101,"00"&amp;ROW(A744)-1,IF(ROW(A744)&lt;1001,"0"&amp;ROW(A744)-1,ROW(A744)-1))),"-OLD"),_xlfn.CONCAT(TEXT(B744,"MMM"),"-",IF(ROW(A744)&lt;473,"000"&amp;ROW(A744)-463,IF(ROW(A744)&lt;563,"00"&amp;ROW(A744)-463,IF(ROW(A744)&lt;1001,"0"&amp;ROW(A744)-463,ROW(A744)-463))))))</f>
        <v>MAR-0281</v>
      </c>
      <c r="B744" s="39">
        <v>45743</v>
      </c>
      <c r="C744" s="5">
        <v>3</v>
      </c>
      <c r="D744" s="5">
        <v>1</v>
      </c>
      <c r="E744" t="s">
        <v>54</v>
      </c>
      <c r="F744" s="2">
        <v>0.25</v>
      </c>
      <c r="G744" s="2">
        <v>0.66666666666666663</v>
      </c>
      <c r="H744" s="5">
        <v>1603</v>
      </c>
      <c r="I744" t="s">
        <v>922</v>
      </c>
      <c r="J744" t="s">
        <v>445</v>
      </c>
      <c r="K744" s="5">
        <v>1920</v>
      </c>
      <c r="L744" s="5" t="s">
        <v>57</v>
      </c>
      <c r="M744" s="49">
        <v>1.2</v>
      </c>
      <c r="N744" s="6">
        <f>PLANPRODUCCION[[#This Row],[PIEZAS PLANEADAS]]*PLANPRODUCCION[[#This Row],[PRECIO MAQUILAS]]</f>
        <v>2304</v>
      </c>
      <c r="O744" s="5">
        <v>3</v>
      </c>
      <c r="P744" s="2">
        <v>0.25</v>
      </c>
      <c r="Q744" s="2">
        <v>0.66666666666666663</v>
      </c>
      <c r="R744" s="5">
        <v>2793</v>
      </c>
      <c r="S744" s="7">
        <f>PLANPRODUCCION[[#This Row],[PRECIO MAQUILAS]]*PLANPRODUCCION[[#This Row],[PIEZAS REAL]]</f>
        <v>3351.6</v>
      </c>
      <c r="T74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1920</v>
      </c>
      <c r="U74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74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74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1491.6</v>
      </c>
      <c r="X744" s="8" t="s">
        <v>602</v>
      </c>
      <c r="Y74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4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4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44" s="13">
        <f>IF(PLANPRODUCCION[[#This Row],[PIEZAS REAL]]&gt;0,PLANPRODUCCION[[#This Row],[PIEZAS REAL]]/PLANPRODUCCION[[#This Row],[PIEZAS ACTUALIZADO]],)</f>
        <v>1.4546874999999999</v>
      </c>
      <c r="AC744" t="b">
        <f>PLANPRODUCCION[[#This Row],[INGRESO PLANEADO]]&lt;PLANPRODUCCION[[#This Row],[COSTO PLANEADO]]</f>
        <v>0</v>
      </c>
      <c r="AD744" s="47" t="s">
        <v>948</v>
      </c>
      <c r="AF744" t="b">
        <f>IF(COUNTIF(PLANPRODUCCION[[#This Row],[OBSERVACIONES]],"NO APLICA BONO*")&gt;0,TRUE,FALSE)</f>
        <v>0</v>
      </c>
    </row>
    <row r="745" spans="1:32" x14ac:dyDescent="0.25">
      <c r="A745" s="46" t="str">
        <f>UPPER(IF(PLANPRODUCCION[[#This Row],[FECHA]]&lt;=45701,_xlfn.CONCAT(TEXT(B745,"MMM"),"-",IF(ROW(A745)&lt;11,"000"&amp;ROW(A745)-1,IF(ROW(A745)&lt;101,"00"&amp;ROW(A745)-1,IF(ROW(A745)&lt;1001,"0"&amp;ROW(A745)-1,ROW(A745)-1))),"-OLD"),_xlfn.CONCAT(TEXT(B745,"MMM"),"-",IF(ROW(A745)&lt;473,"000"&amp;ROW(A745)-463,IF(ROW(A745)&lt;563,"00"&amp;ROW(A745)-463,IF(ROW(A745)&lt;1001,"0"&amp;ROW(A745)-463,ROW(A745)-463))))))</f>
        <v>MAR-0282</v>
      </c>
      <c r="B745" s="39">
        <v>45743</v>
      </c>
      <c r="C745" s="5">
        <v>3</v>
      </c>
      <c r="D745" s="5">
        <v>0</v>
      </c>
      <c r="E745" t="s">
        <v>54</v>
      </c>
      <c r="F745" s="2">
        <v>0.25</v>
      </c>
      <c r="G745" s="2">
        <v>0.66666666666666663</v>
      </c>
      <c r="H745" s="5">
        <v>1603</v>
      </c>
      <c r="I745" t="s">
        <v>922</v>
      </c>
      <c r="J745" t="s">
        <v>445</v>
      </c>
      <c r="K745" s="5">
        <v>1920</v>
      </c>
      <c r="L745" s="5" t="s">
        <v>57</v>
      </c>
      <c r="M745" s="49">
        <v>1.2</v>
      </c>
      <c r="N745" s="6">
        <f>PLANPRODUCCION[[#This Row],[PIEZAS PLANEADAS]]*PLANPRODUCCION[[#This Row],[PRECIO MAQUILAS]]</f>
        <v>2304</v>
      </c>
      <c r="O745" s="5">
        <v>0</v>
      </c>
      <c r="P745" s="2">
        <v>0</v>
      </c>
      <c r="Q745" s="2">
        <v>0</v>
      </c>
      <c r="R745" s="5">
        <v>0</v>
      </c>
      <c r="S745" s="7">
        <f>PLANPRODUCCION[[#This Row],[PRECIO MAQUILAS]]*PLANPRODUCCION[[#This Row],[PIEZAS REAL]]</f>
        <v>0</v>
      </c>
      <c r="T74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74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4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74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745" s="8" t="s">
        <v>602</v>
      </c>
      <c r="Y745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74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745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745" s="13">
        <f>IF(PLANPRODUCCION[[#This Row],[PIEZAS REAL]]&gt;0,PLANPRODUCCION[[#This Row],[PIEZAS REAL]]/PLANPRODUCCION[[#This Row],[PIEZAS ACTUALIZADO]],)</f>
        <v>0</v>
      </c>
      <c r="AC745" t="b">
        <f>PLANPRODUCCION[[#This Row],[INGRESO PLANEADO]]&lt;PLANPRODUCCION[[#This Row],[COSTO PLANEADO]]</f>
        <v>0</v>
      </c>
      <c r="AD745" s="47" t="s">
        <v>949</v>
      </c>
      <c r="AF745" t="b">
        <f>IF(COUNTIF(PLANPRODUCCION[[#This Row],[OBSERVACIONES]],"NO APLICA BONO*")&gt;0,TRUE,FALSE)</f>
        <v>0</v>
      </c>
    </row>
    <row r="746" spans="1:32" x14ac:dyDescent="0.25">
      <c r="A746" s="46" t="str">
        <f>UPPER(IF(PLANPRODUCCION[[#This Row],[FECHA]]&lt;=45701,_xlfn.CONCAT(TEXT(B746,"MMM"),"-",IF(ROW(A746)&lt;11,"000"&amp;ROW(A746)-1,IF(ROW(A746)&lt;101,"00"&amp;ROW(A746)-1,IF(ROW(A746)&lt;1001,"0"&amp;ROW(A746)-1,ROW(A746)-1))),"-OLD"),_xlfn.CONCAT(TEXT(B746,"MMM"),"-",IF(ROW(A746)&lt;473,"000"&amp;ROW(A746)-463,IF(ROW(A746)&lt;563,"00"&amp;ROW(A746)-463,IF(ROW(A746)&lt;1001,"0"&amp;ROW(A746)-463,ROW(A746)-463))))))</f>
        <v>MAR-0283</v>
      </c>
      <c r="B746" s="39">
        <v>45743</v>
      </c>
      <c r="C746" s="5">
        <v>4</v>
      </c>
      <c r="D746" s="5">
        <v>5</v>
      </c>
      <c r="E746" t="s">
        <v>54</v>
      </c>
      <c r="F746" s="2">
        <v>0.25</v>
      </c>
      <c r="G746" s="2">
        <v>0.66666666666666663</v>
      </c>
      <c r="H746" s="5">
        <v>1603</v>
      </c>
      <c r="I746" t="s">
        <v>922</v>
      </c>
      <c r="J746" t="s">
        <v>445</v>
      </c>
      <c r="K746" s="5">
        <v>2560</v>
      </c>
      <c r="L746" s="5" t="s">
        <v>57</v>
      </c>
      <c r="M746" s="49">
        <v>1.2</v>
      </c>
      <c r="N746" s="6">
        <f>PLANPRODUCCION[[#This Row],[PIEZAS PLANEADAS]]*PLANPRODUCCION[[#This Row],[PRECIO MAQUILAS]]</f>
        <v>3072</v>
      </c>
      <c r="O746" s="5">
        <v>4</v>
      </c>
      <c r="P746" s="2">
        <v>0.25</v>
      </c>
      <c r="Q746" s="2">
        <v>0.66666666666666663</v>
      </c>
      <c r="R746" s="5">
        <v>3189</v>
      </c>
      <c r="S746" s="7">
        <f>PLANPRODUCCION[[#This Row],[PRECIO MAQUILAS]]*PLANPRODUCCION[[#This Row],[PIEZAS REAL]]</f>
        <v>3826.7999999999997</v>
      </c>
      <c r="T74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2560</v>
      </c>
      <c r="U74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2480</v>
      </c>
      <c r="V74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74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1346.7999999999997</v>
      </c>
      <c r="X746" s="8" t="s">
        <v>602</v>
      </c>
      <c r="Y746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4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4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46" s="13">
        <f>IF(PLANPRODUCCION[[#This Row],[PIEZAS REAL]]&gt;0,PLANPRODUCCION[[#This Row],[PIEZAS REAL]]/PLANPRODUCCION[[#This Row],[PIEZAS ACTUALIZADO]],)</f>
        <v>1.2457031249999999</v>
      </c>
      <c r="AC746" t="b">
        <f>PLANPRODUCCION[[#This Row],[INGRESO PLANEADO]]&lt;PLANPRODUCCION[[#This Row],[COSTO PLANEADO]]</f>
        <v>0</v>
      </c>
      <c r="AD746" s="47" t="s">
        <v>950</v>
      </c>
      <c r="AF746" t="b">
        <f>IF(COUNTIF(PLANPRODUCCION[[#This Row],[OBSERVACIONES]],"NO APLICA BONO*")&gt;0,TRUE,FALSE)</f>
        <v>0</v>
      </c>
    </row>
    <row r="747" spans="1:32" x14ac:dyDescent="0.25">
      <c r="A747" s="46" t="str">
        <f>UPPER(IF(PLANPRODUCCION[[#This Row],[FECHA]]&lt;=45701,_xlfn.CONCAT(TEXT(B747,"MMM"),"-",IF(ROW(A747)&lt;11,"000"&amp;ROW(A747)-1,IF(ROW(A747)&lt;101,"00"&amp;ROW(A747)-1,IF(ROW(A747)&lt;1001,"0"&amp;ROW(A747)-1,ROW(A747)-1))),"-OLD"),_xlfn.CONCAT(TEXT(B747,"MMM"),"-",IF(ROW(A747)&lt;473,"000"&amp;ROW(A747)-463,IF(ROW(A747)&lt;563,"00"&amp;ROW(A747)-463,IF(ROW(A747)&lt;1001,"0"&amp;ROW(A747)-463,ROW(A747)-463))))))</f>
        <v>MAR-0284</v>
      </c>
      <c r="B747" s="39">
        <v>45743</v>
      </c>
      <c r="C747" s="5">
        <v>1</v>
      </c>
      <c r="D747" s="5">
        <v>0</v>
      </c>
      <c r="E747" t="s">
        <v>110</v>
      </c>
      <c r="F747" s="2">
        <v>0.54166666666666663</v>
      </c>
      <c r="G747" s="2">
        <v>0.875</v>
      </c>
      <c r="H747" s="5">
        <v>1601</v>
      </c>
      <c r="I747" t="s">
        <v>951</v>
      </c>
      <c r="J747" t="s">
        <v>445</v>
      </c>
      <c r="K747" s="5">
        <v>640</v>
      </c>
      <c r="L747" s="5" t="s">
        <v>57</v>
      </c>
      <c r="M747" s="49">
        <v>1.2</v>
      </c>
      <c r="N747" s="6">
        <f>PLANPRODUCCION[[#This Row],[PIEZAS PLANEADAS]]*PLANPRODUCCION[[#This Row],[PRECIO MAQUILAS]]</f>
        <v>768</v>
      </c>
      <c r="O747" s="5">
        <v>0</v>
      </c>
      <c r="P747" s="2">
        <v>0</v>
      </c>
      <c r="Q747" s="2">
        <v>0</v>
      </c>
      <c r="R747" s="5">
        <v>0</v>
      </c>
      <c r="S747" s="7">
        <f>PLANPRODUCCION[[#This Row],[PRECIO MAQUILAS]]*PLANPRODUCCION[[#This Row],[PIEZAS REAL]]</f>
        <v>0</v>
      </c>
      <c r="T74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74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4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74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747" s="8" t="s">
        <v>602</v>
      </c>
      <c r="Y747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74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747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747" s="13">
        <f>IF(PLANPRODUCCION[[#This Row],[PIEZAS REAL]]&gt;0,PLANPRODUCCION[[#This Row],[PIEZAS REAL]]/PLANPRODUCCION[[#This Row],[PIEZAS ACTUALIZADO]],)</f>
        <v>0</v>
      </c>
      <c r="AC747" t="b">
        <f>PLANPRODUCCION[[#This Row],[INGRESO PLANEADO]]&lt;PLANPRODUCCION[[#This Row],[COSTO PLANEADO]]</f>
        <v>0</v>
      </c>
      <c r="AD747" s="47" t="s">
        <v>952</v>
      </c>
      <c r="AF747" t="b">
        <f>IF(COUNTIF(PLANPRODUCCION[[#This Row],[OBSERVACIONES]],"NO APLICA BONO*")&gt;0,TRUE,FALSE)</f>
        <v>0</v>
      </c>
    </row>
    <row r="748" spans="1:32" x14ac:dyDescent="0.25">
      <c r="A748" s="46" t="str">
        <f>UPPER(IF(PLANPRODUCCION[[#This Row],[FECHA]]&lt;=45701,_xlfn.CONCAT(TEXT(B748,"MMM"),"-",IF(ROW(A748)&lt;11,"000"&amp;ROW(A748)-1,IF(ROW(A748)&lt;101,"00"&amp;ROW(A748)-1,IF(ROW(A748)&lt;1001,"0"&amp;ROW(A748)-1,ROW(A748)-1))),"-OLD"),_xlfn.CONCAT(TEXT(B748,"MMM"),"-",IF(ROW(A748)&lt;473,"000"&amp;ROW(A748)-463,IF(ROW(A748)&lt;563,"00"&amp;ROW(A748)-463,IF(ROW(A748)&lt;1001,"0"&amp;ROW(A748)-463,ROW(A748)-463))))))</f>
        <v>MAR-0285</v>
      </c>
      <c r="B748" s="39">
        <v>45743</v>
      </c>
      <c r="C748" s="5">
        <v>2</v>
      </c>
      <c r="D748" s="5">
        <v>1</v>
      </c>
      <c r="E748" t="s">
        <v>72</v>
      </c>
      <c r="F748" s="2">
        <v>0.66666666666666663</v>
      </c>
      <c r="G748" s="2">
        <v>0.875</v>
      </c>
      <c r="H748" s="5">
        <v>1601</v>
      </c>
      <c r="I748" t="s">
        <v>951</v>
      </c>
      <c r="J748" t="s">
        <v>445</v>
      </c>
      <c r="K748" s="5">
        <v>640</v>
      </c>
      <c r="L748" s="5" t="s">
        <v>57</v>
      </c>
      <c r="M748" s="49">
        <v>1.2</v>
      </c>
      <c r="N748" s="6">
        <f>PLANPRODUCCION[[#This Row],[PIEZAS PLANEADAS]]*PLANPRODUCCION[[#This Row],[PRECIO MAQUILAS]]</f>
        <v>768</v>
      </c>
      <c r="O748" s="5">
        <v>3</v>
      </c>
      <c r="P748" s="2">
        <v>0.66666666666666663</v>
      </c>
      <c r="Q748" s="2">
        <v>0.875</v>
      </c>
      <c r="R748" s="5">
        <v>1020</v>
      </c>
      <c r="S748" s="7">
        <f>PLANPRODUCCION[[#This Row],[PRECIO MAQUILAS]]*PLANPRODUCCION[[#This Row],[PIEZAS REAL]]</f>
        <v>1224</v>
      </c>
      <c r="T74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960</v>
      </c>
      <c r="U74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74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930</v>
      </c>
      <c r="W74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294</v>
      </c>
      <c r="X748" s="8" t="s">
        <v>602</v>
      </c>
      <c r="Y74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4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4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48" s="13">
        <f>IF(PLANPRODUCCION[[#This Row],[PIEZAS REAL]]&gt;0,PLANPRODUCCION[[#This Row],[PIEZAS REAL]]/PLANPRODUCCION[[#This Row],[PIEZAS ACTUALIZADO]],)</f>
        <v>1.0625</v>
      </c>
      <c r="AC748" t="b">
        <f>PLANPRODUCCION[[#This Row],[INGRESO PLANEADO]]&lt;PLANPRODUCCION[[#This Row],[COSTO PLANEADO]]</f>
        <v>0</v>
      </c>
      <c r="AD748" s="47" t="s">
        <v>953</v>
      </c>
      <c r="AF748" t="b">
        <f>IF(COUNTIF(PLANPRODUCCION[[#This Row],[OBSERVACIONES]],"NO APLICA BONO*")&gt;0,TRUE,FALSE)</f>
        <v>0</v>
      </c>
    </row>
    <row r="749" spans="1:32" x14ac:dyDescent="0.25">
      <c r="A749" s="46" t="str">
        <f>UPPER(IF(PLANPRODUCCION[[#This Row],[FECHA]]&lt;=45701,_xlfn.CONCAT(TEXT(B749,"MMM"),"-",IF(ROW(A749)&lt;11,"000"&amp;ROW(A749)-1,IF(ROW(A749)&lt;101,"00"&amp;ROW(A749)-1,IF(ROW(A749)&lt;1001,"0"&amp;ROW(A749)-1,ROW(A749)-1))),"-OLD"),_xlfn.CONCAT(TEXT(B749,"MMM"),"-",IF(ROW(A749)&lt;473,"000"&amp;ROW(A749)-463,IF(ROW(A749)&lt;563,"00"&amp;ROW(A749)-463,IF(ROW(A749)&lt;1001,"0"&amp;ROW(A749)-463,ROW(A749)-463))))))</f>
        <v>MAR-0286</v>
      </c>
      <c r="B749" s="39">
        <v>45744</v>
      </c>
      <c r="C749" s="5">
        <v>3</v>
      </c>
      <c r="D749" s="5">
        <v>13</v>
      </c>
      <c r="E749" t="s">
        <v>54</v>
      </c>
      <c r="F749" s="2">
        <v>0.33333333333333331</v>
      </c>
      <c r="G749" s="2">
        <v>0.66666666666666663</v>
      </c>
      <c r="H749" s="5">
        <v>1605</v>
      </c>
      <c r="I749" t="s">
        <v>894</v>
      </c>
      <c r="J749" t="s">
        <v>895</v>
      </c>
      <c r="K749" s="5">
        <v>480</v>
      </c>
      <c r="L749" s="5" t="s">
        <v>57</v>
      </c>
      <c r="M749" s="49">
        <v>13.19</v>
      </c>
      <c r="N749" s="6">
        <f>PLANPRODUCCION[[#This Row],[PIEZAS PLANEADAS]]*PLANPRODUCCION[[#This Row],[PRECIO MAQUILAS]]</f>
        <v>6331.2</v>
      </c>
      <c r="O749" s="5">
        <v>4</v>
      </c>
      <c r="P749" s="2">
        <v>0.375</v>
      </c>
      <c r="Q749" s="2">
        <v>0.625</v>
      </c>
      <c r="R749" s="5">
        <v>522</v>
      </c>
      <c r="S749" s="7">
        <f>PLANPRODUCCION[[#This Row],[PRECIO MAQUILAS]]*PLANPRODUCCION[[#This Row],[PIEZAS REAL]]</f>
        <v>6885.1799999999994</v>
      </c>
      <c r="T74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480</v>
      </c>
      <c r="U74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1488</v>
      </c>
      <c r="V74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74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5397.1799999999994</v>
      </c>
      <c r="X749" s="8" t="s">
        <v>602</v>
      </c>
      <c r="Y74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4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4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49" s="13">
        <f>IF(PLANPRODUCCION[[#This Row],[PIEZAS REAL]]&gt;0,PLANPRODUCCION[[#This Row],[PIEZAS REAL]]/PLANPRODUCCION[[#This Row],[PIEZAS ACTUALIZADO]],)</f>
        <v>1.0874999999999999</v>
      </c>
      <c r="AC749" t="b">
        <f>PLANPRODUCCION[[#This Row],[INGRESO PLANEADO]]&lt;PLANPRODUCCION[[#This Row],[COSTO PLANEADO]]</f>
        <v>0</v>
      </c>
      <c r="AD749" s="46" t="s">
        <v>954</v>
      </c>
      <c r="AF749" t="b">
        <f>IF(COUNTIF(PLANPRODUCCION[[#This Row],[OBSERVACIONES]],"NO APLICA BONO*")&gt;0,TRUE,FALSE)</f>
        <v>0</v>
      </c>
    </row>
    <row r="750" spans="1:32" x14ac:dyDescent="0.25">
      <c r="A750" s="46" t="str">
        <f>UPPER(IF(PLANPRODUCCION[[#This Row],[FECHA]]&lt;=45701,_xlfn.CONCAT(TEXT(B750,"MMM"),"-",IF(ROW(A750)&lt;11,"000"&amp;ROW(A750)-1,IF(ROW(A750)&lt;101,"00"&amp;ROW(A750)-1,IF(ROW(A750)&lt;1001,"0"&amp;ROW(A750)-1,ROW(A750)-1))),"-OLD"),_xlfn.CONCAT(TEXT(B750,"MMM"),"-",IF(ROW(A750)&lt;473,"000"&amp;ROW(A750)-463,IF(ROW(A750)&lt;563,"00"&amp;ROW(A750)-463,IF(ROW(A750)&lt;1001,"0"&amp;ROW(A750)-463,ROW(A750)-463))))))</f>
        <v>MAR-0287</v>
      </c>
      <c r="B750" s="39">
        <v>45744</v>
      </c>
      <c r="C750" s="5">
        <v>3</v>
      </c>
      <c r="D750" s="5">
        <v>1</v>
      </c>
      <c r="E750" t="s">
        <v>54</v>
      </c>
      <c r="F750" s="2">
        <v>0.25</v>
      </c>
      <c r="G750" s="2">
        <v>0.5</v>
      </c>
      <c r="H750" s="5">
        <v>1601</v>
      </c>
      <c r="I750" t="s">
        <v>951</v>
      </c>
      <c r="J750" t="s">
        <v>445</v>
      </c>
      <c r="K750" s="5">
        <v>1300</v>
      </c>
      <c r="L750" s="5" t="s">
        <v>57</v>
      </c>
      <c r="M750" s="49">
        <v>1.2</v>
      </c>
      <c r="N750" s="6">
        <f>PLANPRODUCCION[[#This Row],[PIEZAS PLANEADAS]]*PLANPRODUCCION[[#This Row],[PRECIO MAQUILAS]]</f>
        <v>1560</v>
      </c>
      <c r="O750" s="5">
        <v>3</v>
      </c>
      <c r="P750" s="2">
        <v>0.25</v>
      </c>
      <c r="Q750" s="2">
        <v>0.5</v>
      </c>
      <c r="R750" s="5">
        <v>1796</v>
      </c>
      <c r="S750" s="7">
        <f>PLANPRODUCCION[[#This Row],[PRECIO MAQUILAS]]*PLANPRODUCCION[[#This Row],[PIEZAS REAL]]</f>
        <v>2155.1999999999998</v>
      </c>
      <c r="T75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1300</v>
      </c>
      <c r="U75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1116</v>
      </c>
      <c r="V75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1116</v>
      </c>
      <c r="W75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1039.1999999999998</v>
      </c>
      <c r="X750" s="8" t="s">
        <v>602</v>
      </c>
      <c r="Y75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5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5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50" s="13">
        <f>IF(PLANPRODUCCION[[#This Row],[PIEZAS REAL]]&gt;0,PLANPRODUCCION[[#This Row],[PIEZAS REAL]]/PLANPRODUCCION[[#This Row],[PIEZAS ACTUALIZADO]],)</f>
        <v>1.3815384615384616</v>
      </c>
      <c r="AC750" t="b">
        <f>PLANPRODUCCION[[#This Row],[INGRESO PLANEADO]]&lt;PLANPRODUCCION[[#This Row],[COSTO PLANEADO]]</f>
        <v>0</v>
      </c>
      <c r="AD750" s="46" t="s">
        <v>955</v>
      </c>
      <c r="AF750" t="b">
        <f>IF(COUNTIF(PLANPRODUCCION[[#This Row],[OBSERVACIONES]],"NO APLICA BONO*")&gt;0,TRUE,FALSE)</f>
        <v>0</v>
      </c>
    </row>
    <row r="751" spans="1:32" x14ac:dyDescent="0.25">
      <c r="A751" s="46" t="str">
        <f>UPPER(IF(PLANPRODUCCION[[#This Row],[FECHA]]&lt;=45701,_xlfn.CONCAT(TEXT(B751,"MMM"),"-",IF(ROW(A751)&lt;11,"000"&amp;ROW(A751)-1,IF(ROW(A751)&lt;101,"00"&amp;ROW(A751)-1,IF(ROW(A751)&lt;1001,"0"&amp;ROW(A751)-1,ROW(A751)-1))),"-OLD"),_xlfn.CONCAT(TEXT(B751,"MMM"),"-",IF(ROW(A751)&lt;473,"000"&amp;ROW(A751)-463,IF(ROW(A751)&lt;563,"00"&amp;ROW(A751)-463,IF(ROW(A751)&lt;1001,"0"&amp;ROW(A751)-463,ROW(A751)-463))))))</f>
        <v>MAR-0288</v>
      </c>
      <c r="B751" s="39">
        <v>45744</v>
      </c>
      <c r="C751" s="5">
        <v>3</v>
      </c>
      <c r="D751" s="5">
        <v>5</v>
      </c>
      <c r="E751" t="s">
        <v>54</v>
      </c>
      <c r="F751" s="2">
        <v>0.25</v>
      </c>
      <c r="G751" s="2">
        <v>0.5</v>
      </c>
      <c r="H751" s="5">
        <v>1601</v>
      </c>
      <c r="I751" t="s">
        <v>951</v>
      </c>
      <c r="J751" t="s">
        <v>445</v>
      </c>
      <c r="K751" s="5">
        <v>1300</v>
      </c>
      <c r="L751" s="5" t="s">
        <v>57</v>
      </c>
      <c r="M751" s="49">
        <v>1.2</v>
      </c>
      <c r="N751" s="6">
        <f>PLANPRODUCCION[[#This Row],[PIEZAS PLANEADAS]]*PLANPRODUCCION[[#This Row],[PRECIO MAQUILAS]]</f>
        <v>1560</v>
      </c>
      <c r="O751" s="5">
        <v>3</v>
      </c>
      <c r="P751" s="2">
        <v>0.25</v>
      </c>
      <c r="Q751" s="2">
        <v>0.5</v>
      </c>
      <c r="R751" s="5">
        <v>2177</v>
      </c>
      <c r="S751" s="7">
        <f>PLANPRODUCCION[[#This Row],[PRECIO MAQUILAS]]*PLANPRODUCCION[[#This Row],[PIEZAS REAL]]</f>
        <v>2612.4</v>
      </c>
      <c r="T75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1300</v>
      </c>
      <c r="U75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1116</v>
      </c>
      <c r="V75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1116</v>
      </c>
      <c r="W75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1496.4</v>
      </c>
      <c r="X751" s="8" t="s">
        <v>602</v>
      </c>
      <c r="Y75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5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5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51" s="13">
        <f>IF(PLANPRODUCCION[[#This Row],[PIEZAS REAL]]&gt;0,PLANPRODUCCION[[#This Row],[PIEZAS REAL]]/PLANPRODUCCION[[#This Row],[PIEZAS ACTUALIZADO]],)</f>
        <v>1.6746153846153846</v>
      </c>
      <c r="AC751" t="b">
        <f>PLANPRODUCCION[[#This Row],[INGRESO PLANEADO]]&lt;PLANPRODUCCION[[#This Row],[COSTO PLANEADO]]</f>
        <v>0</v>
      </c>
      <c r="AD751" s="46" t="s">
        <v>956</v>
      </c>
      <c r="AF751" t="b">
        <f>IF(COUNTIF(PLANPRODUCCION[[#This Row],[OBSERVACIONES]],"NO APLICA BONO*")&gt;0,TRUE,FALSE)</f>
        <v>0</v>
      </c>
    </row>
    <row r="752" spans="1:32" x14ac:dyDescent="0.25">
      <c r="A752" s="46" t="str">
        <f>UPPER(IF(PLANPRODUCCION[[#This Row],[FECHA]]&lt;=45701,_xlfn.CONCAT(TEXT(B752,"MMM"),"-",IF(ROW(A752)&lt;11,"000"&amp;ROW(A752)-1,IF(ROW(A752)&lt;101,"00"&amp;ROW(A752)-1,IF(ROW(A752)&lt;1001,"0"&amp;ROW(A752)-1,ROW(A752)-1))),"-OLD"),_xlfn.CONCAT(TEXT(B752,"MMM"),"-",IF(ROW(A752)&lt;473,"000"&amp;ROW(A752)-463,IF(ROW(A752)&lt;563,"00"&amp;ROW(A752)-463,IF(ROW(A752)&lt;1001,"0"&amp;ROW(A752)-463,ROW(A752)-463))))))</f>
        <v>MAR-0289</v>
      </c>
      <c r="B752" s="39">
        <v>45744</v>
      </c>
      <c r="C752" s="5">
        <v>1</v>
      </c>
      <c r="D752" s="5">
        <v>6</v>
      </c>
      <c r="E752" t="s">
        <v>54</v>
      </c>
      <c r="F752" s="2">
        <v>0.45833333333333331</v>
      </c>
      <c r="G752" s="2">
        <v>0.50277777777777777</v>
      </c>
      <c r="H752" s="5">
        <v>1601</v>
      </c>
      <c r="I752" t="s">
        <v>951</v>
      </c>
      <c r="J752" t="s">
        <v>445</v>
      </c>
      <c r="K752" s="5">
        <v>121</v>
      </c>
      <c r="L752" s="5" t="s">
        <v>57</v>
      </c>
      <c r="M752" s="4">
        <v>1.2</v>
      </c>
      <c r="N752" s="6">
        <f>PLANPRODUCCION[[#This Row],[PIEZAS PLANEADAS]]*PLANPRODUCCION[[#This Row],[PRECIO MAQUILAS]]</f>
        <v>145.19999999999999</v>
      </c>
      <c r="O752" s="5">
        <v>1</v>
      </c>
      <c r="P752" s="2">
        <v>0.45833333333333331</v>
      </c>
      <c r="Q752" s="2">
        <v>0.52777777777777779</v>
      </c>
      <c r="R752" s="5">
        <v>148</v>
      </c>
      <c r="S752" s="7">
        <f>PLANPRODUCCION[[#This Row],[PRECIO MAQUILAS]]*PLANPRODUCCION[[#This Row],[PIEZAS REAL]]</f>
        <v>177.6</v>
      </c>
      <c r="T75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190</v>
      </c>
      <c r="U75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66.13333333333334</v>
      </c>
      <c r="V75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103.33333333333334</v>
      </c>
      <c r="W75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74.266666666666652</v>
      </c>
      <c r="X752" s="8" t="s">
        <v>606</v>
      </c>
      <c r="Y752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5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5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52" s="13">
        <f>IF(PLANPRODUCCION[[#This Row],[PIEZAS REAL]]&gt;0,PLANPRODUCCION[[#This Row],[PIEZAS REAL]]/PLANPRODUCCION[[#This Row],[PIEZAS ACTUALIZADO]],)</f>
        <v>0.77894736842105261</v>
      </c>
      <c r="AC752" t="b">
        <f>PLANPRODUCCION[[#This Row],[INGRESO PLANEADO]]&lt;PLANPRODUCCION[[#This Row],[COSTO PLANEADO]]</f>
        <v>0</v>
      </c>
      <c r="AD752" s="46" t="s">
        <v>957</v>
      </c>
      <c r="AF752" t="b">
        <f>IF(COUNTIF(PLANPRODUCCION[[#This Row],[OBSERVACIONES]],"NO APLICA BONO*")&gt;0,TRUE,FALSE)</f>
        <v>0</v>
      </c>
    </row>
    <row r="753" spans="1:32" x14ac:dyDescent="0.25">
      <c r="A753" s="46" t="str">
        <f>UPPER(IF(PLANPRODUCCION[[#This Row],[FECHA]]&lt;=45701,_xlfn.CONCAT(TEXT(B753,"MMM"),"-",IF(ROW(A753)&lt;11,"000"&amp;ROW(A753)-1,IF(ROW(A753)&lt;101,"00"&amp;ROW(A753)-1,IF(ROW(A753)&lt;1001,"0"&amp;ROW(A753)-1,ROW(A753)-1))),"-OLD"),_xlfn.CONCAT(TEXT(B753,"MMM"),"-",IF(ROW(A753)&lt;473,"000"&amp;ROW(A753)-463,IF(ROW(A753)&lt;563,"00"&amp;ROW(A753)-463,IF(ROW(A753)&lt;1001,"0"&amp;ROW(A753)-463,ROW(A753)-463))))))</f>
        <v>MAR-0290</v>
      </c>
      <c r="B753" s="39">
        <v>45744</v>
      </c>
      <c r="C753" s="5">
        <v>2</v>
      </c>
      <c r="D753" s="5" t="s">
        <v>62</v>
      </c>
      <c r="E753" t="s">
        <v>72</v>
      </c>
      <c r="F753" s="2">
        <v>0.66666666666666663</v>
      </c>
      <c r="G753" s="2">
        <v>0.875</v>
      </c>
      <c r="H753" s="5">
        <v>1608</v>
      </c>
      <c r="I753" t="s">
        <v>958</v>
      </c>
      <c r="J753" t="s">
        <v>813</v>
      </c>
      <c r="K753" s="5">
        <v>2500</v>
      </c>
      <c r="L753" s="5" t="s">
        <v>65</v>
      </c>
      <c r="M753" s="49">
        <v>1.4</v>
      </c>
      <c r="N753" s="6">
        <f>PLANPRODUCCION[[#This Row],[PIEZAS PLANEADAS]]*PLANPRODUCCION[[#This Row],[PRECIO MAQUILAS]]</f>
        <v>3500</v>
      </c>
      <c r="O753" s="5">
        <v>1</v>
      </c>
      <c r="P753" s="2">
        <v>0.66666666666666663</v>
      </c>
      <c r="Q753" s="2">
        <v>0.875</v>
      </c>
      <c r="R753" s="5">
        <v>2513</v>
      </c>
      <c r="S753" s="7">
        <f>PLANPRODUCCION[[#This Row],[PRECIO MAQUILAS]]*PLANPRODUCCION[[#This Row],[PIEZAS REAL]]</f>
        <v>3518.2</v>
      </c>
      <c r="T75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1250</v>
      </c>
      <c r="U75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75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310</v>
      </c>
      <c r="W75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3208.2</v>
      </c>
      <c r="X753" s="8" t="s">
        <v>602</v>
      </c>
      <c r="Y753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5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5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53" s="13">
        <f>IF(PLANPRODUCCION[[#This Row],[PIEZAS REAL]]&gt;0,PLANPRODUCCION[[#This Row],[PIEZAS REAL]]/PLANPRODUCCION[[#This Row],[PIEZAS ACTUALIZADO]],)</f>
        <v>2.0104000000000002</v>
      </c>
      <c r="AC753" t="b">
        <f>PLANPRODUCCION[[#This Row],[INGRESO PLANEADO]]&lt;PLANPRODUCCION[[#This Row],[COSTO PLANEADO]]</f>
        <v>0</v>
      </c>
      <c r="AD753" s="46" t="s">
        <v>1130</v>
      </c>
      <c r="AF753" t="b">
        <f>IF(COUNTIF(PLANPRODUCCION[[#This Row],[OBSERVACIONES]],"NO APLICA BONO*")&gt;0,TRUE,FALSE)</f>
        <v>0</v>
      </c>
    </row>
    <row r="754" spans="1:32" x14ac:dyDescent="0.25">
      <c r="A754" s="46" t="str">
        <f>UPPER(IF(PLANPRODUCCION[[#This Row],[FECHA]]&lt;=45701,_xlfn.CONCAT(TEXT(B754,"MMM"),"-",IF(ROW(A754)&lt;11,"000"&amp;ROW(A754)-1,IF(ROW(A754)&lt;101,"00"&amp;ROW(A754)-1,IF(ROW(A754)&lt;1001,"0"&amp;ROW(A754)-1,ROW(A754)-1))),"-OLD"),_xlfn.CONCAT(TEXT(B754,"MMM"),"-",IF(ROW(A754)&lt;473,"000"&amp;ROW(A754)-463,IF(ROW(A754)&lt;563,"00"&amp;ROW(A754)-463,IF(ROW(A754)&lt;1001,"0"&amp;ROW(A754)-463,ROW(A754)-463))))))</f>
        <v>MAR-0291</v>
      </c>
      <c r="B754" s="39">
        <v>45735</v>
      </c>
      <c r="C754" s="5">
        <v>2</v>
      </c>
      <c r="D754" s="5">
        <v>13</v>
      </c>
      <c r="E754" t="s">
        <v>54</v>
      </c>
      <c r="F754" s="2">
        <v>0.33333333333333331</v>
      </c>
      <c r="G754" s="2">
        <v>0.66666666666666663</v>
      </c>
      <c r="H754" s="5">
        <v>1605</v>
      </c>
      <c r="I754" t="s">
        <v>894</v>
      </c>
      <c r="J754" t="s">
        <v>959</v>
      </c>
      <c r="K754" s="5">
        <v>1920</v>
      </c>
      <c r="L754" s="5" t="s">
        <v>57</v>
      </c>
      <c r="M754" s="49">
        <v>1.32</v>
      </c>
      <c r="N754" s="6">
        <f>PLANPRODUCCION[[#This Row],[PIEZAS PLANEADAS]]*PLANPRODUCCION[[#This Row],[PRECIO MAQUILAS]]</f>
        <v>2534.4</v>
      </c>
      <c r="O754" s="5">
        <v>2</v>
      </c>
      <c r="P754" s="2">
        <v>0.45833333333333331</v>
      </c>
      <c r="Q754" s="2">
        <v>0.66666666666666663</v>
      </c>
      <c r="R754" s="5">
        <v>1000</v>
      </c>
      <c r="S754" s="7">
        <f>PLANPRODUCCION[[#This Row],[PRECIO MAQUILAS]]*PLANPRODUCCION[[#This Row],[PIEZAS REAL]]</f>
        <v>1320</v>
      </c>
      <c r="T75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1200</v>
      </c>
      <c r="U75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992</v>
      </c>
      <c r="V75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75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700</v>
      </c>
      <c r="X754" s="8" t="s">
        <v>602</v>
      </c>
      <c r="Y75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5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5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54" s="13">
        <f>IF(PLANPRODUCCION[[#This Row],[PIEZAS REAL]]&gt;0,PLANPRODUCCION[[#This Row],[PIEZAS REAL]]/PLANPRODUCCION[[#This Row],[PIEZAS ACTUALIZADO]],)</f>
        <v>0.83333333333333337</v>
      </c>
      <c r="AC754" t="b">
        <f>PLANPRODUCCION[[#This Row],[INGRESO PLANEADO]]&lt;PLANPRODUCCION[[#This Row],[COSTO PLANEADO]]</f>
        <v>0</v>
      </c>
      <c r="AD754" s="47" t="s">
        <v>960</v>
      </c>
      <c r="AE754" t="s">
        <v>961</v>
      </c>
      <c r="AF754" t="b">
        <f>IF(COUNTIF(PLANPRODUCCION[[#This Row],[OBSERVACIONES]],"NO APLICA BONO*")&gt;0,TRUE,FALSE)</f>
        <v>0</v>
      </c>
    </row>
    <row r="755" spans="1:32" x14ac:dyDescent="0.25">
      <c r="A755" s="46" t="str">
        <f>UPPER(IF(PLANPRODUCCION[[#This Row],[FECHA]]&lt;=45701,_xlfn.CONCAT(TEXT(B755,"MMM"),"-",IF(ROW(A755)&lt;11,"000"&amp;ROW(A755)-1,IF(ROW(A755)&lt;101,"00"&amp;ROW(A755)-1,IF(ROW(A755)&lt;1001,"0"&amp;ROW(A755)-1,ROW(A755)-1))),"-OLD"),_xlfn.CONCAT(TEXT(B755,"MMM"),"-",IF(ROW(A755)&lt;473,"000"&amp;ROW(A755)-463,IF(ROW(A755)&lt;563,"00"&amp;ROW(A755)-463,IF(ROW(A755)&lt;1001,"0"&amp;ROW(A755)-463,ROW(A755)-463))))))</f>
        <v>MAR-0292</v>
      </c>
      <c r="B755" s="39">
        <v>45736</v>
      </c>
      <c r="C755" s="5">
        <v>2</v>
      </c>
      <c r="D755" s="5">
        <v>13</v>
      </c>
      <c r="E755" t="s">
        <v>54</v>
      </c>
      <c r="F755" s="2">
        <v>0.33333333333333331</v>
      </c>
      <c r="G755" s="2">
        <v>0.5</v>
      </c>
      <c r="H755" s="5">
        <v>1605</v>
      </c>
      <c r="I755" t="s">
        <v>894</v>
      </c>
      <c r="J755" t="s">
        <v>959</v>
      </c>
      <c r="K755" s="5">
        <v>960</v>
      </c>
      <c r="L755" s="5" t="s">
        <v>57</v>
      </c>
      <c r="M755" s="49">
        <v>1.32</v>
      </c>
      <c r="N755" s="6">
        <f>PLANPRODUCCION[[#This Row],[PIEZAS PLANEADAS]]*PLANPRODUCCION[[#This Row],[PRECIO MAQUILAS]]</f>
        <v>1267.2</v>
      </c>
      <c r="O755" s="5">
        <v>2</v>
      </c>
      <c r="P755" s="2">
        <v>0.41666666666666669</v>
      </c>
      <c r="Q755" s="2">
        <v>0.625</v>
      </c>
      <c r="R755" s="5">
        <v>1500</v>
      </c>
      <c r="S755" s="7">
        <f>PLANPRODUCCION[[#This Row],[PRECIO MAQUILAS]]*PLANPRODUCCION[[#This Row],[PIEZAS REAL]]</f>
        <v>1980</v>
      </c>
      <c r="T75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1200</v>
      </c>
      <c r="U75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496</v>
      </c>
      <c r="V75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75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1360</v>
      </c>
      <c r="X755" s="8" t="s">
        <v>602</v>
      </c>
      <c r="Y75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5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5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55" s="13">
        <f>IF(PLANPRODUCCION[[#This Row],[PIEZAS REAL]]&gt;0,PLANPRODUCCION[[#This Row],[PIEZAS REAL]]/PLANPRODUCCION[[#This Row],[PIEZAS ACTUALIZADO]],)</f>
        <v>1.25</v>
      </c>
      <c r="AC755" t="b">
        <f>PLANPRODUCCION[[#This Row],[INGRESO PLANEADO]]&lt;PLANPRODUCCION[[#This Row],[COSTO PLANEADO]]</f>
        <v>0</v>
      </c>
      <c r="AD755" s="46" t="s">
        <v>962</v>
      </c>
      <c r="AE755" t="s">
        <v>961</v>
      </c>
      <c r="AF755" t="b">
        <f>IF(COUNTIF(PLANPRODUCCION[[#This Row],[OBSERVACIONES]],"NO APLICA BONO*")&gt;0,TRUE,FALSE)</f>
        <v>0</v>
      </c>
    </row>
    <row r="756" spans="1:32" x14ac:dyDescent="0.25">
      <c r="A756" s="46" t="str">
        <f>UPPER(IF(PLANPRODUCCION[[#This Row],[FECHA]]&lt;=45701,_xlfn.CONCAT(TEXT(B756,"MMM"),"-",IF(ROW(A756)&lt;11,"000"&amp;ROW(A756)-1,IF(ROW(A756)&lt;101,"00"&amp;ROW(A756)-1,IF(ROW(A756)&lt;1001,"0"&amp;ROW(A756)-1,ROW(A756)-1))),"-OLD"),_xlfn.CONCAT(TEXT(B756,"MMM"),"-",IF(ROW(A756)&lt;473,"000"&amp;ROW(A756)-463,IF(ROW(A756)&lt;563,"00"&amp;ROW(A756)-463,IF(ROW(A756)&lt;1001,"0"&amp;ROW(A756)-463,ROW(A756)-463))))))</f>
        <v>MAR-0293</v>
      </c>
      <c r="B756" s="39">
        <v>45737</v>
      </c>
      <c r="C756" s="5">
        <v>3</v>
      </c>
      <c r="D756" s="5">
        <v>13</v>
      </c>
      <c r="E756" t="s">
        <v>54</v>
      </c>
      <c r="F756" s="2">
        <v>0.33333333333333331</v>
      </c>
      <c r="G756" s="2">
        <v>0.66666666666666663</v>
      </c>
      <c r="H756" s="5">
        <v>1605</v>
      </c>
      <c r="I756" t="s">
        <v>894</v>
      </c>
      <c r="J756" t="s">
        <v>959</v>
      </c>
      <c r="K756" s="5">
        <v>2880</v>
      </c>
      <c r="L756" s="5" t="s">
        <v>57</v>
      </c>
      <c r="M756" s="49">
        <v>1.32</v>
      </c>
      <c r="N756" s="6">
        <f>PLANPRODUCCION[[#This Row],[PIEZAS PLANEADAS]]*PLANPRODUCCION[[#This Row],[PRECIO MAQUILAS]]</f>
        <v>3801.6000000000004</v>
      </c>
      <c r="O756" s="5">
        <v>2</v>
      </c>
      <c r="P756" s="2">
        <v>0.33333333333333331</v>
      </c>
      <c r="Q756" s="2">
        <v>0.58333333333333337</v>
      </c>
      <c r="R756" s="5">
        <v>2500</v>
      </c>
      <c r="S756" s="7">
        <f>PLANPRODUCCION[[#This Row],[PRECIO MAQUILAS]]*PLANPRODUCCION[[#This Row],[PIEZAS REAL]]</f>
        <v>3300</v>
      </c>
      <c r="T75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1440</v>
      </c>
      <c r="U75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1488</v>
      </c>
      <c r="V75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75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2556</v>
      </c>
      <c r="X756" s="8" t="s">
        <v>602</v>
      </c>
      <c r="Y75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5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5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56" s="13">
        <f>IF(PLANPRODUCCION[[#This Row],[PIEZAS REAL]]&gt;0,PLANPRODUCCION[[#This Row],[PIEZAS REAL]]/PLANPRODUCCION[[#This Row],[PIEZAS ACTUALIZADO]],)</f>
        <v>1.7361111111111112</v>
      </c>
      <c r="AC756" t="b">
        <f>PLANPRODUCCION[[#This Row],[INGRESO PLANEADO]]&lt;PLANPRODUCCION[[#This Row],[COSTO PLANEADO]]</f>
        <v>0</v>
      </c>
      <c r="AD756" s="46" t="s">
        <v>963</v>
      </c>
      <c r="AE756" t="s">
        <v>961</v>
      </c>
      <c r="AF756" t="b">
        <f>IF(COUNTIF(PLANPRODUCCION[[#This Row],[OBSERVACIONES]],"NO APLICA BONO*")&gt;0,TRUE,FALSE)</f>
        <v>0</v>
      </c>
    </row>
    <row r="757" spans="1:32" x14ac:dyDescent="0.25">
      <c r="A757" s="46" t="str">
        <f>UPPER(IF(PLANPRODUCCION[[#This Row],[FECHA]]&lt;=45701,_xlfn.CONCAT(TEXT(B757,"MMM"),"-",IF(ROW(A757)&lt;11,"000"&amp;ROW(A757)-1,IF(ROW(A757)&lt;101,"00"&amp;ROW(A757)-1,IF(ROW(A757)&lt;1001,"0"&amp;ROW(A757)-1,ROW(A757)-1))),"-OLD"),_xlfn.CONCAT(TEXT(B757,"MMM"),"-",IF(ROW(A757)&lt;473,"000"&amp;ROW(A757)-463,IF(ROW(A757)&lt;563,"00"&amp;ROW(A757)-463,IF(ROW(A757)&lt;1001,"0"&amp;ROW(A757)-463,ROW(A757)-463))))))</f>
        <v>MAR-0294</v>
      </c>
      <c r="B757" s="39">
        <v>45747</v>
      </c>
      <c r="C757" s="5">
        <v>2</v>
      </c>
      <c r="D757" s="5">
        <v>1</v>
      </c>
      <c r="E757" t="s">
        <v>54</v>
      </c>
      <c r="F757" s="2">
        <v>0.25</v>
      </c>
      <c r="G757" s="2">
        <v>0.66666666666666663</v>
      </c>
      <c r="H757" s="5">
        <v>1614</v>
      </c>
      <c r="I757" t="s">
        <v>964</v>
      </c>
      <c r="J757" t="s">
        <v>965</v>
      </c>
      <c r="K757" s="5">
        <v>860</v>
      </c>
      <c r="L757" s="5" t="s">
        <v>57</v>
      </c>
      <c r="M757" s="4">
        <v>3</v>
      </c>
      <c r="N757" s="6">
        <f>PLANPRODUCCION[[#This Row],[PIEZAS PLANEADAS]]*PLANPRODUCCION[[#This Row],[PRECIO MAQUILAS]]</f>
        <v>2580</v>
      </c>
      <c r="O757" s="5">
        <v>2</v>
      </c>
      <c r="P757" s="2">
        <v>0.25</v>
      </c>
      <c r="Q757" s="2">
        <v>0.54166666666666663</v>
      </c>
      <c r="R757" s="5">
        <v>1000</v>
      </c>
      <c r="S757" s="7">
        <f>PLANPRODUCCION[[#This Row],[PRECIO MAQUILAS]]*PLANPRODUCCION[[#This Row],[PIEZAS REAL]]</f>
        <v>3000</v>
      </c>
      <c r="T75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602</v>
      </c>
      <c r="U75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75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868</v>
      </c>
      <c r="W75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2132</v>
      </c>
      <c r="X757" s="8" t="s">
        <v>602</v>
      </c>
      <c r="Y75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5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5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57" s="13">
        <f>IF(PLANPRODUCCION[[#This Row],[PIEZAS REAL]]&gt;0,PLANPRODUCCION[[#This Row],[PIEZAS REAL]]/PLANPRODUCCION[[#This Row],[PIEZAS ACTUALIZADO]],)</f>
        <v>1.6611295681063123</v>
      </c>
      <c r="AC757" t="b">
        <f>PLANPRODUCCION[[#This Row],[INGRESO PLANEADO]]&lt;PLANPRODUCCION[[#This Row],[COSTO PLANEADO]]</f>
        <v>0</v>
      </c>
      <c r="AD757" s="46" t="s">
        <v>1131</v>
      </c>
      <c r="AF757" t="b">
        <f>IF(COUNTIF(PLANPRODUCCION[[#This Row],[OBSERVACIONES]],"NO APLICA BONO*")&gt;0,TRUE,FALSE)</f>
        <v>0</v>
      </c>
    </row>
    <row r="758" spans="1:32" x14ac:dyDescent="0.25">
      <c r="A758" s="46" t="str">
        <f>UPPER(IF(PLANPRODUCCION[[#This Row],[FECHA]]&lt;=45701,_xlfn.CONCAT(TEXT(B758,"MMM"),"-",IF(ROW(A758)&lt;11,"000"&amp;ROW(A758)-1,IF(ROW(A758)&lt;101,"00"&amp;ROW(A758)-1,IF(ROW(A758)&lt;1001,"0"&amp;ROW(A758)-1,ROW(A758)-1))),"-OLD"),_xlfn.CONCAT(TEXT(B758,"MMM"),"-",IF(ROW(A758)&lt;473,"000"&amp;ROW(A758)-463,IF(ROW(A758)&lt;563,"00"&amp;ROW(A758)-463,IF(ROW(A758)&lt;1001,"0"&amp;ROW(A758)-463,ROW(A758)-463))))))</f>
        <v>MAR-0295</v>
      </c>
      <c r="B758" s="39">
        <v>45747</v>
      </c>
      <c r="C758" s="5">
        <v>2</v>
      </c>
      <c r="D758" s="5">
        <v>1</v>
      </c>
      <c r="E758" t="s">
        <v>54</v>
      </c>
      <c r="F758" s="2">
        <v>0.54166666666666663</v>
      </c>
      <c r="G758" s="2">
        <v>0.66666666666666663</v>
      </c>
      <c r="H758" s="5">
        <v>1608</v>
      </c>
      <c r="I758" t="s">
        <v>1128</v>
      </c>
      <c r="J758" t="s">
        <v>68</v>
      </c>
      <c r="K758" s="5">
        <v>300</v>
      </c>
      <c r="L758" s="5" t="s">
        <v>57</v>
      </c>
      <c r="M758" s="4">
        <v>1.4</v>
      </c>
      <c r="N758" s="6">
        <f>PLANPRODUCCION[[#This Row],[PIEZAS PLANEADAS]]*PLANPRODUCCION[[#This Row],[PRECIO MAQUILAS]]</f>
        <v>420</v>
      </c>
      <c r="O758" s="5">
        <v>2</v>
      </c>
      <c r="P758" s="2">
        <v>0.54166666666666663</v>
      </c>
      <c r="Q758" s="2">
        <v>0.66666666666666663</v>
      </c>
      <c r="R758" s="5">
        <v>0</v>
      </c>
      <c r="S758" s="7">
        <f>PLANPRODUCCION[[#This Row],[PRECIO MAQUILAS]]*PLANPRODUCCION[[#This Row],[PIEZAS REAL]]</f>
        <v>0</v>
      </c>
      <c r="T75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300</v>
      </c>
      <c r="U75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</v>
      </c>
      <c r="V75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75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-372</v>
      </c>
      <c r="X758" s="8" t="s">
        <v>606</v>
      </c>
      <c r="Y75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5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58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758" s="13">
        <f>IF(PLANPRODUCCION[[#This Row],[PIEZAS REAL]]&gt;0,PLANPRODUCCION[[#This Row],[PIEZAS REAL]]/PLANPRODUCCION[[#This Row],[PIEZAS ACTUALIZADO]],)</f>
        <v>0</v>
      </c>
      <c r="AC758" t="b">
        <f>PLANPRODUCCION[[#This Row],[INGRESO PLANEADO]]&lt;PLANPRODUCCION[[#This Row],[COSTO PLANEADO]]</f>
        <v>0</v>
      </c>
      <c r="AD758" s="46" t="s">
        <v>1132</v>
      </c>
      <c r="AE758" t="s">
        <v>1133</v>
      </c>
      <c r="AF758" t="b">
        <f>IF(COUNTIF(PLANPRODUCCION[[#This Row],[OBSERVACIONES]],"NO APLICA BONO*")&gt;0,TRUE,FALSE)</f>
        <v>0</v>
      </c>
    </row>
    <row r="759" spans="1:32" x14ac:dyDescent="0.25">
      <c r="A759" s="46" t="str">
        <f>UPPER(IF(PLANPRODUCCION[[#This Row],[FECHA]]&lt;=45701,_xlfn.CONCAT(TEXT(B759,"MMM"),"-",IF(ROW(A759)&lt;11,"000"&amp;ROW(A759)-1,IF(ROW(A759)&lt;101,"00"&amp;ROW(A759)-1,IF(ROW(A759)&lt;1001,"0"&amp;ROW(A759)-1,ROW(A759)-1))),"-OLD"),_xlfn.CONCAT(TEXT(B759,"MMM"),"-",IF(ROW(A759)&lt;473,"000"&amp;ROW(A759)-463,IF(ROW(A759)&lt;563,"00"&amp;ROW(A759)-463,IF(ROW(A759)&lt;1001,"0"&amp;ROW(A759)-463,ROW(A759)-463))))))</f>
        <v>MAR-0296</v>
      </c>
      <c r="B759" s="39">
        <v>45747</v>
      </c>
      <c r="C759" s="5">
        <v>2</v>
      </c>
      <c r="D759" s="5">
        <v>3</v>
      </c>
      <c r="E759" t="s">
        <v>54</v>
      </c>
      <c r="F759" s="2">
        <v>0.25</v>
      </c>
      <c r="G759" s="2">
        <v>0.66666666666666663</v>
      </c>
      <c r="H759" s="5">
        <v>1614</v>
      </c>
      <c r="I759" t="s">
        <v>964</v>
      </c>
      <c r="J759" t="s">
        <v>965</v>
      </c>
      <c r="K759" s="5">
        <v>860</v>
      </c>
      <c r="L759" s="5" t="s">
        <v>57</v>
      </c>
      <c r="M759" s="4">
        <v>3</v>
      </c>
      <c r="N759" s="6">
        <f>PLANPRODUCCION[[#This Row],[PIEZAS PLANEADAS]]*PLANPRODUCCION[[#This Row],[PRECIO MAQUILAS]]</f>
        <v>2580</v>
      </c>
      <c r="O759" s="5">
        <v>2</v>
      </c>
      <c r="P759" s="2">
        <v>0.25</v>
      </c>
      <c r="Q759" s="2">
        <v>0.54166666666666663</v>
      </c>
      <c r="R759" s="5">
        <v>1000</v>
      </c>
      <c r="S759" s="7">
        <f>PLANPRODUCCION[[#This Row],[PRECIO MAQUILAS]]*PLANPRODUCCION[[#This Row],[PIEZAS REAL]]</f>
        <v>3000</v>
      </c>
      <c r="T75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602</v>
      </c>
      <c r="U75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75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868</v>
      </c>
      <c r="W75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2132</v>
      </c>
      <c r="X759" s="8" t="s">
        <v>602</v>
      </c>
      <c r="Y75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5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5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59" s="13">
        <f>IF(PLANPRODUCCION[[#This Row],[PIEZAS REAL]]&gt;0,PLANPRODUCCION[[#This Row],[PIEZAS REAL]]/PLANPRODUCCION[[#This Row],[PIEZAS ACTUALIZADO]],)</f>
        <v>1.6611295681063123</v>
      </c>
      <c r="AC759" t="b">
        <f>PLANPRODUCCION[[#This Row],[INGRESO PLANEADO]]&lt;PLANPRODUCCION[[#This Row],[COSTO PLANEADO]]</f>
        <v>0</v>
      </c>
      <c r="AD759" s="46" t="s">
        <v>1134</v>
      </c>
      <c r="AF759" t="b">
        <f>IF(COUNTIF(PLANPRODUCCION[[#This Row],[OBSERVACIONES]],"NO APLICA BONO*")&gt;0,TRUE,FALSE)</f>
        <v>0</v>
      </c>
    </row>
    <row r="760" spans="1:32" x14ac:dyDescent="0.25">
      <c r="A760" s="46" t="str">
        <f>UPPER(IF(PLANPRODUCCION[[#This Row],[FECHA]]&lt;=45701,_xlfn.CONCAT(TEXT(B760,"MMM"),"-",IF(ROW(A760)&lt;11,"000"&amp;ROW(A760)-1,IF(ROW(A760)&lt;101,"00"&amp;ROW(A760)-1,IF(ROW(A760)&lt;1001,"0"&amp;ROW(A760)-1,ROW(A760)-1))),"-OLD"),_xlfn.CONCAT(TEXT(B760,"MMM"),"-",IF(ROW(A760)&lt;473,"000"&amp;ROW(A760)-463,IF(ROW(A760)&lt;563,"00"&amp;ROW(A760)-463,IF(ROW(A760)&lt;1001,"0"&amp;ROW(A760)-463,ROW(A760)-463))))))</f>
        <v>MAR-0297</v>
      </c>
      <c r="B760" s="39">
        <v>45747</v>
      </c>
      <c r="C760" s="5">
        <v>2</v>
      </c>
      <c r="D760" s="5">
        <v>3</v>
      </c>
      <c r="E760" t="s">
        <v>54</v>
      </c>
      <c r="F760" s="2">
        <v>0.54166666666666663</v>
      </c>
      <c r="G760" s="2">
        <v>0.66666666666666663</v>
      </c>
      <c r="H760" s="5">
        <v>1608</v>
      </c>
      <c r="I760" t="s">
        <v>1128</v>
      </c>
      <c r="J760" t="s">
        <v>68</v>
      </c>
      <c r="K760" s="5">
        <v>300</v>
      </c>
      <c r="L760" s="5" t="s">
        <v>57</v>
      </c>
      <c r="M760" s="4">
        <v>1.4</v>
      </c>
      <c r="N760" s="6">
        <f>PLANPRODUCCION[[#This Row],[PIEZAS PLANEADAS]]*PLANPRODUCCION[[#This Row],[PRECIO MAQUILAS]]</f>
        <v>420</v>
      </c>
      <c r="O760" s="5">
        <v>2</v>
      </c>
      <c r="P760" s="2">
        <v>0.54166666666666663</v>
      </c>
      <c r="Q760" s="2">
        <v>0.66666666666666663</v>
      </c>
      <c r="R760" s="5">
        <v>0</v>
      </c>
      <c r="S760" s="7">
        <f>PLANPRODUCCION[[#This Row],[PRECIO MAQUILAS]]*PLANPRODUCCION[[#This Row],[PIEZAS REAL]]</f>
        <v>0</v>
      </c>
      <c r="T76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300</v>
      </c>
      <c r="U76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</v>
      </c>
      <c r="V76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76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-372</v>
      </c>
      <c r="X760" s="8" t="s">
        <v>606</v>
      </c>
      <c r="Y76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6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60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760" s="13">
        <f>IF(PLANPRODUCCION[[#This Row],[PIEZAS REAL]]&gt;0,PLANPRODUCCION[[#This Row],[PIEZAS REAL]]/PLANPRODUCCION[[#This Row],[PIEZAS ACTUALIZADO]],)</f>
        <v>0</v>
      </c>
      <c r="AC760" t="b">
        <f>PLANPRODUCCION[[#This Row],[INGRESO PLANEADO]]&lt;PLANPRODUCCION[[#This Row],[COSTO PLANEADO]]</f>
        <v>0</v>
      </c>
      <c r="AD760" s="46" t="s">
        <v>1135</v>
      </c>
      <c r="AE760" t="s">
        <v>1133</v>
      </c>
      <c r="AF760" t="b">
        <f>IF(COUNTIF(PLANPRODUCCION[[#This Row],[OBSERVACIONES]],"NO APLICA BONO*")&gt;0,TRUE,FALSE)</f>
        <v>0</v>
      </c>
    </row>
    <row r="761" spans="1:32" x14ac:dyDescent="0.25">
      <c r="A761" s="46" t="str">
        <f>UPPER(IF(PLANPRODUCCION[[#This Row],[FECHA]]&lt;=45701,_xlfn.CONCAT(TEXT(B761,"MMM"),"-",IF(ROW(A761)&lt;11,"000"&amp;ROW(A761)-1,IF(ROW(A761)&lt;101,"00"&amp;ROW(A761)-1,IF(ROW(A761)&lt;1001,"0"&amp;ROW(A761)-1,ROW(A761)-1))),"-OLD"),_xlfn.CONCAT(TEXT(B761,"MMM"),"-",IF(ROW(A761)&lt;473,"000"&amp;ROW(A761)-463,IF(ROW(A761)&lt;563,"00"&amp;ROW(A761)-463,IF(ROW(A761)&lt;1001,"0"&amp;ROW(A761)-463,ROW(A761)-463))))))</f>
        <v>MAR-0298</v>
      </c>
      <c r="B761" s="39">
        <v>45747</v>
      </c>
      <c r="C761" s="5">
        <v>2</v>
      </c>
      <c r="D761" s="5">
        <v>4</v>
      </c>
      <c r="E761" t="s">
        <v>54</v>
      </c>
      <c r="F761" s="2">
        <v>0.25</v>
      </c>
      <c r="G761" s="2">
        <v>0.66666666666666663</v>
      </c>
      <c r="H761" s="5">
        <v>1614</v>
      </c>
      <c r="I761" t="s">
        <v>964</v>
      </c>
      <c r="J761" t="s">
        <v>965</v>
      </c>
      <c r="K761" s="5">
        <v>860</v>
      </c>
      <c r="L761" s="5" t="s">
        <v>57</v>
      </c>
      <c r="M761" s="4">
        <v>3</v>
      </c>
      <c r="N761" s="6">
        <f>PLANPRODUCCION[[#This Row],[PIEZAS PLANEADAS]]*PLANPRODUCCION[[#This Row],[PRECIO MAQUILAS]]</f>
        <v>2580</v>
      </c>
      <c r="O761" s="5">
        <v>2</v>
      </c>
      <c r="P761" s="2">
        <v>0.25</v>
      </c>
      <c r="Q761" s="2">
        <v>0.66666666666666663</v>
      </c>
      <c r="R761" s="5">
        <v>450</v>
      </c>
      <c r="S761" s="7">
        <f>PLANPRODUCCION[[#This Row],[PRECIO MAQUILAS]]*PLANPRODUCCION[[#This Row],[PIEZAS REAL]]</f>
        <v>1350</v>
      </c>
      <c r="T76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860</v>
      </c>
      <c r="U76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76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76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110</v>
      </c>
      <c r="X761" s="8" t="s">
        <v>602</v>
      </c>
      <c r="Y76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6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6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61" s="13">
        <f>IF(PLANPRODUCCION[[#This Row],[PIEZAS REAL]]&gt;0,PLANPRODUCCION[[#This Row],[PIEZAS REAL]]/PLANPRODUCCION[[#This Row],[PIEZAS ACTUALIZADO]],)</f>
        <v>0.52325581395348841</v>
      </c>
      <c r="AC761" t="b">
        <f>PLANPRODUCCION[[#This Row],[INGRESO PLANEADO]]&lt;PLANPRODUCCION[[#This Row],[COSTO PLANEADO]]</f>
        <v>0</v>
      </c>
      <c r="AD761" s="46" t="s">
        <v>1136</v>
      </c>
      <c r="AE761" t="s">
        <v>1137</v>
      </c>
      <c r="AF761" t="b">
        <f>IF(COUNTIF(PLANPRODUCCION[[#This Row],[OBSERVACIONES]],"NO APLICA BONO*")&gt;0,TRUE,FALSE)</f>
        <v>0</v>
      </c>
    </row>
    <row r="762" spans="1:32" x14ac:dyDescent="0.25">
      <c r="A762" s="46" t="str">
        <f>UPPER(IF(PLANPRODUCCION[[#This Row],[FECHA]]&lt;=45701,_xlfn.CONCAT(TEXT(B762,"MMM"),"-",IF(ROW(A762)&lt;11,"000"&amp;ROW(A762)-1,IF(ROW(A762)&lt;101,"00"&amp;ROW(A762)-1,IF(ROW(A762)&lt;1001,"0"&amp;ROW(A762)-1,ROW(A762)-1))),"-OLD"),_xlfn.CONCAT(TEXT(B762,"MMM"),"-",IF(ROW(A762)&lt;473,"000"&amp;ROW(A762)-463,IF(ROW(A762)&lt;563,"00"&amp;ROW(A762)-463,IF(ROW(A762)&lt;1001,"0"&amp;ROW(A762)-463,ROW(A762)-463))))))</f>
        <v>MAR-0299</v>
      </c>
      <c r="B762" s="39">
        <v>45747</v>
      </c>
      <c r="C762" s="5">
        <v>2</v>
      </c>
      <c r="D762" s="5" t="s">
        <v>62</v>
      </c>
      <c r="E762" t="s">
        <v>54</v>
      </c>
      <c r="F762" s="2">
        <v>0.25</v>
      </c>
      <c r="G762" s="2">
        <v>0.66666666666666663</v>
      </c>
      <c r="H762" s="5">
        <v>1608</v>
      </c>
      <c r="I762" t="s">
        <v>958</v>
      </c>
      <c r="J762" t="s">
        <v>813</v>
      </c>
      <c r="K762" s="5">
        <v>5000</v>
      </c>
      <c r="L762" s="5" t="s">
        <v>65</v>
      </c>
      <c r="M762" s="4">
        <v>1.4</v>
      </c>
      <c r="N762" s="6">
        <f>PLANPRODUCCION[[#This Row],[PIEZAS PLANEADAS]]*PLANPRODUCCION[[#This Row],[PRECIO MAQUILAS]]</f>
        <v>7000</v>
      </c>
      <c r="O762" s="5">
        <v>2</v>
      </c>
      <c r="P762" s="2">
        <v>0.25</v>
      </c>
      <c r="Q762" s="2">
        <v>0.66666666666666663</v>
      </c>
      <c r="R762" s="5">
        <v>5000</v>
      </c>
      <c r="S762" s="7">
        <f>PLANPRODUCCION[[#This Row],[PRECIO MAQUILAS]]*PLANPRODUCCION[[#This Row],[PIEZAS REAL]]</f>
        <v>7000</v>
      </c>
      <c r="T76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5000</v>
      </c>
      <c r="U76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76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76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5760</v>
      </c>
      <c r="X762" s="8" t="s">
        <v>602</v>
      </c>
      <c r="Y76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6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62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762" s="13">
        <f>IF(PLANPRODUCCION[[#This Row],[PIEZAS REAL]]&gt;0,PLANPRODUCCION[[#This Row],[PIEZAS REAL]]/PLANPRODUCCION[[#This Row],[PIEZAS ACTUALIZADO]],)</f>
        <v>1</v>
      </c>
      <c r="AC762" t="b">
        <f>PLANPRODUCCION[[#This Row],[INGRESO PLANEADO]]&lt;PLANPRODUCCION[[#This Row],[COSTO PLANEADO]]</f>
        <v>0</v>
      </c>
      <c r="AD762" s="46" t="s">
        <v>1138</v>
      </c>
      <c r="AF762" t="b">
        <f>IF(COUNTIF(PLANPRODUCCION[[#This Row],[OBSERVACIONES]],"NO APLICA BONO*")&gt;0,TRUE,FALSE)</f>
        <v>0</v>
      </c>
    </row>
    <row r="763" spans="1:32" x14ac:dyDescent="0.25">
      <c r="A763" s="46" t="str">
        <f>UPPER(IF(PLANPRODUCCION[[#This Row],[FECHA]]&lt;=45701,_xlfn.CONCAT(TEXT(B763,"MMM"),"-",IF(ROW(A763)&lt;11,"000"&amp;ROW(A763)-1,IF(ROW(A763)&lt;101,"00"&amp;ROW(A763)-1,IF(ROW(A763)&lt;1001,"0"&amp;ROW(A763)-1,ROW(A763)-1))),"-OLD"),_xlfn.CONCAT(TEXT(B763,"MMM"),"-",IF(ROW(A763)&lt;473,"000"&amp;ROW(A763)-463,IF(ROW(A763)&lt;563,"00"&amp;ROW(A763)-463,IF(ROW(A763)&lt;1001,"0"&amp;ROW(A763)-463,ROW(A763)-463))))))</f>
        <v>MAR-0300</v>
      </c>
      <c r="B763" s="39">
        <v>45747</v>
      </c>
      <c r="C763" s="5">
        <v>4</v>
      </c>
      <c r="D763" s="5">
        <v>4</v>
      </c>
      <c r="E763" t="s">
        <v>54</v>
      </c>
      <c r="F763" s="2">
        <v>0.33333333333333331</v>
      </c>
      <c r="G763" s="2">
        <v>0.66666666666666663</v>
      </c>
      <c r="H763" s="5">
        <v>1605</v>
      </c>
      <c r="I763" t="s">
        <v>894</v>
      </c>
      <c r="J763" t="s">
        <v>895</v>
      </c>
      <c r="K763" s="5">
        <v>720</v>
      </c>
      <c r="L763" s="5" t="s">
        <v>57</v>
      </c>
      <c r="M763" s="4">
        <v>13.19</v>
      </c>
      <c r="N763" s="6">
        <f>PLANPRODUCCION[[#This Row],[PIEZAS PLANEADAS]]*PLANPRODUCCION[[#This Row],[PRECIO MAQUILAS]]</f>
        <v>9496.7999999999993</v>
      </c>
      <c r="O763" s="5">
        <v>4</v>
      </c>
      <c r="P763" s="2">
        <v>0.33333333333333331</v>
      </c>
      <c r="Q763" s="2">
        <v>0.63541666666666663</v>
      </c>
      <c r="R763" s="5">
        <v>738</v>
      </c>
      <c r="S763" s="7">
        <f>PLANPRODUCCION[[#This Row],[PRECIO MAQUILAS]]*PLANPRODUCCION[[#This Row],[PIEZAS REAL]]</f>
        <v>9734.2199999999993</v>
      </c>
      <c r="T76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653</v>
      </c>
      <c r="U76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1984</v>
      </c>
      <c r="V76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1798</v>
      </c>
      <c r="W76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7936.2199999999993</v>
      </c>
      <c r="X763" s="8" t="s">
        <v>602</v>
      </c>
      <c r="Y76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6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6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63" s="13">
        <f>IF(PLANPRODUCCION[[#This Row],[PIEZAS REAL]]&gt;0,PLANPRODUCCION[[#This Row],[PIEZAS REAL]]/PLANPRODUCCION[[#This Row],[PIEZAS ACTUALIZADO]],)</f>
        <v>1.1301684532924963</v>
      </c>
      <c r="AC763" t="b">
        <f>PLANPRODUCCION[[#This Row],[INGRESO PLANEADO]]&lt;PLANPRODUCCION[[#This Row],[COSTO PLANEADO]]</f>
        <v>0</v>
      </c>
      <c r="AD763" s="46" t="s">
        <v>1139</v>
      </c>
      <c r="AF763" t="b">
        <f>IF(COUNTIF(PLANPRODUCCION[[#This Row],[OBSERVACIONES]],"NO APLICA BONO*")&gt;0,TRUE,FALSE)</f>
        <v>0</v>
      </c>
    </row>
    <row r="764" spans="1:32" x14ac:dyDescent="0.25">
      <c r="A764" s="46" t="str">
        <f>UPPER(IF(PLANPRODUCCION[[#This Row],[FECHA]]&lt;=45701,_xlfn.CONCAT(TEXT(B764,"MMM"),"-",IF(ROW(A764)&lt;11,"000"&amp;ROW(A764)-1,IF(ROW(A764)&lt;101,"00"&amp;ROW(A764)-1,IF(ROW(A764)&lt;1001,"0"&amp;ROW(A764)-1,ROW(A764)-1))),"-OLD"),_xlfn.CONCAT(TEXT(B764,"MMM"),"-",IF(ROW(A764)&lt;473,"000"&amp;ROW(A764)-463,IF(ROW(A764)&lt;563,"00"&amp;ROW(A764)-463,IF(ROW(A764)&lt;1001,"0"&amp;ROW(A764)-463,ROW(A764)-463))))))</f>
        <v>MAR-0301</v>
      </c>
      <c r="B764" s="39">
        <v>45747</v>
      </c>
      <c r="C764" s="5">
        <v>1</v>
      </c>
      <c r="D764" s="5">
        <v>5</v>
      </c>
      <c r="E764" t="s">
        <v>110</v>
      </c>
      <c r="F764" s="2">
        <v>0.54166666666666663</v>
      </c>
      <c r="G764" s="2">
        <v>0.875</v>
      </c>
      <c r="H764" s="5">
        <v>1608</v>
      </c>
      <c r="I764" t="s">
        <v>1128</v>
      </c>
      <c r="J764" t="s">
        <v>68</v>
      </c>
      <c r="K764" s="5">
        <v>500</v>
      </c>
      <c r="L764" s="5" t="s">
        <v>57</v>
      </c>
      <c r="M764" s="4">
        <v>1.4</v>
      </c>
      <c r="N764" s="6">
        <f>PLANPRODUCCION[[#This Row],[PIEZAS PLANEADAS]]*PLANPRODUCCION[[#This Row],[PRECIO MAQUILAS]]</f>
        <v>700</v>
      </c>
      <c r="O764" s="5">
        <v>0</v>
      </c>
      <c r="P764" s="2">
        <v>0</v>
      </c>
      <c r="Q764" s="2">
        <v>0</v>
      </c>
      <c r="R764" s="5">
        <v>0</v>
      </c>
      <c r="S764" s="7">
        <f>PLANPRODUCCION[[#This Row],[PRECIO MAQUILAS]]*PLANPRODUCCION[[#This Row],[PIEZAS REAL]]</f>
        <v>0</v>
      </c>
      <c r="T76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76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6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76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764" s="8" t="s">
        <v>602</v>
      </c>
      <c r="Y764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76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764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764" s="13">
        <f>IF(PLANPRODUCCION[[#This Row],[PIEZAS REAL]]&gt;0,PLANPRODUCCION[[#This Row],[PIEZAS REAL]]/PLANPRODUCCION[[#This Row],[PIEZAS ACTUALIZADO]],)</f>
        <v>0</v>
      </c>
      <c r="AC764" t="b">
        <f>PLANPRODUCCION[[#This Row],[INGRESO PLANEADO]]&lt;PLANPRODUCCION[[#This Row],[COSTO PLANEADO]]</f>
        <v>0</v>
      </c>
      <c r="AD764" s="46" t="s">
        <v>1140</v>
      </c>
      <c r="AF764" t="b">
        <f>IF(COUNTIF(PLANPRODUCCION[[#This Row],[OBSERVACIONES]],"NO APLICA BONO*")&gt;0,TRUE,FALSE)</f>
        <v>0</v>
      </c>
    </row>
    <row r="765" spans="1:32" x14ac:dyDescent="0.25">
      <c r="A765" s="46" t="str">
        <f>UPPER(IF(PLANPRODUCCION[[#This Row],[FECHA]]&lt;=45701,_xlfn.CONCAT(TEXT(B765,"MMM"),"-",IF(ROW(A765)&lt;11,"000"&amp;ROW(A765)-1,IF(ROW(A765)&lt;101,"00"&amp;ROW(A765)-1,IF(ROW(A765)&lt;1001,"0"&amp;ROW(A765)-1,ROW(A765)-1))),"-OLD"),_xlfn.CONCAT(TEXT(B765,"MMM"),"-",IF(ROW(A765)&lt;473,"000"&amp;ROW(A765)-463,IF(ROW(A765)&lt;563,"00"&amp;ROW(A765)-463,IF(ROW(A765)&lt;1001,"0"&amp;ROW(A765)-463,ROW(A765)-463))))))</f>
        <v>MAR-0302</v>
      </c>
      <c r="B765" s="39">
        <v>45747</v>
      </c>
      <c r="C765" s="5">
        <v>2</v>
      </c>
      <c r="D765" s="5" t="s">
        <v>62</v>
      </c>
      <c r="E765" t="s">
        <v>72</v>
      </c>
      <c r="F765" s="2">
        <v>0.66666666666666663</v>
      </c>
      <c r="G765" s="2">
        <v>0.875</v>
      </c>
      <c r="H765" s="5">
        <v>1608</v>
      </c>
      <c r="I765" t="s">
        <v>1129</v>
      </c>
      <c r="J765" t="s">
        <v>64</v>
      </c>
      <c r="K765" s="5">
        <v>2500</v>
      </c>
      <c r="L765" s="5" t="s">
        <v>65</v>
      </c>
      <c r="M765" s="4">
        <v>1.4</v>
      </c>
      <c r="N765" s="6">
        <f>PLANPRODUCCION[[#This Row],[PIEZAS PLANEADAS]]*PLANPRODUCCION[[#This Row],[PRECIO MAQUILAS]]</f>
        <v>3500</v>
      </c>
      <c r="O765" s="5">
        <v>2</v>
      </c>
      <c r="P765" s="2">
        <v>0.66666666666666663</v>
      </c>
      <c r="Q765" s="2">
        <v>0.875</v>
      </c>
      <c r="R765" s="5">
        <v>2529</v>
      </c>
      <c r="S765" s="7">
        <f>PLANPRODUCCION[[#This Row],[PRECIO MAQUILAS]]*PLANPRODUCCION[[#This Row],[PIEZAS REAL]]</f>
        <v>3540.6</v>
      </c>
      <c r="T76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2500</v>
      </c>
      <c r="U76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76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76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2920.6</v>
      </c>
      <c r="X765" s="8" t="s">
        <v>602</v>
      </c>
      <c r="Y76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6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6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65" s="13">
        <f>IF(PLANPRODUCCION[[#This Row],[PIEZAS REAL]]&gt;0,PLANPRODUCCION[[#This Row],[PIEZAS REAL]]/PLANPRODUCCION[[#This Row],[PIEZAS ACTUALIZADO]],)</f>
        <v>1.0116000000000001</v>
      </c>
      <c r="AC765" t="b">
        <f>PLANPRODUCCION[[#This Row],[INGRESO PLANEADO]]&lt;PLANPRODUCCION[[#This Row],[COSTO PLANEADO]]</f>
        <v>0</v>
      </c>
      <c r="AD765" s="46" t="s">
        <v>1141</v>
      </c>
      <c r="AF765" t="b">
        <f>IF(COUNTIF(PLANPRODUCCION[[#This Row],[OBSERVACIONES]],"NO APLICA BONO*")&gt;0,TRUE,FALSE)</f>
        <v>0</v>
      </c>
    </row>
    <row r="766" spans="1:32" x14ac:dyDescent="0.25">
      <c r="A766" s="46" t="str">
        <f>UPPER(IF(PLANPRODUCCION[[#This Row],[FECHA]]&lt;=45701,_xlfn.CONCAT(TEXT(B766,"MMM"),"-",IF(ROW(A766)&lt;11,"000"&amp;ROW(A766)-1,IF(ROW(A766)&lt;101,"00"&amp;ROW(A766)-1,IF(ROW(A766)&lt;1001,"0"&amp;ROW(A766)-1,ROW(A766)-1))),"-OLD"),_xlfn.CONCAT(TEXT(B766,"MMM"),"-",IF(ROW(A766)&lt;473,"000"&amp;ROW(A766)-463,IF(ROW(A766)&lt;563,"00"&amp;ROW(A766)-463,IF(ROW(A766)&lt;1001,"0"&amp;ROW(A766)-463,ROW(A766)-463))))))</f>
        <v>ABR-0303</v>
      </c>
      <c r="B766" s="39">
        <v>45748</v>
      </c>
      <c r="C766" s="5">
        <v>2</v>
      </c>
      <c r="D766" s="5" t="s">
        <v>62</v>
      </c>
      <c r="E766" t="s">
        <v>54</v>
      </c>
      <c r="F766" s="2">
        <v>0.25</v>
      </c>
      <c r="G766" s="2">
        <v>0.66666666666666663</v>
      </c>
      <c r="H766" s="5">
        <v>1608</v>
      </c>
      <c r="I766" t="s">
        <v>1129</v>
      </c>
      <c r="J766" t="s">
        <v>64</v>
      </c>
      <c r="K766" s="5">
        <v>5000</v>
      </c>
      <c r="L766" s="5" t="s">
        <v>65</v>
      </c>
      <c r="M766" s="4">
        <v>1.4</v>
      </c>
      <c r="N766" s="6">
        <f>PLANPRODUCCION[[#This Row],[PIEZAS PLANEADAS]]*PLANPRODUCCION[[#This Row],[PRECIO MAQUILAS]]</f>
        <v>7000</v>
      </c>
      <c r="O766" s="5">
        <v>2</v>
      </c>
      <c r="P766" s="2">
        <v>0.25</v>
      </c>
      <c r="Q766" s="2">
        <v>0.66666666666666663</v>
      </c>
      <c r="R766" s="5">
        <v>6000</v>
      </c>
      <c r="S766" s="7">
        <f>PLANPRODUCCION[[#This Row],[PRECIO MAQUILAS]]*PLANPRODUCCION[[#This Row],[PIEZAS REAL]]</f>
        <v>8400</v>
      </c>
      <c r="T76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5000</v>
      </c>
      <c r="U76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76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76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7160</v>
      </c>
      <c r="X766" s="8" t="s">
        <v>602</v>
      </c>
      <c r="Y766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6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6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66" s="13">
        <f>IF(PLANPRODUCCION[[#This Row],[PIEZAS REAL]]&gt;0,PLANPRODUCCION[[#This Row],[PIEZAS REAL]]/PLANPRODUCCION[[#This Row],[PIEZAS ACTUALIZADO]],)</f>
        <v>1.2</v>
      </c>
      <c r="AC766" t="b">
        <f>PLANPRODUCCION[[#This Row],[INGRESO PLANEADO]]&lt;PLANPRODUCCION[[#This Row],[COSTO PLANEADO]]</f>
        <v>0</v>
      </c>
      <c r="AD766" s="46" t="s">
        <v>1145</v>
      </c>
      <c r="AF766" t="b">
        <f>IF(COUNTIF(PLANPRODUCCION[[#This Row],[OBSERVACIONES]],"NO APLICA BONO*")&gt;0,TRUE,FALSE)</f>
        <v>0</v>
      </c>
    </row>
    <row r="767" spans="1:32" x14ac:dyDescent="0.25">
      <c r="A767" s="46" t="str">
        <f>UPPER(IF(PLANPRODUCCION[[#This Row],[FECHA]]&lt;=45701,_xlfn.CONCAT(TEXT(B767,"MMM"),"-",IF(ROW(A767)&lt;11,"000"&amp;ROW(A767)-1,IF(ROW(A767)&lt;101,"00"&amp;ROW(A767)-1,IF(ROW(A767)&lt;1001,"0"&amp;ROW(A767)-1,ROW(A767)-1))),"-OLD"),_xlfn.CONCAT(TEXT(B767,"MMM"),"-",IF(ROW(A767)&lt;473,"000"&amp;ROW(A767)-463,IF(ROW(A767)&lt;563,"00"&amp;ROW(A767)-463,IF(ROW(A767)&lt;1001,"0"&amp;ROW(A767)-463,ROW(A767)-463))))))</f>
        <v>ABR-0304</v>
      </c>
      <c r="B767" s="39">
        <v>45748</v>
      </c>
      <c r="C767" s="5">
        <v>3</v>
      </c>
      <c r="D767" s="5">
        <v>1</v>
      </c>
      <c r="E767" t="s">
        <v>54</v>
      </c>
      <c r="F767" s="2">
        <v>0.25</v>
      </c>
      <c r="G767" s="2">
        <v>0.33333333333333331</v>
      </c>
      <c r="H767" s="5">
        <v>1614</v>
      </c>
      <c r="I767" t="s">
        <v>964</v>
      </c>
      <c r="J767" t="s">
        <v>965</v>
      </c>
      <c r="K767" s="5">
        <v>500</v>
      </c>
      <c r="L767" s="5" t="s">
        <v>57</v>
      </c>
      <c r="M767" s="4">
        <v>3</v>
      </c>
      <c r="N767" s="6">
        <f>PLANPRODUCCION[[#This Row],[PIEZAS PLANEADAS]]*PLANPRODUCCION[[#This Row],[PRECIO MAQUILAS]]</f>
        <v>1500</v>
      </c>
      <c r="O767" s="5">
        <v>3</v>
      </c>
      <c r="P767" s="2">
        <v>0.25</v>
      </c>
      <c r="Q767" s="2">
        <v>0.33333333333333331</v>
      </c>
      <c r="R767" s="5">
        <v>550</v>
      </c>
      <c r="S767" s="7">
        <f>PLANPRODUCCION[[#This Row],[PRECIO MAQUILAS]]*PLANPRODUCCION[[#This Row],[PIEZAS REAL]]</f>
        <v>1650</v>
      </c>
      <c r="T76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500</v>
      </c>
      <c r="U76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</v>
      </c>
      <c r="V76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372</v>
      </c>
      <c r="W76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1278</v>
      </c>
      <c r="X767" s="8" t="s">
        <v>602</v>
      </c>
      <c r="Y76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6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6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67" s="13">
        <f>IF(PLANPRODUCCION[[#This Row],[PIEZAS REAL]]&gt;0,PLANPRODUCCION[[#This Row],[PIEZAS REAL]]/PLANPRODUCCION[[#This Row],[PIEZAS ACTUALIZADO]],)</f>
        <v>1.1000000000000001</v>
      </c>
      <c r="AC767" t="b">
        <f>PLANPRODUCCION[[#This Row],[INGRESO PLANEADO]]&lt;PLANPRODUCCION[[#This Row],[COSTO PLANEADO]]</f>
        <v>0</v>
      </c>
      <c r="AD767" s="46" t="s">
        <v>1146</v>
      </c>
      <c r="AE767" t="s">
        <v>1147</v>
      </c>
      <c r="AF767" t="b">
        <f>IF(COUNTIF(PLANPRODUCCION[[#This Row],[OBSERVACIONES]],"NO APLICA BONO*")&gt;0,TRUE,FALSE)</f>
        <v>1</v>
      </c>
    </row>
    <row r="768" spans="1:32" x14ac:dyDescent="0.25">
      <c r="A768" s="46" t="str">
        <f>UPPER(IF(PLANPRODUCCION[[#This Row],[FECHA]]&lt;=45701,_xlfn.CONCAT(TEXT(B768,"MMM"),"-",IF(ROW(A768)&lt;11,"000"&amp;ROW(A768)-1,IF(ROW(A768)&lt;101,"00"&amp;ROW(A768)-1,IF(ROW(A768)&lt;1001,"0"&amp;ROW(A768)-1,ROW(A768)-1))),"-OLD"),_xlfn.CONCAT(TEXT(B768,"MMM"),"-",IF(ROW(A768)&lt;473,"000"&amp;ROW(A768)-463,IF(ROW(A768)&lt;563,"00"&amp;ROW(A768)-463,IF(ROW(A768)&lt;1001,"0"&amp;ROW(A768)-463,ROW(A768)-463))))))</f>
        <v>ABR-0305</v>
      </c>
      <c r="B768" s="39">
        <v>45748</v>
      </c>
      <c r="C768" s="5">
        <v>3</v>
      </c>
      <c r="D768" s="5">
        <v>1</v>
      </c>
      <c r="E768" t="s">
        <v>54</v>
      </c>
      <c r="F768" s="2">
        <v>0.33333333333333331</v>
      </c>
      <c r="G768" s="2">
        <v>0.66666666666666663</v>
      </c>
      <c r="H768" s="5">
        <v>1608</v>
      </c>
      <c r="I768" t="s">
        <v>1128</v>
      </c>
      <c r="J768" t="s">
        <v>68</v>
      </c>
      <c r="K768" s="5">
        <v>1200</v>
      </c>
      <c r="L768" s="5" t="s">
        <v>57</v>
      </c>
      <c r="M768" s="4">
        <v>1.4</v>
      </c>
      <c r="N768" s="6">
        <f>PLANPRODUCCION[[#This Row],[PIEZAS PLANEADAS]]*PLANPRODUCCION[[#This Row],[PRECIO MAQUILAS]]</f>
        <v>1680</v>
      </c>
      <c r="O768" s="5">
        <v>3</v>
      </c>
      <c r="P768" s="2">
        <v>0.33333333333333331</v>
      </c>
      <c r="Q768" s="2">
        <v>0.66666666666666663</v>
      </c>
      <c r="R768" s="5">
        <v>410</v>
      </c>
      <c r="S768" s="7">
        <f>PLANPRODUCCION[[#This Row],[PRECIO MAQUILAS]]*PLANPRODUCCION[[#This Row],[PIEZAS REAL]]</f>
        <v>574</v>
      </c>
      <c r="T76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1200</v>
      </c>
      <c r="U76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1488</v>
      </c>
      <c r="V76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76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-914</v>
      </c>
      <c r="X768" s="8" t="s">
        <v>602</v>
      </c>
      <c r="Y768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6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6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68" s="13">
        <f>IF(PLANPRODUCCION[[#This Row],[PIEZAS REAL]]&gt;0,PLANPRODUCCION[[#This Row],[PIEZAS REAL]]/PLANPRODUCCION[[#This Row],[PIEZAS ACTUALIZADO]],)</f>
        <v>0.34166666666666667</v>
      </c>
      <c r="AC768" t="b">
        <f>PLANPRODUCCION[[#This Row],[INGRESO PLANEADO]]&lt;PLANPRODUCCION[[#This Row],[COSTO PLANEADO]]</f>
        <v>0</v>
      </c>
      <c r="AD768" s="46" t="s">
        <v>1148</v>
      </c>
      <c r="AF768" t="b">
        <f>IF(COUNTIF(PLANPRODUCCION[[#This Row],[OBSERVACIONES]],"NO APLICA BONO*")&gt;0,TRUE,FALSE)</f>
        <v>0</v>
      </c>
    </row>
    <row r="769" spans="1:32" x14ac:dyDescent="0.25">
      <c r="A769" s="46" t="str">
        <f>UPPER(IF(PLANPRODUCCION[[#This Row],[FECHA]]&lt;=45701,_xlfn.CONCAT(TEXT(B769,"MMM"),"-",IF(ROW(A769)&lt;11,"000"&amp;ROW(A769)-1,IF(ROW(A769)&lt;101,"00"&amp;ROW(A769)-1,IF(ROW(A769)&lt;1001,"0"&amp;ROW(A769)-1,ROW(A769)-1))),"-OLD"),_xlfn.CONCAT(TEXT(B769,"MMM"),"-",IF(ROW(A769)&lt;473,"000"&amp;ROW(A769)-463,IF(ROW(A769)&lt;563,"00"&amp;ROW(A769)-463,IF(ROW(A769)&lt;1001,"0"&amp;ROW(A769)-463,ROW(A769)-463))))))</f>
        <v>ABR-0306</v>
      </c>
      <c r="B769" s="39">
        <v>45748</v>
      </c>
      <c r="C769" s="5">
        <v>4</v>
      </c>
      <c r="D769" s="5">
        <v>2</v>
      </c>
      <c r="E769" t="s">
        <v>54</v>
      </c>
      <c r="F769" s="2">
        <v>0.25</v>
      </c>
      <c r="G769" s="2">
        <v>0.66666666666666663</v>
      </c>
      <c r="H769" s="5">
        <v>1608</v>
      </c>
      <c r="I769" t="s">
        <v>1128</v>
      </c>
      <c r="J769" t="s">
        <v>68</v>
      </c>
      <c r="K769" s="5">
        <v>2000</v>
      </c>
      <c r="L769" s="5" t="s">
        <v>57</v>
      </c>
      <c r="M769" s="4">
        <v>1.75</v>
      </c>
      <c r="N769" s="6">
        <f>PLANPRODUCCION[[#This Row],[PIEZAS PLANEADAS]]*PLANPRODUCCION[[#This Row],[PRECIO MAQUILAS]]</f>
        <v>3500</v>
      </c>
      <c r="O769" s="5">
        <v>3</v>
      </c>
      <c r="P769" s="2">
        <v>0.25</v>
      </c>
      <c r="Q769" s="2">
        <v>0.66666666666666663</v>
      </c>
      <c r="R769" s="5">
        <v>995</v>
      </c>
      <c r="S769" s="7">
        <f>PLANPRODUCCION[[#This Row],[PRECIO MAQUILAS]]*PLANPRODUCCION[[#This Row],[PIEZAS REAL]]</f>
        <v>1741.25</v>
      </c>
      <c r="T76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1500</v>
      </c>
      <c r="U76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2480</v>
      </c>
      <c r="V76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76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-118.75</v>
      </c>
      <c r="X769" s="8" t="s">
        <v>602</v>
      </c>
      <c r="Y76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6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6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69" s="13">
        <f>IF(PLANPRODUCCION[[#This Row],[PIEZAS REAL]]&gt;0,PLANPRODUCCION[[#This Row],[PIEZAS REAL]]/PLANPRODUCCION[[#This Row],[PIEZAS ACTUALIZADO]],)</f>
        <v>0.66333333333333333</v>
      </c>
      <c r="AC769" t="b">
        <f>PLANPRODUCCION[[#This Row],[INGRESO PLANEADO]]&lt;PLANPRODUCCION[[#This Row],[COSTO PLANEADO]]</f>
        <v>0</v>
      </c>
      <c r="AD769" s="46" t="s">
        <v>1149</v>
      </c>
      <c r="AF769" t="b">
        <f>IF(COUNTIF(PLANPRODUCCION[[#This Row],[OBSERVACIONES]],"NO APLICA BONO*")&gt;0,TRUE,FALSE)</f>
        <v>0</v>
      </c>
    </row>
    <row r="770" spans="1:32" x14ac:dyDescent="0.25">
      <c r="A770" s="46" t="str">
        <f>UPPER(IF(PLANPRODUCCION[[#This Row],[FECHA]]&lt;=45701,_xlfn.CONCAT(TEXT(B770,"MMM"),"-",IF(ROW(A770)&lt;11,"000"&amp;ROW(A770)-1,IF(ROW(A770)&lt;101,"00"&amp;ROW(A770)-1,IF(ROW(A770)&lt;1001,"0"&amp;ROW(A770)-1,ROW(A770)-1))),"-OLD"),_xlfn.CONCAT(TEXT(B770,"MMM"),"-",IF(ROW(A770)&lt;473,"000"&amp;ROW(A770)-463,IF(ROW(A770)&lt;563,"00"&amp;ROW(A770)-463,IF(ROW(A770)&lt;1001,"0"&amp;ROW(A770)-463,ROW(A770)-463))))))</f>
        <v>ABR-0307</v>
      </c>
      <c r="B770" s="39">
        <v>45748</v>
      </c>
      <c r="C770" s="5">
        <v>4</v>
      </c>
      <c r="D770" s="5">
        <v>3</v>
      </c>
      <c r="E770" t="s">
        <v>54</v>
      </c>
      <c r="F770" s="2">
        <v>0.25</v>
      </c>
      <c r="G770" s="2">
        <v>0.66666666666666663</v>
      </c>
      <c r="H770" s="5">
        <v>1608</v>
      </c>
      <c r="I770" t="s">
        <v>1128</v>
      </c>
      <c r="J770" t="s">
        <v>68</v>
      </c>
      <c r="K770" s="5">
        <v>2000</v>
      </c>
      <c r="L770" s="5" t="s">
        <v>57</v>
      </c>
      <c r="M770" s="4">
        <v>1.75</v>
      </c>
      <c r="N770" s="6">
        <f>PLANPRODUCCION[[#This Row],[PIEZAS PLANEADAS]]*PLANPRODUCCION[[#This Row],[PRECIO MAQUILAS]]</f>
        <v>3500</v>
      </c>
      <c r="O770" s="5">
        <v>4</v>
      </c>
      <c r="P770" s="2">
        <v>0.25</v>
      </c>
      <c r="Q770" s="2">
        <v>0.66666666666666663</v>
      </c>
      <c r="R770" s="5">
        <v>1307</v>
      </c>
      <c r="S770" s="7">
        <f>PLANPRODUCCION[[#This Row],[PRECIO MAQUILAS]]*PLANPRODUCCION[[#This Row],[PIEZAS REAL]]</f>
        <v>2287.25</v>
      </c>
      <c r="T77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2000</v>
      </c>
      <c r="U77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2480</v>
      </c>
      <c r="V77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77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-192.75</v>
      </c>
      <c r="X770" s="8" t="s">
        <v>602</v>
      </c>
      <c r="Y77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7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7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70" s="13">
        <f>IF(PLANPRODUCCION[[#This Row],[PIEZAS REAL]]&gt;0,PLANPRODUCCION[[#This Row],[PIEZAS REAL]]/PLANPRODUCCION[[#This Row],[PIEZAS ACTUALIZADO]],)</f>
        <v>0.65349999999999997</v>
      </c>
      <c r="AC770" t="b">
        <f>PLANPRODUCCION[[#This Row],[INGRESO PLANEADO]]&lt;PLANPRODUCCION[[#This Row],[COSTO PLANEADO]]</f>
        <v>0</v>
      </c>
      <c r="AD770" s="46" t="s">
        <v>1150</v>
      </c>
      <c r="AF770" t="b">
        <f>IF(COUNTIF(PLANPRODUCCION[[#This Row],[OBSERVACIONES]],"NO APLICA BONO*")&gt;0,TRUE,FALSE)</f>
        <v>0</v>
      </c>
    </row>
    <row r="771" spans="1:32" x14ac:dyDescent="0.25">
      <c r="A771" s="46" t="str">
        <f>UPPER(IF(PLANPRODUCCION[[#This Row],[FECHA]]&lt;=45701,_xlfn.CONCAT(TEXT(B771,"MMM"),"-",IF(ROW(A771)&lt;11,"000"&amp;ROW(A771)-1,IF(ROW(A771)&lt;101,"00"&amp;ROW(A771)-1,IF(ROW(A771)&lt;1001,"0"&amp;ROW(A771)-1,ROW(A771)-1))),"-OLD"),_xlfn.CONCAT(TEXT(B771,"MMM"),"-",IF(ROW(A771)&lt;473,"000"&amp;ROW(A771)-463,IF(ROW(A771)&lt;563,"00"&amp;ROW(A771)-463,IF(ROW(A771)&lt;1001,"0"&amp;ROW(A771)-463,ROW(A771)-463))))))</f>
        <v>ABR-0308</v>
      </c>
      <c r="B771" s="39">
        <v>45748</v>
      </c>
      <c r="C771" s="5">
        <v>2</v>
      </c>
      <c r="D771" s="5">
        <v>5</v>
      </c>
      <c r="E771" t="s">
        <v>54</v>
      </c>
      <c r="F771" s="2">
        <v>0.33333333333333331</v>
      </c>
      <c r="G771" s="2">
        <v>4.1666666666666664E-2</v>
      </c>
      <c r="H771" s="5">
        <v>1605</v>
      </c>
      <c r="I771" t="s">
        <v>894</v>
      </c>
      <c r="J771" t="s">
        <v>895</v>
      </c>
      <c r="K771" s="5">
        <v>200</v>
      </c>
      <c r="L771" s="5" t="s">
        <v>57</v>
      </c>
      <c r="M771" s="4">
        <v>13.19</v>
      </c>
      <c r="N771" s="6">
        <f>PLANPRODUCCION[[#This Row],[PIEZAS PLANEADAS]]*PLANPRODUCCION[[#This Row],[PRECIO MAQUILAS]]</f>
        <v>2638</v>
      </c>
      <c r="O771" s="5">
        <v>2</v>
      </c>
      <c r="P771" s="2">
        <v>0.33333333333333331</v>
      </c>
      <c r="Q771" s="2">
        <v>0.58333333333333337</v>
      </c>
      <c r="R771" s="5">
        <v>202</v>
      </c>
      <c r="S771" s="7">
        <f>PLANPRODUCCION[[#This Row],[PRECIO MAQUILAS]]*PLANPRODUCCION[[#This Row],[PIEZAS REAL]]</f>
        <v>2664.38</v>
      </c>
      <c r="T77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71</v>
      </c>
      <c r="U77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2108</v>
      </c>
      <c r="V77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77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1920.38</v>
      </c>
      <c r="X771" s="8" t="s">
        <v>602</v>
      </c>
      <c r="Y77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7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7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71" s="13">
        <f>IF(PLANPRODUCCION[[#This Row],[PIEZAS REAL]]&gt;0,PLANPRODUCCION[[#This Row],[PIEZAS REAL]]/PLANPRODUCCION[[#This Row],[PIEZAS ACTUALIZADO]],)</f>
        <v>2.8450704225352115</v>
      </c>
      <c r="AC771" t="b">
        <f>PLANPRODUCCION[[#This Row],[INGRESO PLANEADO]]&lt;PLANPRODUCCION[[#This Row],[COSTO PLANEADO]]</f>
        <v>0</v>
      </c>
      <c r="AD771" s="46" t="s">
        <v>1151</v>
      </c>
      <c r="AF771" t="b">
        <f>IF(COUNTIF(PLANPRODUCCION[[#This Row],[OBSERVACIONES]],"NO APLICA BONO*")&gt;0,TRUE,FALSE)</f>
        <v>0</v>
      </c>
    </row>
    <row r="772" spans="1:32" x14ac:dyDescent="0.25">
      <c r="A772" s="46" t="str">
        <f>UPPER(IF(PLANPRODUCCION[[#This Row],[FECHA]]&lt;=45701,_xlfn.CONCAT(TEXT(B772,"MMM"),"-",IF(ROW(A772)&lt;11,"000"&amp;ROW(A772)-1,IF(ROW(A772)&lt;101,"00"&amp;ROW(A772)-1,IF(ROW(A772)&lt;1001,"0"&amp;ROW(A772)-1,ROW(A772)-1))),"-OLD"),_xlfn.CONCAT(TEXT(B772,"MMM"),"-",IF(ROW(A772)&lt;473,"000"&amp;ROW(A772)-463,IF(ROW(A772)&lt;563,"00"&amp;ROW(A772)-463,IF(ROW(A772)&lt;1001,"0"&amp;ROW(A772)-463,ROW(A772)-463))))))</f>
        <v>ABR-0309</v>
      </c>
      <c r="B772" s="39">
        <v>45748</v>
      </c>
      <c r="C772" s="5">
        <v>2</v>
      </c>
      <c r="D772" s="5" t="s">
        <v>62</v>
      </c>
      <c r="E772" t="s">
        <v>72</v>
      </c>
      <c r="F772" s="2">
        <v>0.66666666666666663</v>
      </c>
      <c r="G772" s="2">
        <v>0.79166666666666663</v>
      </c>
      <c r="H772" s="5">
        <v>1608</v>
      </c>
      <c r="I772" t="s">
        <v>1129</v>
      </c>
      <c r="J772" t="s">
        <v>64</v>
      </c>
      <c r="K772" s="5">
        <v>1500</v>
      </c>
      <c r="L772" s="5" t="s">
        <v>65</v>
      </c>
      <c r="M772" s="4">
        <v>1.4</v>
      </c>
      <c r="N772" s="6">
        <f>PLANPRODUCCION[[#This Row],[PIEZAS PLANEADAS]]*PLANPRODUCCION[[#This Row],[PRECIO MAQUILAS]]</f>
        <v>2100</v>
      </c>
      <c r="O772" s="5">
        <v>2</v>
      </c>
      <c r="P772" s="2">
        <v>0.66666666666666663</v>
      </c>
      <c r="Q772" s="2">
        <v>0.76527777777777772</v>
      </c>
      <c r="R772" s="5">
        <v>1520</v>
      </c>
      <c r="S772" s="7">
        <f>PLANPRODUCCION[[#This Row],[PRECIO MAQUILAS]]*PLANPRODUCCION[[#This Row],[PIEZAS REAL]]</f>
        <v>2128</v>
      </c>
      <c r="T77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1184</v>
      </c>
      <c r="U77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</v>
      </c>
      <c r="V77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293.4666666666667</v>
      </c>
      <c r="W77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1834.5333333333333</v>
      </c>
      <c r="X772" s="8" t="s">
        <v>602</v>
      </c>
      <c r="Y77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7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7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72" s="13">
        <f>IF(PLANPRODUCCION[[#This Row],[PIEZAS REAL]]&gt;0,PLANPRODUCCION[[#This Row],[PIEZAS REAL]]/PLANPRODUCCION[[#This Row],[PIEZAS ACTUALIZADO]],)</f>
        <v>1.2837837837837838</v>
      </c>
      <c r="AC772" t="b">
        <f>PLANPRODUCCION[[#This Row],[INGRESO PLANEADO]]&lt;PLANPRODUCCION[[#This Row],[COSTO PLANEADO]]</f>
        <v>0</v>
      </c>
      <c r="AD772" s="46" t="s">
        <v>1153</v>
      </c>
      <c r="AF772" t="b">
        <f>IF(COUNTIF(PLANPRODUCCION[[#This Row],[OBSERVACIONES]],"NO APLICA BONO*")&gt;0,TRUE,FALSE)</f>
        <v>0</v>
      </c>
    </row>
    <row r="773" spans="1:32" x14ac:dyDescent="0.25">
      <c r="A773" s="46" t="str">
        <f>UPPER(IF(PLANPRODUCCION[[#This Row],[FECHA]]&lt;=45701,_xlfn.CONCAT(TEXT(B773,"MMM"),"-",IF(ROW(A773)&lt;11,"000"&amp;ROW(A773)-1,IF(ROW(A773)&lt;101,"00"&amp;ROW(A773)-1,IF(ROW(A773)&lt;1001,"0"&amp;ROW(A773)-1,ROW(A773)-1))),"-OLD"),_xlfn.CONCAT(TEXT(B773,"MMM"),"-",IF(ROW(A773)&lt;473,"000"&amp;ROW(A773)-463,IF(ROW(A773)&lt;563,"00"&amp;ROW(A773)-463,IF(ROW(A773)&lt;1001,"0"&amp;ROW(A773)-463,ROW(A773)-463))))))</f>
        <v>ABR-0310</v>
      </c>
      <c r="B773" s="39">
        <v>45748</v>
      </c>
      <c r="C773" s="5">
        <v>2</v>
      </c>
      <c r="D773" s="5" t="s">
        <v>62</v>
      </c>
      <c r="E773" t="s">
        <v>72</v>
      </c>
      <c r="F773" s="2">
        <v>0.79166666666666663</v>
      </c>
      <c r="G773" s="2">
        <v>0.875</v>
      </c>
      <c r="H773" s="5">
        <v>1608</v>
      </c>
      <c r="I773" t="s">
        <v>1142</v>
      </c>
      <c r="J773" t="s">
        <v>813</v>
      </c>
      <c r="K773" s="5">
        <v>750</v>
      </c>
      <c r="L773" s="5" t="s">
        <v>65</v>
      </c>
      <c r="M773" s="4">
        <v>1.4</v>
      </c>
      <c r="N773" s="6">
        <f>PLANPRODUCCION[[#This Row],[PIEZAS PLANEADAS]]*PLANPRODUCCION[[#This Row],[PRECIO MAQUILAS]]</f>
        <v>1050</v>
      </c>
      <c r="O773" s="5">
        <v>2</v>
      </c>
      <c r="P773" s="2">
        <v>0.76527777777777772</v>
      </c>
      <c r="Q773" s="2">
        <v>0.875</v>
      </c>
      <c r="R773" s="5">
        <v>200</v>
      </c>
      <c r="S773" s="7">
        <f>PLANPRODUCCION[[#This Row],[PRECIO MAQUILAS]]*PLANPRODUCCION[[#This Row],[PIEZAS REAL]]</f>
        <v>280</v>
      </c>
      <c r="T77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988</v>
      </c>
      <c r="U77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</v>
      </c>
      <c r="V77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326.5333333333333</v>
      </c>
      <c r="W77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-46.533333333333303</v>
      </c>
      <c r="X773" s="8" t="s">
        <v>602</v>
      </c>
      <c r="Y77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7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7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73" s="13">
        <f>IF(PLANPRODUCCION[[#This Row],[PIEZAS REAL]]&gt;0,PLANPRODUCCION[[#This Row],[PIEZAS REAL]]/PLANPRODUCCION[[#This Row],[PIEZAS ACTUALIZADO]],)</f>
        <v>0.20242914979757085</v>
      </c>
      <c r="AC773" t="b">
        <f>PLANPRODUCCION[[#This Row],[INGRESO PLANEADO]]&lt;PLANPRODUCCION[[#This Row],[COSTO PLANEADO]]</f>
        <v>0</v>
      </c>
      <c r="AD773" s="46" t="s">
        <v>1152</v>
      </c>
      <c r="AE773" t="s">
        <v>1154</v>
      </c>
      <c r="AF773" t="b">
        <f>IF(COUNTIF(PLANPRODUCCION[[#This Row],[OBSERVACIONES]],"NO APLICA BONO*")&gt;0,TRUE,FALSE)</f>
        <v>0</v>
      </c>
    </row>
    <row r="774" spans="1:32" x14ac:dyDescent="0.25">
      <c r="A774" s="46" t="str">
        <f>UPPER(IF(PLANPRODUCCION[[#This Row],[FECHA]]&lt;=45701,_xlfn.CONCAT(TEXT(B774,"MMM"),"-",IF(ROW(A774)&lt;11,"000"&amp;ROW(A774)-1,IF(ROW(A774)&lt;101,"00"&amp;ROW(A774)-1,IF(ROW(A774)&lt;1001,"0"&amp;ROW(A774)-1,ROW(A774)-1))),"-OLD"),_xlfn.CONCAT(TEXT(B774,"MMM"),"-",IF(ROW(A774)&lt;473,"000"&amp;ROW(A774)-463,IF(ROW(A774)&lt;563,"00"&amp;ROW(A774)-463,IF(ROW(A774)&lt;1001,"0"&amp;ROW(A774)-463,ROW(A774)-463))))))</f>
        <v>ABR-0311</v>
      </c>
      <c r="B774" s="39">
        <v>45749</v>
      </c>
      <c r="C774" s="5">
        <v>3</v>
      </c>
      <c r="D774" s="5">
        <v>3</v>
      </c>
      <c r="E774" t="s">
        <v>54</v>
      </c>
      <c r="F774" s="2">
        <v>0.25</v>
      </c>
      <c r="G774" s="2">
        <v>0.5</v>
      </c>
      <c r="H774" s="5">
        <v>1608</v>
      </c>
      <c r="I774" t="s">
        <v>1128</v>
      </c>
      <c r="J774" t="s">
        <v>68</v>
      </c>
      <c r="K774" s="5">
        <v>810</v>
      </c>
      <c r="L774" s="5" t="s">
        <v>57</v>
      </c>
      <c r="M774" s="4">
        <v>1.75</v>
      </c>
      <c r="N774" s="6">
        <f>PLANPRODUCCION[[#This Row],[PIEZAS PLANEADAS]]*PLANPRODUCCION[[#This Row],[PRECIO MAQUILAS]]</f>
        <v>1417.5</v>
      </c>
      <c r="O774" s="5">
        <v>3</v>
      </c>
      <c r="P774" s="2">
        <v>0.25</v>
      </c>
      <c r="Q774" s="2">
        <v>0.54861111111111116</v>
      </c>
      <c r="R774" s="5">
        <v>710</v>
      </c>
      <c r="S774" s="7">
        <f>PLANPRODUCCION[[#This Row],[PRECIO MAQUILAS]]*PLANPRODUCCION[[#This Row],[PIEZAS REAL]]</f>
        <v>1242.5</v>
      </c>
      <c r="T77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968</v>
      </c>
      <c r="U77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1116</v>
      </c>
      <c r="V77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1333</v>
      </c>
      <c r="W77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-90.5</v>
      </c>
      <c r="X774" s="8" t="s">
        <v>602</v>
      </c>
      <c r="Y77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7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7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74" s="13">
        <f>IF(PLANPRODUCCION[[#This Row],[PIEZAS REAL]]&gt;0,PLANPRODUCCION[[#This Row],[PIEZAS REAL]]/PLANPRODUCCION[[#This Row],[PIEZAS ACTUALIZADO]],)</f>
        <v>0.73347107438016534</v>
      </c>
      <c r="AC774" t="b">
        <f>PLANPRODUCCION[[#This Row],[INGRESO PLANEADO]]&lt;PLANPRODUCCION[[#This Row],[COSTO PLANEADO]]</f>
        <v>0</v>
      </c>
      <c r="AD774" s="46" t="s">
        <v>1156</v>
      </c>
      <c r="AF774" t="b">
        <f>IF(COUNTIF(PLANPRODUCCION[[#This Row],[OBSERVACIONES]],"NO APLICA BONO*")&gt;0,TRUE,FALSE)</f>
        <v>0</v>
      </c>
    </row>
    <row r="775" spans="1:32" x14ac:dyDescent="0.25">
      <c r="A775" s="46" t="str">
        <f>UPPER(IF(PLANPRODUCCION[[#This Row],[FECHA]]&lt;=45701,_xlfn.CONCAT(TEXT(B775,"MMM"),"-",IF(ROW(A775)&lt;11,"000"&amp;ROW(A775)-1,IF(ROW(A775)&lt;101,"00"&amp;ROW(A775)-1,IF(ROW(A775)&lt;1001,"0"&amp;ROW(A775)-1,ROW(A775)-1))),"-OLD"),_xlfn.CONCAT(TEXT(B775,"MMM"),"-",IF(ROW(A775)&lt;473,"000"&amp;ROW(A775)-463,IF(ROW(A775)&lt;563,"00"&amp;ROW(A775)-463,IF(ROW(A775)&lt;1001,"0"&amp;ROW(A775)-463,ROW(A775)-463))))))</f>
        <v>ABR-0312</v>
      </c>
      <c r="B775" s="39">
        <v>45749</v>
      </c>
      <c r="C775" s="5">
        <v>3</v>
      </c>
      <c r="D775" s="5">
        <v>3</v>
      </c>
      <c r="E775" t="s">
        <v>54</v>
      </c>
      <c r="F775" s="2">
        <v>0.5</v>
      </c>
      <c r="G775" s="2">
        <v>0.66666666666666663</v>
      </c>
      <c r="H775" s="5">
        <v>1428</v>
      </c>
      <c r="I775" t="s">
        <v>863</v>
      </c>
      <c r="J775" t="s">
        <v>557</v>
      </c>
      <c r="K775" s="5">
        <v>450</v>
      </c>
      <c r="L775" s="5" t="s">
        <v>545</v>
      </c>
      <c r="M775" s="4">
        <v>1.7</v>
      </c>
      <c r="N775" s="6">
        <f>PLANPRODUCCION[[#This Row],[PIEZAS PLANEADAS]]*PLANPRODUCCION[[#This Row],[PRECIO MAQUILAS]]</f>
        <v>765</v>
      </c>
      <c r="O775" s="5">
        <v>3</v>
      </c>
      <c r="P775" s="2">
        <v>0.54861111111111116</v>
      </c>
      <c r="Q775" s="2">
        <v>0.66666666666666663</v>
      </c>
      <c r="R775" s="5">
        <v>120</v>
      </c>
      <c r="S775" s="7">
        <f>PLANPRODUCCION[[#This Row],[PRECIO MAQUILAS]]*PLANPRODUCCION[[#This Row],[PIEZAS REAL]]</f>
        <v>204</v>
      </c>
      <c r="T77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319</v>
      </c>
      <c r="U77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744</v>
      </c>
      <c r="V77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527</v>
      </c>
      <c r="W77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-323</v>
      </c>
      <c r="X775" s="8" t="s">
        <v>602</v>
      </c>
      <c r="Y77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7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7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75" s="13">
        <f>IF(PLANPRODUCCION[[#This Row],[PIEZAS REAL]]&gt;0,PLANPRODUCCION[[#This Row],[PIEZAS REAL]]/PLANPRODUCCION[[#This Row],[PIEZAS ACTUALIZADO]],)</f>
        <v>0.37617554858934171</v>
      </c>
      <c r="AC775" t="b">
        <f>PLANPRODUCCION[[#This Row],[INGRESO PLANEADO]]&lt;PLANPRODUCCION[[#This Row],[COSTO PLANEADO]]</f>
        <v>0</v>
      </c>
      <c r="AD775" s="46" t="s">
        <v>1157</v>
      </c>
      <c r="AF775" t="b">
        <f>IF(COUNTIF(PLANPRODUCCION[[#This Row],[OBSERVACIONES]],"NO APLICA BONO*")&gt;0,TRUE,FALSE)</f>
        <v>0</v>
      </c>
    </row>
    <row r="776" spans="1:32" x14ac:dyDescent="0.25">
      <c r="A776" s="46" t="str">
        <f>UPPER(IF(PLANPRODUCCION[[#This Row],[FECHA]]&lt;=45701,_xlfn.CONCAT(TEXT(B776,"MMM"),"-",IF(ROW(A776)&lt;11,"000"&amp;ROW(A776)-1,IF(ROW(A776)&lt;101,"00"&amp;ROW(A776)-1,IF(ROW(A776)&lt;1001,"0"&amp;ROW(A776)-1,ROW(A776)-1))),"-OLD"),_xlfn.CONCAT(TEXT(B776,"MMM"),"-",IF(ROW(A776)&lt;473,"000"&amp;ROW(A776)-463,IF(ROW(A776)&lt;563,"00"&amp;ROW(A776)-463,IF(ROW(A776)&lt;1001,"0"&amp;ROW(A776)-463,ROW(A776)-463))))))</f>
        <v>ABR-0313</v>
      </c>
      <c r="B776" s="39">
        <v>45749</v>
      </c>
      <c r="C776" s="5">
        <v>3</v>
      </c>
      <c r="D776" s="5">
        <v>5</v>
      </c>
      <c r="E776" t="s">
        <v>54</v>
      </c>
      <c r="F776" s="2">
        <v>0.25</v>
      </c>
      <c r="G776" s="2">
        <v>0.5</v>
      </c>
      <c r="H776" s="5">
        <v>1608</v>
      </c>
      <c r="I776" t="s">
        <v>1128</v>
      </c>
      <c r="J776" t="s">
        <v>68</v>
      </c>
      <c r="K776" s="5">
        <v>810</v>
      </c>
      <c r="L776" s="5" t="s">
        <v>57</v>
      </c>
      <c r="M776" s="4">
        <v>1.75</v>
      </c>
      <c r="N776" s="6">
        <f>PLANPRODUCCION[[#This Row],[PIEZAS PLANEADAS]]*PLANPRODUCCION[[#This Row],[PRECIO MAQUILAS]]</f>
        <v>1417.5</v>
      </c>
      <c r="O776" s="5">
        <v>3</v>
      </c>
      <c r="P776" s="2">
        <v>0.25</v>
      </c>
      <c r="Q776" s="2">
        <v>0.49305555555555558</v>
      </c>
      <c r="R776" s="5">
        <v>565</v>
      </c>
      <c r="S776" s="7">
        <f>PLANPRODUCCION[[#This Row],[PRECIO MAQUILAS]]*PLANPRODUCCION[[#This Row],[PIEZAS REAL]]</f>
        <v>988.75</v>
      </c>
      <c r="T77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788</v>
      </c>
      <c r="U77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1116</v>
      </c>
      <c r="V77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1085</v>
      </c>
      <c r="W77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-96.25</v>
      </c>
      <c r="X776" s="8" t="s">
        <v>602</v>
      </c>
      <c r="Y776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7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7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76" s="13">
        <f>IF(PLANPRODUCCION[[#This Row],[PIEZAS REAL]]&gt;0,PLANPRODUCCION[[#This Row],[PIEZAS REAL]]/PLANPRODUCCION[[#This Row],[PIEZAS ACTUALIZADO]],)</f>
        <v>0.71700507614213194</v>
      </c>
      <c r="AC776" t="b">
        <f>PLANPRODUCCION[[#This Row],[INGRESO PLANEADO]]&lt;PLANPRODUCCION[[#This Row],[COSTO PLANEADO]]</f>
        <v>0</v>
      </c>
      <c r="AD776" s="46" t="s">
        <v>1158</v>
      </c>
      <c r="AF776" t="b">
        <f>IF(COUNTIF(PLANPRODUCCION[[#This Row],[OBSERVACIONES]],"NO APLICA BONO*")&gt;0,TRUE,FALSE)</f>
        <v>0</v>
      </c>
    </row>
    <row r="777" spans="1:32" x14ac:dyDescent="0.25">
      <c r="A777" s="46" t="str">
        <f>UPPER(IF(PLANPRODUCCION[[#This Row],[FECHA]]&lt;=45701,_xlfn.CONCAT(TEXT(B777,"MMM"),"-",IF(ROW(A777)&lt;11,"000"&amp;ROW(A777)-1,IF(ROW(A777)&lt;101,"00"&amp;ROW(A777)-1,IF(ROW(A777)&lt;1001,"0"&amp;ROW(A777)-1,ROW(A777)-1))),"-OLD"),_xlfn.CONCAT(TEXT(B777,"MMM"),"-",IF(ROW(A777)&lt;473,"000"&amp;ROW(A777)-463,IF(ROW(A777)&lt;563,"00"&amp;ROW(A777)-463,IF(ROW(A777)&lt;1001,"0"&amp;ROW(A777)-463,ROW(A777)-463))))))</f>
        <v>ABR-0314</v>
      </c>
      <c r="B777" s="39">
        <v>45749</v>
      </c>
      <c r="C777" s="5">
        <v>3</v>
      </c>
      <c r="D777" s="5">
        <v>5</v>
      </c>
      <c r="E777" t="s">
        <v>54</v>
      </c>
      <c r="F777" s="2">
        <v>0.5</v>
      </c>
      <c r="G777" s="2">
        <v>0.66666666666666663</v>
      </c>
      <c r="H777" s="5">
        <v>1428</v>
      </c>
      <c r="I777" t="s">
        <v>863</v>
      </c>
      <c r="J777" t="s">
        <v>557</v>
      </c>
      <c r="K777" s="5">
        <v>450</v>
      </c>
      <c r="L777" s="5" t="s">
        <v>545</v>
      </c>
      <c r="M777" s="4">
        <v>1.7</v>
      </c>
      <c r="N777" s="6">
        <f>PLANPRODUCCION[[#This Row],[PIEZAS PLANEADAS]]*PLANPRODUCCION[[#This Row],[PRECIO MAQUILAS]]</f>
        <v>765</v>
      </c>
      <c r="O777" s="5">
        <v>3</v>
      </c>
      <c r="P777" s="2">
        <v>0.49305555555555558</v>
      </c>
      <c r="Q777" s="2">
        <v>0.66666666666666663</v>
      </c>
      <c r="R777" s="5">
        <v>254</v>
      </c>
      <c r="S777" s="7">
        <f>PLANPRODUCCION[[#This Row],[PRECIO MAQUILAS]]*PLANPRODUCCION[[#This Row],[PIEZAS REAL]]</f>
        <v>431.8</v>
      </c>
      <c r="T77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469</v>
      </c>
      <c r="U77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744</v>
      </c>
      <c r="V77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775</v>
      </c>
      <c r="W77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-343.2</v>
      </c>
      <c r="X777" s="8" t="s">
        <v>602</v>
      </c>
      <c r="Y77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7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7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77" s="13">
        <f>IF(PLANPRODUCCION[[#This Row],[PIEZAS REAL]]&gt;0,PLANPRODUCCION[[#This Row],[PIEZAS REAL]]/PLANPRODUCCION[[#This Row],[PIEZAS ACTUALIZADO]],)</f>
        <v>0.54157782515991471</v>
      </c>
      <c r="AC777" t="b">
        <f>PLANPRODUCCION[[#This Row],[INGRESO PLANEADO]]&lt;PLANPRODUCCION[[#This Row],[COSTO PLANEADO]]</f>
        <v>0</v>
      </c>
      <c r="AD777" s="46" t="s">
        <v>1159</v>
      </c>
      <c r="AF777" t="b">
        <f>IF(COUNTIF(PLANPRODUCCION[[#This Row],[OBSERVACIONES]],"NO APLICA BONO*")&gt;0,TRUE,FALSE)</f>
        <v>0</v>
      </c>
    </row>
    <row r="778" spans="1:32" x14ac:dyDescent="0.25">
      <c r="A778" s="46" t="str">
        <f>UPPER(IF(PLANPRODUCCION[[#This Row],[FECHA]]&lt;=45701,_xlfn.CONCAT(TEXT(B778,"MMM"),"-",IF(ROW(A778)&lt;11,"000"&amp;ROW(A778)-1,IF(ROW(A778)&lt;101,"00"&amp;ROW(A778)-1,IF(ROW(A778)&lt;1001,"0"&amp;ROW(A778)-1,ROW(A778)-1))),"-OLD"),_xlfn.CONCAT(TEXT(B778,"MMM"),"-",IF(ROW(A778)&lt;473,"000"&amp;ROW(A778)-463,IF(ROW(A778)&lt;563,"00"&amp;ROW(A778)-463,IF(ROW(A778)&lt;1001,"0"&amp;ROW(A778)-463,ROW(A778)-463))))))</f>
        <v>ABR-0315</v>
      </c>
      <c r="B778" s="39">
        <v>45749</v>
      </c>
      <c r="C778" s="5">
        <v>4</v>
      </c>
      <c r="D778" s="5">
        <v>1</v>
      </c>
      <c r="E778" t="s">
        <v>54</v>
      </c>
      <c r="F778" s="2">
        <v>0.25</v>
      </c>
      <c r="G778" s="2">
        <v>0.5</v>
      </c>
      <c r="H778" s="5">
        <v>1608</v>
      </c>
      <c r="I778" t="s">
        <v>1128</v>
      </c>
      <c r="J778" t="s">
        <v>68</v>
      </c>
      <c r="K778" s="5">
        <v>1080</v>
      </c>
      <c r="L778" s="5" t="s">
        <v>57</v>
      </c>
      <c r="M778" s="4">
        <v>1.75</v>
      </c>
      <c r="N778" s="6">
        <f>PLANPRODUCCION[[#This Row],[PIEZAS PLANEADAS]]*PLANPRODUCCION[[#This Row],[PRECIO MAQUILAS]]</f>
        <v>1890</v>
      </c>
      <c r="O778" s="5">
        <v>4</v>
      </c>
      <c r="P778" s="2">
        <v>0.25</v>
      </c>
      <c r="Q778" s="2">
        <v>0.4826388888888889</v>
      </c>
      <c r="R778" s="5">
        <v>770</v>
      </c>
      <c r="S778" s="7">
        <f>PLANPRODUCCION[[#This Row],[PRECIO MAQUILAS]]*PLANPRODUCCION[[#This Row],[PIEZAS REAL]]</f>
        <v>1347.5</v>
      </c>
      <c r="T77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1005</v>
      </c>
      <c r="U77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1488</v>
      </c>
      <c r="V77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1384.6666666666667</v>
      </c>
      <c r="W77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-37.166666666666742</v>
      </c>
      <c r="X778" s="8" t="s">
        <v>602</v>
      </c>
      <c r="Y778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7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7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78" s="13">
        <f>IF(PLANPRODUCCION[[#This Row],[PIEZAS REAL]]&gt;0,PLANPRODUCCION[[#This Row],[PIEZAS REAL]]/PLANPRODUCCION[[#This Row],[PIEZAS ACTUALIZADO]],)</f>
        <v>0.76616915422885568</v>
      </c>
      <c r="AC778" t="b">
        <f>PLANPRODUCCION[[#This Row],[INGRESO PLANEADO]]&lt;PLANPRODUCCION[[#This Row],[COSTO PLANEADO]]</f>
        <v>0</v>
      </c>
      <c r="AD778" s="46" t="s">
        <v>1160</v>
      </c>
      <c r="AF778" t="b">
        <f>IF(COUNTIF(PLANPRODUCCION[[#This Row],[OBSERVACIONES]],"NO APLICA BONO*")&gt;0,TRUE,FALSE)</f>
        <v>0</v>
      </c>
    </row>
    <row r="779" spans="1:32" x14ac:dyDescent="0.25">
      <c r="A779" s="46" t="str">
        <f>UPPER(IF(PLANPRODUCCION[[#This Row],[FECHA]]&lt;=45701,_xlfn.CONCAT(TEXT(B779,"MMM"),"-",IF(ROW(A779)&lt;11,"000"&amp;ROW(A779)-1,IF(ROW(A779)&lt;101,"00"&amp;ROW(A779)-1,IF(ROW(A779)&lt;1001,"0"&amp;ROW(A779)-1,ROW(A779)-1))),"-OLD"),_xlfn.CONCAT(TEXT(B779,"MMM"),"-",IF(ROW(A779)&lt;473,"000"&amp;ROW(A779)-463,IF(ROW(A779)&lt;563,"00"&amp;ROW(A779)-463,IF(ROW(A779)&lt;1001,"0"&amp;ROW(A779)-463,ROW(A779)-463))))))</f>
        <v>ABR-0316</v>
      </c>
      <c r="B779" s="39">
        <v>45749</v>
      </c>
      <c r="C779" s="5">
        <v>4</v>
      </c>
      <c r="D779" s="5">
        <v>1</v>
      </c>
      <c r="E779" t="s">
        <v>54</v>
      </c>
      <c r="F779" s="2">
        <v>0.5</v>
      </c>
      <c r="G779" s="2">
        <v>0.66666666666666663</v>
      </c>
      <c r="H779" s="5">
        <v>1428</v>
      </c>
      <c r="I779" t="s">
        <v>863</v>
      </c>
      <c r="J779" t="s">
        <v>557</v>
      </c>
      <c r="K779" s="5">
        <v>600</v>
      </c>
      <c r="L779" s="5" t="s">
        <v>545</v>
      </c>
      <c r="M779" s="4">
        <v>1.7</v>
      </c>
      <c r="N779" s="6">
        <f>PLANPRODUCCION[[#This Row],[PIEZAS PLANEADAS]]*PLANPRODUCCION[[#This Row],[PRECIO MAQUILAS]]</f>
        <v>1020</v>
      </c>
      <c r="O779" s="5">
        <v>4</v>
      </c>
      <c r="P779" s="2">
        <v>0.4826388888888889</v>
      </c>
      <c r="Q779" s="2">
        <v>0.66666666666666663</v>
      </c>
      <c r="R779" s="5">
        <v>477</v>
      </c>
      <c r="S779" s="7">
        <f>PLANPRODUCCION[[#This Row],[PRECIO MAQUILAS]]*PLANPRODUCCION[[#This Row],[PIEZAS REAL]]</f>
        <v>810.9</v>
      </c>
      <c r="T77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663</v>
      </c>
      <c r="U77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992</v>
      </c>
      <c r="V77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1095.3333333333333</v>
      </c>
      <c r="W77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-284.43333333333328</v>
      </c>
      <c r="X779" s="8" t="s">
        <v>602</v>
      </c>
      <c r="Y77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7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7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79" s="13">
        <f>IF(PLANPRODUCCION[[#This Row],[PIEZAS REAL]]&gt;0,PLANPRODUCCION[[#This Row],[PIEZAS REAL]]/PLANPRODUCCION[[#This Row],[PIEZAS ACTUALIZADO]],)</f>
        <v>0.71945701357466063</v>
      </c>
      <c r="AC779" t="b">
        <f>PLANPRODUCCION[[#This Row],[INGRESO PLANEADO]]&lt;PLANPRODUCCION[[#This Row],[COSTO PLANEADO]]</f>
        <v>0</v>
      </c>
      <c r="AD779" s="46" t="s">
        <v>1161</v>
      </c>
      <c r="AF779" t="b">
        <f>IF(COUNTIF(PLANPRODUCCION[[#This Row],[OBSERVACIONES]],"NO APLICA BONO*")&gt;0,TRUE,FALSE)</f>
        <v>0</v>
      </c>
    </row>
    <row r="780" spans="1:32" x14ac:dyDescent="0.25">
      <c r="A780" s="46" t="str">
        <f>UPPER(IF(PLANPRODUCCION[[#This Row],[FECHA]]&lt;=45701,_xlfn.CONCAT(TEXT(B780,"MMM"),"-",IF(ROW(A780)&lt;11,"000"&amp;ROW(A780)-1,IF(ROW(A780)&lt;101,"00"&amp;ROW(A780)-1,IF(ROW(A780)&lt;1001,"0"&amp;ROW(A780)-1,ROW(A780)-1))),"-OLD"),_xlfn.CONCAT(TEXT(B780,"MMM"),"-",IF(ROW(A780)&lt;473,"000"&amp;ROW(A780)-463,IF(ROW(A780)&lt;563,"00"&amp;ROW(A780)-463,IF(ROW(A780)&lt;1001,"0"&amp;ROW(A780)-463,ROW(A780)-463))))))</f>
        <v>ABR-0317</v>
      </c>
      <c r="B780" s="39">
        <v>45749</v>
      </c>
      <c r="C780" s="5">
        <v>2</v>
      </c>
      <c r="D780" s="5" t="s">
        <v>62</v>
      </c>
      <c r="E780" t="s">
        <v>54</v>
      </c>
      <c r="F780" s="2">
        <v>0.25</v>
      </c>
      <c r="G780" s="2">
        <v>0.33333333333333331</v>
      </c>
      <c r="H780" s="5">
        <v>1608</v>
      </c>
      <c r="I780" t="s">
        <v>1142</v>
      </c>
      <c r="J780" t="s">
        <v>813</v>
      </c>
      <c r="K780" s="5">
        <v>1000</v>
      </c>
      <c r="L780" s="5" t="s">
        <v>65</v>
      </c>
      <c r="M780" s="4">
        <v>1.4</v>
      </c>
      <c r="N780" s="6">
        <f>PLANPRODUCCION[[#This Row],[PIEZAS PLANEADAS]]*PLANPRODUCCION[[#This Row],[PRECIO MAQUILAS]]</f>
        <v>1400</v>
      </c>
      <c r="O780" s="5">
        <v>2</v>
      </c>
      <c r="P780" s="2">
        <v>0.25</v>
      </c>
      <c r="Q780" s="2">
        <v>0.41666666666666669</v>
      </c>
      <c r="R780" s="5">
        <v>917</v>
      </c>
      <c r="S780" s="7">
        <f>PLANPRODUCCION[[#This Row],[PRECIO MAQUILAS]]*PLANPRODUCCION[[#This Row],[PIEZAS REAL]]</f>
        <v>1283.8</v>
      </c>
      <c r="T78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2000</v>
      </c>
      <c r="U78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</v>
      </c>
      <c r="V78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496</v>
      </c>
      <c r="W78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787.8</v>
      </c>
      <c r="X780" s="8" t="s">
        <v>602</v>
      </c>
      <c r="Y78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8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8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80" s="13">
        <f>IF(PLANPRODUCCION[[#This Row],[PIEZAS REAL]]&gt;0,PLANPRODUCCION[[#This Row],[PIEZAS REAL]]/PLANPRODUCCION[[#This Row],[PIEZAS ACTUALIZADO]],)</f>
        <v>0.45850000000000002</v>
      </c>
      <c r="AC780" t="b">
        <f>PLANPRODUCCION[[#This Row],[INGRESO PLANEADO]]&lt;PLANPRODUCCION[[#This Row],[COSTO PLANEADO]]</f>
        <v>0</v>
      </c>
      <c r="AD780" s="46" t="s">
        <v>1162</v>
      </c>
      <c r="AE780" t="s">
        <v>1164</v>
      </c>
      <c r="AF780" t="b">
        <f>IF(COUNTIF(PLANPRODUCCION[[#This Row],[OBSERVACIONES]],"NO APLICA BONO*")&gt;0,TRUE,FALSE)</f>
        <v>0</v>
      </c>
    </row>
    <row r="781" spans="1:32" x14ac:dyDescent="0.25">
      <c r="A781" s="46" t="str">
        <f>UPPER(IF(PLANPRODUCCION[[#This Row],[FECHA]]&lt;=45701,_xlfn.CONCAT(TEXT(B781,"MMM"),"-",IF(ROW(A781)&lt;11,"000"&amp;ROW(A781)-1,IF(ROW(A781)&lt;101,"00"&amp;ROW(A781)-1,IF(ROW(A781)&lt;1001,"0"&amp;ROW(A781)-1,ROW(A781)-1))),"-OLD"),_xlfn.CONCAT(TEXT(B781,"MMM"),"-",IF(ROW(A781)&lt;473,"000"&amp;ROW(A781)-463,IF(ROW(A781)&lt;563,"00"&amp;ROW(A781)-463,IF(ROW(A781)&lt;1001,"0"&amp;ROW(A781)-463,ROW(A781)-463))))))</f>
        <v>ABR-0318</v>
      </c>
      <c r="B781" s="39">
        <v>45749</v>
      </c>
      <c r="C781" s="5">
        <v>2</v>
      </c>
      <c r="D781" s="5">
        <v>8</v>
      </c>
      <c r="E781" t="s">
        <v>54</v>
      </c>
      <c r="F781" s="2">
        <v>0.33333333333333331</v>
      </c>
      <c r="G781" s="2">
        <v>0.66666666666666663</v>
      </c>
      <c r="H781" s="5">
        <v>1428</v>
      </c>
      <c r="I781" t="s">
        <v>863</v>
      </c>
      <c r="J781" t="s">
        <v>557</v>
      </c>
      <c r="K781" s="5">
        <v>600</v>
      </c>
      <c r="L781" s="5" t="s">
        <v>545</v>
      </c>
      <c r="M781" s="4">
        <v>1.7</v>
      </c>
      <c r="N781" s="6">
        <f>PLANPRODUCCION[[#This Row],[PIEZAS PLANEADAS]]*PLANPRODUCCION[[#This Row],[PRECIO MAQUILAS]]</f>
        <v>1020</v>
      </c>
      <c r="O781" s="5">
        <v>2</v>
      </c>
      <c r="P781" s="2">
        <v>0.41666666666666669</v>
      </c>
      <c r="Q781" s="2">
        <v>0.66666666666666663</v>
      </c>
      <c r="R781" s="5">
        <v>289</v>
      </c>
      <c r="S781" s="7">
        <f>PLANPRODUCCION[[#This Row],[PRECIO MAQUILAS]]*PLANPRODUCCION[[#This Row],[PIEZAS REAL]]</f>
        <v>491.3</v>
      </c>
      <c r="T78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450</v>
      </c>
      <c r="U78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992</v>
      </c>
      <c r="V78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744</v>
      </c>
      <c r="W78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-252.7</v>
      </c>
      <c r="X781" s="8" t="s">
        <v>602</v>
      </c>
      <c r="Y78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8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8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81" s="13">
        <f>IF(PLANPRODUCCION[[#This Row],[PIEZAS REAL]]&gt;0,PLANPRODUCCION[[#This Row],[PIEZAS REAL]]/PLANPRODUCCION[[#This Row],[PIEZAS ACTUALIZADO]],)</f>
        <v>0.64222222222222225</v>
      </c>
      <c r="AC781" t="b">
        <f>PLANPRODUCCION[[#This Row],[INGRESO PLANEADO]]&lt;PLANPRODUCCION[[#This Row],[COSTO PLANEADO]]</f>
        <v>0</v>
      </c>
      <c r="AD781" s="46" t="s">
        <v>1163</v>
      </c>
      <c r="AF781" t="b">
        <f>IF(COUNTIF(PLANPRODUCCION[[#This Row],[OBSERVACIONES]],"NO APLICA BONO*")&gt;0,TRUE,FALSE)</f>
        <v>0</v>
      </c>
    </row>
    <row r="782" spans="1:32" x14ac:dyDescent="0.25">
      <c r="A782" s="46" t="str">
        <f>UPPER(IF(PLANPRODUCCION[[#This Row],[FECHA]]&lt;=45701,_xlfn.CONCAT(TEXT(B782,"MMM"),"-",IF(ROW(A782)&lt;11,"000"&amp;ROW(A782)-1,IF(ROW(A782)&lt;101,"00"&amp;ROW(A782)-1,IF(ROW(A782)&lt;1001,"0"&amp;ROW(A782)-1,ROW(A782)-1))),"-OLD"),_xlfn.CONCAT(TEXT(B782,"MMM"),"-",IF(ROW(A782)&lt;473,"000"&amp;ROW(A782)-463,IF(ROW(A782)&lt;563,"00"&amp;ROW(A782)-463,IF(ROW(A782)&lt;1001,"0"&amp;ROW(A782)-463,ROW(A782)-463))))))</f>
        <v>ABR-0319</v>
      </c>
      <c r="B782" s="39">
        <v>45749</v>
      </c>
      <c r="C782" s="5">
        <v>2</v>
      </c>
      <c r="D782" s="5" t="s">
        <v>666</v>
      </c>
      <c r="E782" t="s">
        <v>72</v>
      </c>
      <c r="F782" s="2">
        <v>0.66666666666666663</v>
      </c>
      <c r="G782" s="2">
        <v>0.79166666666666663</v>
      </c>
      <c r="H782" s="5">
        <v>1622</v>
      </c>
      <c r="I782" t="s">
        <v>190</v>
      </c>
      <c r="J782" t="s">
        <v>1155</v>
      </c>
      <c r="K782" s="5">
        <v>400</v>
      </c>
      <c r="L782" s="5" t="s">
        <v>57</v>
      </c>
      <c r="M782" s="4">
        <v>1</v>
      </c>
      <c r="N782" s="6">
        <f>PLANPRODUCCION[[#This Row],[PIEZAS PLANEADAS]]*PLANPRODUCCION[[#This Row],[PRECIO MAQUILAS]]</f>
        <v>400</v>
      </c>
      <c r="O782" s="5">
        <v>2</v>
      </c>
      <c r="P782" s="2">
        <v>0.66666666666666663</v>
      </c>
      <c r="Q782" s="2">
        <v>0.875</v>
      </c>
      <c r="R782" s="5">
        <v>230</v>
      </c>
      <c r="S782" s="7">
        <f>PLANPRODUCCION[[#This Row],[PRECIO MAQUILAS]]*PLANPRODUCCION[[#This Row],[PIEZAS REAL]]</f>
        <v>230</v>
      </c>
      <c r="T78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667</v>
      </c>
      <c r="U78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</v>
      </c>
      <c r="V78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78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-390</v>
      </c>
      <c r="X782" s="8" t="s">
        <v>602</v>
      </c>
      <c r="Y78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8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8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82" s="13">
        <f>IF(PLANPRODUCCION[[#This Row],[PIEZAS REAL]]&gt;0,PLANPRODUCCION[[#This Row],[PIEZAS REAL]]/PLANPRODUCCION[[#This Row],[PIEZAS ACTUALIZADO]],)</f>
        <v>0.34482758620689657</v>
      </c>
      <c r="AC782" t="b">
        <f>PLANPRODUCCION[[#This Row],[INGRESO PLANEADO]]&lt;PLANPRODUCCION[[#This Row],[COSTO PLANEADO]]</f>
        <v>0</v>
      </c>
      <c r="AD782" s="46" t="s">
        <v>1176</v>
      </c>
      <c r="AF782" t="b">
        <f>IF(COUNTIF(PLANPRODUCCION[[#This Row],[OBSERVACIONES]],"NO APLICA BONO*")&gt;0,TRUE,FALSE)</f>
        <v>0</v>
      </c>
    </row>
    <row r="783" spans="1:32" x14ac:dyDescent="0.25">
      <c r="A783" s="46" t="str">
        <f>UPPER(IF(PLANPRODUCCION[[#This Row],[FECHA]]&lt;=45701,_xlfn.CONCAT(TEXT(B783,"MMM"),"-",IF(ROW(A783)&lt;11,"000"&amp;ROW(A783)-1,IF(ROW(A783)&lt;101,"00"&amp;ROW(A783)-1,IF(ROW(A783)&lt;1001,"0"&amp;ROW(A783)-1,ROW(A783)-1))),"-OLD"),_xlfn.CONCAT(TEXT(B783,"MMM"),"-",IF(ROW(A783)&lt;473,"000"&amp;ROW(A783)-463,IF(ROW(A783)&lt;563,"00"&amp;ROW(A783)-463,IF(ROW(A783)&lt;1001,"0"&amp;ROW(A783)-463,ROW(A783)-463))))))</f>
        <v>ABR-0320</v>
      </c>
      <c r="B783" s="39">
        <v>45749</v>
      </c>
      <c r="C783" s="5">
        <v>2</v>
      </c>
      <c r="D783" s="5">
        <v>5</v>
      </c>
      <c r="E783" t="s">
        <v>72</v>
      </c>
      <c r="F783" s="2">
        <v>0.79166666666666663</v>
      </c>
      <c r="G783" s="2">
        <v>0.875</v>
      </c>
      <c r="H783" s="5">
        <v>1428</v>
      </c>
      <c r="I783" t="s">
        <v>863</v>
      </c>
      <c r="J783" t="s">
        <v>557</v>
      </c>
      <c r="K783" s="5">
        <v>150</v>
      </c>
      <c r="L783" s="5" t="s">
        <v>545</v>
      </c>
      <c r="M783" s="4">
        <v>1.7</v>
      </c>
      <c r="N783" s="6">
        <f>PLANPRODUCCION[[#This Row],[PIEZAS PLANEADAS]]*PLANPRODUCCION[[#This Row],[PRECIO MAQUILAS]]</f>
        <v>255</v>
      </c>
      <c r="O783" s="5">
        <v>0</v>
      </c>
      <c r="P783" s="2">
        <v>0</v>
      </c>
      <c r="Q783" s="2">
        <v>0</v>
      </c>
      <c r="R783" s="5">
        <v>0</v>
      </c>
      <c r="S783" s="7">
        <f>PLANPRODUCCION[[#This Row],[PRECIO MAQUILAS]]*PLANPRODUCCION[[#This Row],[PIEZAS REAL]]</f>
        <v>0</v>
      </c>
      <c r="T78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78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8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78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783" s="8" t="s">
        <v>602</v>
      </c>
      <c r="Y783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78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783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783" s="13">
        <f>IF(PLANPRODUCCION[[#This Row],[PIEZAS REAL]]&gt;0,PLANPRODUCCION[[#This Row],[PIEZAS REAL]]/PLANPRODUCCION[[#This Row],[PIEZAS ACTUALIZADO]],)</f>
        <v>0</v>
      </c>
      <c r="AC783" t="b">
        <f>PLANPRODUCCION[[#This Row],[INGRESO PLANEADO]]&lt;PLANPRODUCCION[[#This Row],[COSTO PLANEADO]]</f>
        <v>0</v>
      </c>
      <c r="AD783" s="46" t="s">
        <v>1177</v>
      </c>
      <c r="AF783" t="b">
        <f>IF(COUNTIF(PLANPRODUCCION[[#This Row],[OBSERVACIONES]],"NO APLICA BONO*")&gt;0,TRUE,FALSE)</f>
        <v>0</v>
      </c>
    </row>
    <row r="784" spans="1:32" x14ac:dyDescent="0.25">
      <c r="A784" s="46" t="str">
        <f>UPPER(IF(PLANPRODUCCION[[#This Row],[FECHA]]&lt;=45701,_xlfn.CONCAT(TEXT(B784,"MMM"),"-",IF(ROW(A784)&lt;11,"000"&amp;ROW(A784)-1,IF(ROW(A784)&lt;101,"00"&amp;ROW(A784)-1,IF(ROW(A784)&lt;1001,"0"&amp;ROW(A784)-1,ROW(A784)-1))),"-OLD"),_xlfn.CONCAT(TEXT(B784,"MMM"),"-",IF(ROW(A784)&lt;473,"000"&amp;ROW(A784)-463,IF(ROW(A784)&lt;563,"00"&amp;ROW(A784)-463,IF(ROW(A784)&lt;1001,"0"&amp;ROW(A784)-463,ROW(A784)-463))))))</f>
        <v>ABR-0321</v>
      </c>
      <c r="B784" s="39">
        <v>45750</v>
      </c>
      <c r="C784" s="5">
        <v>2</v>
      </c>
      <c r="D784" s="5" t="s">
        <v>62</v>
      </c>
      <c r="E784" t="s">
        <v>54</v>
      </c>
      <c r="F784" s="2">
        <v>0.25</v>
      </c>
      <c r="G784" s="2">
        <v>0.66666666666666663</v>
      </c>
      <c r="H784" s="5">
        <v>1608</v>
      </c>
      <c r="I784" t="s">
        <v>1143</v>
      </c>
      <c r="J784" t="s">
        <v>1144</v>
      </c>
      <c r="K784" s="5">
        <v>5000</v>
      </c>
      <c r="L784" s="5" t="s">
        <v>65</v>
      </c>
      <c r="M784" s="4">
        <v>1.4</v>
      </c>
      <c r="N784" s="6">
        <f>PLANPRODUCCION[[#This Row],[PIEZAS PLANEADAS]]*PLANPRODUCCION[[#This Row],[PRECIO MAQUILAS]]</f>
        <v>7000</v>
      </c>
      <c r="O784" s="5">
        <v>2</v>
      </c>
      <c r="P784" s="2">
        <v>0.25</v>
      </c>
      <c r="Q784" s="2">
        <v>0.66666666666666663</v>
      </c>
      <c r="R784" s="5">
        <v>3057</v>
      </c>
      <c r="S784" s="7">
        <f>PLANPRODUCCION[[#This Row],[PRECIO MAQUILAS]]*PLANPRODUCCION[[#This Row],[PIEZAS REAL]]</f>
        <v>4279.8</v>
      </c>
      <c r="T78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5000</v>
      </c>
      <c r="U78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78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78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3039.8</v>
      </c>
      <c r="X784" s="8" t="s">
        <v>602</v>
      </c>
      <c r="Y78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8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8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84" s="13">
        <f>IF(PLANPRODUCCION[[#This Row],[PIEZAS REAL]]&gt;0,PLANPRODUCCION[[#This Row],[PIEZAS REAL]]/PLANPRODUCCION[[#This Row],[PIEZAS ACTUALIZADO]],)</f>
        <v>0.61140000000000005</v>
      </c>
      <c r="AC784" t="b">
        <f>PLANPRODUCCION[[#This Row],[INGRESO PLANEADO]]&lt;PLANPRODUCCION[[#This Row],[COSTO PLANEADO]]</f>
        <v>0</v>
      </c>
      <c r="AD784" s="46" t="s">
        <v>1166</v>
      </c>
      <c r="AF784" t="b">
        <f>IF(COUNTIF(PLANPRODUCCION[[#This Row],[OBSERVACIONES]],"NO APLICA BONO*")&gt;0,TRUE,FALSE)</f>
        <v>0</v>
      </c>
    </row>
    <row r="785" spans="1:32" x14ac:dyDescent="0.25">
      <c r="A785" s="46" t="str">
        <f>UPPER(IF(PLANPRODUCCION[[#This Row],[FECHA]]&lt;=45701,_xlfn.CONCAT(TEXT(B785,"MMM"),"-",IF(ROW(A785)&lt;11,"000"&amp;ROW(A785)-1,IF(ROW(A785)&lt;101,"00"&amp;ROW(A785)-1,IF(ROW(A785)&lt;1001,"0"&amp;ROW(A785)-1,ROW(A785)-1))),"-OLD"),_xlfn.CONCAT(TEXT(B785,"MMM"),"-",IF(ROW(A785)&lt;473,"000"&amp;ROW(A785)-463,IF(ROW(A785)&lt;563,"00"&amp;ROW(A785)-463,IF(ROW(A785)&lt;1001,"0"&amp;ROW(A785)-463,ROW(A785)-463))))))</f>
        <v>ABR-0322</v>
      </c>
      <c r="B785" s="39">
        <v>45750</v>
      </c>
      <c r="C785" s="5">
        <v>4</v>
      </c>
      <c r="D785" s="5">
        <v>1</v>
      </c>
      <c r="E785" t="s">
        <v>54</v>
      </c>
      <c r="F785" s="2">
        <v>0.25</v>
      </c>
      <c r="G785" s="2">
        <v>0.375</v>
      </c>
      <c r="H785" s="5">
        <v>1428</v>
      </c>
      <c r="I785" t="s">
        <v>863</v>
      </c>
      <c r="J785" t="s">
        <v>557</v>
      </c>
      <c r="K785" s="5">
        <v>450</v>
      </c>
      <c r="L785" s="5" t="s">
        <v>545</v>
      </c>
      <c r="M785" s="4">
        <v>1.7</v>
      </c>
      <c r="N785" s="6">
        <f>PLANPRODUCCION[[#This Row],[PIEZAS PLANEADAS]]*PLANPRODUCCION[[#This Row],[PRECIO MAQUILAS]]</f>
        <v>765</v>
      </c>
      <c r="O785" s="5">
        <v>4</v>
      </c>
      <c r="P785" s="2">
        <v>0.25</v>
      </c>
      <c r="Q785" s="2">
        <v>0.31944444444444442</v>
      </c>
      <c r="R785" s="5">
        <v>259</v>
      </c>
      <c r="S785" s="7">
        <f>PLANPRODUCCION[[#This Row],[PRECIO MAQUILAS]]*PLANPRODUCCION[[#This Row],[PIEZAS REAL]]</f>
        <v>440.3</v>
      </c>
      <c r="T78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250</v>
      </c>
      <c r="U78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744</v>
      </c>
      <c r="V78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413.33333333333337</v>
      </c>
      <c r="W78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26.96666666666664</v>
      </c>
      <c r="X785" s="8" t="s">
        <v>602</v>
      </c>
      <c r="Y785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8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8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85" s="13">
        <f>IF(PLANPRODUCCION[[#This Row],[PIEZAS REAL]]&gt;0,PLANPRODUCCION[[#This Row],[PIEZAS REAL]]/PLANPRODUCCION[[#This Row],[PIEZAS ACTUALIZADO]],)</f>
        <v>1.036</v>
      </c>
      <c r="AC785" t="b">
        <f>PLANPRODUCCION[[#This Row],[INGRESO PLANEADO]]&lt;PLANPRODUCCION[[#This Row],[COSTO PLANEADO]]</f>
        <v>0</v>
      </c>
      <c r="AD785" s="46" t="s">
        <v>1167</v>
      </c>
      <c r="AF785" t="b">
        <f>IF(COUNTIF(PLANPRODUCCION[[#This Row],[OBSERVACIONES]],"NO APLICA BONO*")&gt;0,TRUE,FALSE)</f>
        <v>0</v>
      </c>
    </row>
    <row r="786" spans="1:32" x14ac:dyDescent="0.25">
      <c r="A786" s="46" t="str">
        <f>UPPER(IF(PLANPRODUCCION[[#This Row],[FECHA]]&lt;=45701,_xlfn.CONCAT(TEXT(B786,"MMM"),"-",IF(ROW(A786)&lt;11,"000"&amp;ROW(A786)-1,IF(ROW(A786)&lt;101,"00"&amp;ROW(A786)-1,IF(ROW(A786)&lt;1001,"0"&amp;ROW(A786)-1,ROW(A786)-1))),"-OLD"),_xlfn.CONCAT(TEXT(B786,"MMM"),"-",IF(ROW(A786)&lt;473,"000"&amp;ROW(A786)-463,IF(ROW(A786)&lt;563,"00"&amp;ROW(A786)-463,IF(ROW(A786)&lt;1001,"0"&amp;ROW(A786)-463,ROW(A786)-463))))))</f>
        <v>ABR-0323</v>
      </c>
      <c r="B786" s="39">
        <v>45750</v>
      </c>
      <c r="C786" s="5">
        <v>4</v>
      </c>
      <c r="D786" s="5">
        <v>1</v>
      </c>
      <c r="E786" t="s">
        <v>54</v>
      </c>
      <c r="F786" s="2">
        <v>0.375</v>
      </c>
      <c r="G786" s="2">
        <v>0.66666666666666663</v>
      </c>
      <c r="H786" s="5">
        <v>1608</v>
      </c>
      <c r="I786" t="s">
        <v>1128</v>
      </c>
      <c r="J786" t="s">
        <v>68</v>
      </c>
      <c r="K786" s="5">
        <v>1064</v>
      </c>
      <c r="L786" s="5" t="s">
        <v>57</v>
      </c>
      <c r="M786" s="4">
        <v>1.75</v>
      </c>
      <c r="N786" s="6">
        <f>PLANPRODUCCION[[#This Row],[PIEZAS PLANEADAS]]*PLANPRODUCCION[[#This Row],[PRECIO MAQUILAS]]</f>
        <v>1862</v>
      </c>
      <c r="O786" s="5">
        <v>4</v>
      </c>
      <c r="P786" s="2">
        <v>0.31944444444444442</v>
      </c>
      <c r="Q786" s="2">
        <v>0.66666666666666663</v>
      </c>
      <c r="R786" s="5">
        <v>1085</v>
      </c>
      <c r="S786" s="7">
        <f>PLANPRODUCCION[[#This Row],[PRECIO MAQUILAS]]*PLANPRODUCCION[[#This Row],[PIEZAS REAL]]</f>
        <v>1898.75</v>
      </c>
      <c r="T78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1267</v>
      </c>
      <c r="U78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1736</v>
      </c>
      <c r="V78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2066.6666666666665</v>
      </c>
      <c r="W78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-167.91666666666652</v>
      </c>
      <c r="X786" s="8" t="s">
        <v>602</v>
      </c>
      <c r="Y786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8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8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86" s="13">
        <f>IF(PLANPRODUCCION[[#This Row],[PIEZAS REAL]]&gt;0,PLANPRODUCCION[[#This Row],[PIEZAS REAL]]/PLANPRODUCCION[[#This Row],[PIEZAS ACTUALIZADO]],)</f>
        <v>0.85635359116022103</v>
      </c>
      <c r="AC786" t="b">
        <f>PLANPRODUCCION[[#This Row],[INGRESO PLANEADO]]&lt;PLANPRODUCCION[[#This Row],[COSTO PLANEADO]]</f>
        <v>0</v>
      </c>
      <c r="AD786" s="46" t="s">
        <v>1168</v>
      </c>
      <c r="AF786" t="b">
        <f>IF(COUNTIF(PLANPRODUCCION[[#This Row],[OBSERVACIONES]],"NO APLICA BONO*")&gt;0,TRUE,FALSE)</f>
        <v>0</v>
      </c>
    </row>
    <row r="787" spans="1:32" x14ac:dyDescent="0.25">
      <c r="A787" s="46" t="str">
        <f>UPPER(IF(PLANPRODUCCION[[#This Row],[FECHA]]&lt;=45701,_xlfn.CONCAT(TEXT(B787,"MMM"),"-",IF(ROW(A787)&lt;11,"000"&amp;ROW(A787)-1,IF(ROW(A787)&lt;101,"00"&amp;ROW(A787)-1,IF(ROW(A787)&lt;1001,"0"&amp;ROW(A787)-1,ROW(A787)-1))),"-OLD"),_xlfn.CONCAT(TEXT(B787,"MMM"),"-",IF(ROW(A787)&lt;473,"000"&amp;ROW(A787)-463,IF(ROW(A787)&lt;563,"00"&amp;ROW(A787)-463,IF(ROW(A787)&lt;1001,"0"&amp;ROW(A787)-463,ROW(A787)-463))))))</f>
        <v>ABR-0324</v>
      </c>
      <c r="B787" s="39">
        <v>45750</v>
      </c>
      <c r="C787" s="5">
        <v>4</v>
      </c>
      <c r="D787" s="5">
        <v>2</v>
      </c>
      <c r="E787" t="s">
        <v>54</v>
      </c>
      <c r="F787" s="2">
        <v>0.25</v>
      </c>
      <c r="G787" s="2">
        <v>0.66666666666666663</v>
      </c>
      <c r="H787" s="5">
        <v>1608</v>
      </c>
      <c r="I787" t="s">
        <v>1128</v>
      </c>
      <c r="J787" t="s">
        <v>68</v>
      </c>
      <c r="K787" s="5">
        <v>1520</v>
      </c>
      <c r="L787" s="5" t="s">
        <v>57</v>
      </c>
      <c r="M787" s="4">
        <v>1.75</v>
      </c>
      <c r="N787" s="6">
        <f>PLANPRODUCCION[[#This Row],[PIEZAS PLANEADAS]]*PLANPRODUCCION[[#This Row],[PRECIO MAQUILAS]]</f>
        <v>2660</v>
      </c>
      <c r="O787" s="5">
        <v>3</v>
      </c>
      <c r="P787" s="2">
        <v>0.25</v>
      </c>
      <c r="Q787" s="2">
        <v>0.66666666666666663</v>
      </c>
      <c r="R787" s="5">
        <v>860</v>
      </c>
      <c r="S787" s="7">
        <f>PLANPRODUCCION[[#This Row],[PRECIO MAQUILAS]]*PLANPRODUCCION[[#This Row],[PIEZAS REAL]]</f>
        <v>1505</v>
      </c>
      <c r="T78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1140</v>
      </c>
      <c r="U78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2480</v>
      </c>
      <c r="V78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78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-355</v>
      </c>
      <c r="X787" s="8" t="s">
        <v>602</v>
      </c>
      <c r="Y787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8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8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87" s="13">
        <f>IF(PLANPRODUCCION[[#This Row],[PIEZAS REAL]]&gt;0,PLANPRODUCCION[[#This Row],[PIEZAS REAL]]/PLANPRODUCCION[[#This Row],[PIEZAS ACTUALIZADO]],)</f>
        <v>0.75438596491228072</v>
      </c>
      <c r="AC787" t="b">
        <f>PLANPRODUCCION[[#This Row],[INGRESO PLANEADO]]&lt;PLANPRODUCCION[[#This Row],[COSTO PLANEADO]]</f>
        <v>0</v>
      </c>
      <c r="AD787" s="46" t="s">
        <v>1169</v>
      </c>
      <c r="AF787" t="b">
        <f>IF(COUNTIF(PLANPRODUCCION[[#This Row],[OBSERVACIONES]],"NO APLICA BONO*")&gt;0,TRUE,FALSE)</f>
        <v>0</v>
      </c>
    </row>
    <row r="788" spans="1:32" x14ac:dyDescent="0.25">
      <c r="A788" s="46" t="str">
        <f>UPPER(IF(PLANPRODUCCION[[#This Row],[FECHA]]&lt;=45701,_xlfn.CONCAT(TEXT(B788,"MMM"),"-",IF(ROW(A788)&lt;11,"000"&amp;ROW(A788)-1,IF(ROW(A788)&lt;101,"00"&amp;ROW(A788)-1,IF(ROW(A788)&lt;1001,"0"&amp;ROW(A788)-1,ROW(A788)-1))),"-OLD"),_xlfn.CONCAT(TEXT(B788,"MMM"),"-",IF(ROW(A788)&lt;473,"000"&amp;ROW(A788)-463,IF(ROW(A788)&lt;563,"00"&amp;ROW(A788)-463,IF(ROW(A788)&lt;1001,"0"&amp;ROW(A788)-463,ROW(A788)-463))))))</f>
        <v>ABR-0325</v>
      </c>
      <c r="B788" s="39">
        <v>45750</v>
      </c>
      <c r="C788" s="5">
        <v>3</v>
      </c>
      <c r="D788" s="5">
        <v>3</v>
      </c>
      <c r="E788" t="s">
        <v>54</v>
      </c>
      <c r="F788" s="2">
        <v>0.25</v>
      </c>
      <c r="G788" s="2">
        <v>0.66666666666666663</v>
      </c>
      <c r="H788" s="5">
        <v>1608</v>
      </c>
      <c r="I788" t="s">
        <v>1128</v>
      </c>
      <c r="J788" t="s">
        <v>68</v>
      </c>
      <c r="K788" s="5">
        <v>1140</v>
      </c>
      <c r="L788" s="5" t="s">
        <v>57</v>
      </c>
      <c r="M788" s="4">
        <v>1.75</v>
      </c>
      <c r="N788" s="6">
        <f>PLANPRODUCCION[[#This Row],[PIEZAS PLANEADAS]]*PLANPRODUCCION[[#This Row],[PRECIO MAQUILAS]]</f>
        <v>1995</v>
      </c>
      <c r="O788" s="5">
        <v>3</v>
      </c>
      <c r="P788" s="2">
        <v>0.25</v>
      </c>
      <c r="Q788" s="2">
        <v>0.66666666666666663</v>
      </c>
      <c r="R788" s="5">
        <v>840</v>
      </c>
      <c r="S788" s="7">
        <f>PLANPRODUCCION[[#This Row],[PRECIO MAQUILAS]]*PLANPRODUCCION[[#This Row],[PIEZAS REAL]]</f>
        <v>1470</v>
      </c>
      <c r="T78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1140</v>
      </c>
      <c r="U78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78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78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-390</v>
      </c>
      <c r="X788" s="8" t="s">
        <v>602</v>
      </c>
      <c r="Y788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8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8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88" s="13">
        <f>IF(PLANPRODUCCION[[#This Row],[PIEZAS REAL]]&gt;0,PLANPRODUCCION[[#This Row],[PIEZAS REAL]]/PLANPRODUCCION[[#This Row],[PIEZAS ACTUALIZADO]],)</f>
        <v>0.73684210526315785</v>
      </c>
      <c r="AC788" t="b">
        <f>PLANPRODUCCION[[#This Row],[INGRESO PLANEADO]]&lt;PLANPRODUCCION[[#This Row],[COSTO PLANEADO]]</f>
        <v>0</v>
      </c>
      <c r="AD788" s="46" t="s">
        <v>1170</v>
      </c>
      <c r="AF788" t="b">
        <f>IF(COUNTIF(PLANPRODUCCION[[#This Row],[OBSERVACIONES]],"NO APLICA BONO*")&gt;0,TRUE,FALSE)</f>
        <v>0</v>
      </c>
    </row>
    <row r="789" spans="1:32" x14ac:dyDescent="0.25">
      <c r="A789" s="46" t="str">
        <f>UPPER(IF(PLANPRODUCCION[[#This Row],[FECHA]]&lt;=45701,_xlfn.CONCAT(TEXT(B789,"MMM"),"-",IF(ROW(A789)&lt;11,"000"&amp;ROW(A789)-1,IF(ROW(A789)&lt;101,"00"&amp;ROW(A789)-1,IF(ROW(A789)&lt;1001,"0"&amp;ROW(A789)-1,ROW(A789)-1))),"-OLD"),_xlfn.CONCAT(TEXT(B789,"MMM"),"-",IF(ROW(A789)&lt;473,"000"&amp;ROW(A789)-463,IF(ROW(A789)&lt;563,"00"&amp;ROW(A789)-463,IF(ROW(A789)&lt;1001,"0"&amp;ROW(A789)-463,ROW(A789)-463))))))</f>
        <v>ABR-0326</v>
      </c>
      <c r="B789" s="39">
        <v>45750</v>
      </c>
      <c r="C789" s="5">
        <v>2</v>
      </c>
      <c r="D789" s="5" t="s">
        <v>62</v>
      </c>
      <c r="E789" t="s">
        <v>72</v>
      </c>
      <c r="F789" s="2">
        <v>0.66666666666666663</v>
      </c>
      <c r="G789" s="2">
        <v>0.875</v>
      </c>
      <c r="H789" s="5">
        <v>1608</v>
      </c>
      <c r="I789" t="s">
        <v>1143</v>
      </c>
      <c r="J789" t="s">
        <v>1144</v>
      </c>
      <c r="K789" s="5">
        <v>2500</v>
      </c>
      <c r="L789" s="5" t="s">
        <v>65</v>
      </c>
      <c r="M789" s="4">
        <v>1.4</v>
      </c>
      <c r="N789" s="6">
        <f>PLANPRODUCCION[[#This Row],[PIEZAS PLANEADAS]]*PLANPRODUCCION[[#This Row],[PRECIO MAQUILAS]]</f>
        <v>3500</v>
      </c>
      <c r="O789" s="5">
        <v>2</v>
      </c>
      <c r="P789" s="2">
        <v>0.66666666666666663</v>
      </c>
      <c r="Q789" s="2">
        <v>0.875</v>
      </c>
      <c r="R789" s="5">
        <v>1139</v>
      </c>
      <c r="S789" s="7">
        <f>PLANPRODUCCION[[#This Row],[PRECIO MAQUILAS]]*PLANPRODUCCION[[#This Row],[PIEZAS REAL]]</f>
        <v>1594.6</v>
      </c>
      <c r="T78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2500</v>
      </c>
      <c r="U78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78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78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974.59999999999991</v>
      </c>
      <c r="X789" s="8" t="s">
        <v>602</v>
      </c>
      <c r="Y789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8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8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89" s="13">
        <f>IF(PLANPRODUCCION[[#This Row],[PIEZAS REAL]]&gt;0,PLANPRODUCCION[[#This Row],[PIEZAS REAL]]/PLANPRODUCCION[[#This Row],[PIEZAS ACTUALIZADO]],)</f>
        <v>0.4556</v>
      </c>
      <c r="AC789" t="b">
        <f>PLANPRODUCCION[[#This Row],[INGRESO PLANEADO]]&lt;PLANPRODUCCION[[#This Row],[COSTO PLANEADO]]</f>
        <v>0</v>
      </c>
      <c r="AD789" s="46" t="s">
        <v>1178</v>
      </c>
      <c r="AF789" t="b">
        <f>IF(COUNTIF(PLANPRODUCCION[[#This Row],[OBSERVACIONES]],"NO APLICA BONO*")&gt;0,TRUE,FALSE)</f>
        <v>0</v>
      </c>
    </row>
    <row r="790" spans="1:32" x14ac:dyDescent="0.25">
      <c r="A790" s="46" t="str">
        <f>UPPER(IF(PLANPRODUCCION[[#This Row],[FECHA]]&lt;=45701,_xlfn.CONCAT(TEXT(B790,"MMM"),"-",IF(ROW(A790)&lt;11,"000"&amp;ROW(A790)-1,IF(ROW(A790)&lt;101,"00"&amp;ROW(A790)-1,IF(ROW(A790)&lt;1001,"0"&amp;ROW(A790)-1,ROW(A790)-1))),"-OLD"),_xlfn.CONCAT(TEXT(B790,"MMM"),"-",IF(ROW(A790)&lt;473,"000"&amp;ROW(A790)-463,IF(ROW(A790)&lt;563,"00"&amp;ROW(A790)-463,IF(ROW(A790)&lt;1001,"0"&amp;ROW(A790)-463,ROW(A790)-463))))))</f>
        <v>ABR-0327</v>
      </c>
      <c r="B790" s="39">
        <v>45751</v>
      </c>
      <c r="C790" s="5">
        <v>2</v>
      </c>
      <c r="D790" s="5" t="s">
        <v>1180</v>
      </c>
      <c r="E790" t="s">
        <v>54</v>
      </c>
      <c r="F790" s="2">
        <v>0.33333333333333331</v>
      </c>
      <c r="G790" s="2">
        <v>0.66666666666666663</v>
      </c>
      <c r="H790" s="5">
        <v>1605</v>
      </c>
      <c r="I790" t="s">
        <v>1165</v>
      </c>
      <c r="J790" t="s">
        <v>895</v>
      </c>
      <c r="K790" s="5">
        <v>360</v>
      </c>
      <c r="L790" s="5" t="s">
        <v>57</v>
      </c>
      <c r="M790" s="4">
        <v>13.19</v>
      </c>
      <c r="N790" s="6">
        <f>PLANPRODUCCION[[#This Row],[PIEZAS PLANEADAS]]*PLANPRODUCCION[[#This Row],[PRECIO MAQUILAS]]</f>
        <v>4748.3999999999996</v>
      </c>
      <c r="O790" s="5">
        <v>2</v>
      </c>
      <c r="P790" s="2">
        <v>0.33333333333333331</v>
      </c>
      <c r="Q790" s="2">
        <v>0.66666666666666663</v>
      </c>
      <c r="R790" s="5">
        <v>427</v>
      </c>
      <c r="S790" s="7">
        <f>PLANPRODUCCION[[#This Row],[PRECIO MAQUILAS]]*PLANPRODUCCION[[#This Row],[PIEZAS REAL]]</f>
        <v>5632.13</v>
      </c>
      <c r="T79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360</v>
      </c>
      <c r="U79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992</v>
      </c>
      <c r="V79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992</v>
      </c>
      <c r="W79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4640.13</v>
      </c>
      <c r="X790" s="8" t="s">
        <v>602</v>
      </c>
      <c r="Y79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9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9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90" s="13">
        <f>IF(PLANPRODUCCION[[#This Row],[PIEZAS REAL]]&gt;0,PLANPRODUCCION[[#This Row],[PIEZAS REAL]]/PLANPRODUCCION[[#This Row],[PIEZAS ACTUALIZADO]],)</f>
        <v>1.1861111111111111</v>
      </c>
      <c r="AC790" t="b">
        <f>PLANPRODUCCION[[#This Row],[INGRESO PLANEADO]]&lt;PLANPRODUCCION[[#This Row],[COSTO PLANEADO]]</f>
        <v>0</v>
      </c>
      <c r="AD790" s="46" t="s">
        <v>1179</v>
      </c>
      <c r="AF790" t="b">
        <f>IF(COUNTIF(PLANPRODUCCION[[#This Row],[OBSERVACIONES]],"NO APLICA BONO*")&gt;0,TRUE,FALSE)</f>
        <v>0</v>
      </c>
    </row>
    <row r="791" spans="1:32" x14ac:dyDescent="0.25">
      <c r="A791" s="46" t="str">
        <f>UPPER(IF(PLANPRODUCCION[[#This Row],[FECHA]]&lt;=45701,_xlfn.CONCAT(TEXT(B791,"MMM"),"-",IF(ROW(A791)&lt;11,"000"&amp;ROW(A791)-1,IF(ROW(A791)&lt;101,"00"&amp;ROW(A791)-1,IF(ROW(A791)&lt;1001,"0"&amp;ROW(A791)-1,ROW(A791)-1))),"-OLD"),_xlfn.CONCAT(TEXT(B791,"MMM"),"-",IF(ROW(A791)&lt;473,"000"&amp;ROW(A791)-463,IF(ROW(A791)&lt;563,"00"&amp;ROW(A791)-463,IF(ROW(A791)&lt;1001,"0"&amp;ROW(A791)-463,ROW(A791)-463))))))</f>
        <v>ABR-0328</v>
      </c>
      <c r="B791" s="39">
        <v>45751</v>
      </c>
      <c r="C791" s="5">
        <v>3</v>
      </c>
      <c r="D791" s="5">
        <v>2</v>
      </c>
      <c r="E791" t="s">
        <v>54</v>
      </c>
      <c r="F791" s="2">
        <v>0.25</v>
      </c>
      <c r="G791" s="2">
        <v>0.66666666666666663</v>
      </c>
      <c r="H791" s="5">
        <v>1606</v>
      </c>
      <c r="I791" t="s">
        <v>444</v>
      </c>
      <c r="J791" t="s">
        <v>653</v>
      </c>
      <c r="K791" s="5">
        <v>2000</v>
      </c>
      <c r="L791" s="5" t="s">
        <v>57</v>
      </c>
      <c r="M791" s="4">
        <v>1.2</v>
      </c>
      <c r="N791" s="6">
        <f>PLANPRODUCCION[[#This Row],[PIEZAS PLANEADAS]]*PLANPRODUCCION[[#This Row],[PRECIO MAQUILAS]]</f>
        <v>2400</v>
      </c>
      <c r="O791" s="5">
        <v>3</v>
      </c>
      <c r="P791" s="2">
        <v>0.25</v>
      </c>
      <c r="Q791" s="2">
        <v>0.66666666666666663</v>
      </c>
      <c r="R791" s="5">
        <v>1250</v>
      </c>
      <c r="S791" s="7">
        <f>PLANPRODUCCION[[#This Row],[PRECIO MAQUILAS]]*PLANPRODUCCION[[#This Row],[PIEZAS REAL]]</f>
        <v>1500</v>
      </c>
      <c r="T79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2000</v>
      </c>
      <c r="U79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79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79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-360</v>
      </c>
      <c r="X791" s="8" t="s">
        <v>602</v>
      </c>
      <c r="Y79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9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9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91" s="13">
        <f>IF(PLANPRODUCCION[[#This Row],[PIEZAS REAL]]&gt;0,PLANPRODUCCION[[#This Row],[PIEZAS REAL]]/PLANPRODUCCION[[#This Row],[PIEZAS ACTUALIZADO]],)</f>
        <v>0.625</v>
      </c>
      <c r="AC791" t="b">
        <f>PLANPRODUCCION[[#This Row],[INGRESO PLANEADO]]&lt;PLANPRODUCCION[[#This Row],[COSTO PLANEADO]]</f>
        <v>0</v>
      </c>
      <c r="AD791" s="46" t="s">
        <v>1181</v>
      </c>
      <c r="AF791" t="b">
        <f>IF(COUNTIF(PLANPRODUCCION[[#This Row],[OBSERVACIONES]],"NO APLICA BONO*")&gt;0,TRUE,FALSE)</f>
        <v>0</v>
      </c>
    </row>
    <row r="792" spans="1:32" x14ac:dyDescent="0.25">
      <c r="A792" s="46" t="str">
        <f>UPPER(IF(PLANPRODUCCION[[#This Row],[FECHA]]&lt;=45701,_xlfn.CONCAT(TEXT(B792,"MMM"),"-",IF(ROW(A792)&lt;11,"000"&amp;ROW(A792)-1,IF(ROW(A792)&lt;101,"00"&amp;ROW(A792)-1,IF(ROW(A792)&lt;1001,"0"&amp;ROW(A792)-1,ROW(A792)-1))),"-OLD"),_xlfn.CONCAT(TEXT(B792,"MMM"),"-",IF(ROW(A792)&lt;473,"000"&amp;ROW(A792)-463,IF(ROW(A792)&lt;563,"00"&amp;ROW(A792)-463,IF(ROW(A792)&lt;1001,"0"&amp;ROW(A792)-463,ROW(A792)-463))))))</f>
        <v>ABR-0329</v>
      </c>
      <c r="B792" s="39">
        <v>45751</v>
      </c>
      <c r="C792" s="5">
        <v>3</v>
      </c>
      <c r="D792" s="5">
        <v>1</v>
      </c>
      <c r="E792" t="s">
        <v>54</v>
      </c>
      <c r="F792" s="2">
        <v>0.25</v>
      </c>
      <c r="G792" s="2">
        <v>0.66666666666666663</v>
      </c>
      <c r="H792" s="5">
        <v>1608</v>
      </c>
      <c r="I792" t="s">
        <v>1128</v>
      </c>
      <c r="J792" t="s">
        <v>68</v>
      </c>
      <c r="K792" s="5">
        <v>1140</v>
      </c>
      <c r="L792" s="5" t="s">
        <v>57</v>
      </c>
      <c r="M792" s="4">
        <v>1.75</v>
      </c>
      <c r="N792" s="6">
        <f>PLANPRODUCCION[[#This Row],[PIEZAS PLANEADAS]]*PLANPRODUCCION[[#This Row],[PRECIO MAQUILAS]]</f>
        <v>1995</v>
      </c>
      <c r="O792" s="5">
        <v>3</v>
      </c>
      <c r="P792" s="2">
        <v>0.25</v>
      </c>
      <c r="Q792" s="2">
        <v>0.66666666666666663</v>
      </c>
      <c r="R792" s="5">
        <v>805</v>
      </c>
      <c r="S792" s="7">
        <f>PLANPRODUCCION[[#This Row],[PRECIO MAQUILAS]]*PLANPRODUCCION[[#This Row],[PIEZAS REAL]]</f>
        <v>1408.75</v>
      </c>
      <c r="T79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1140</v>
      </c>
      <c r="U79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79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79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-451.25</v>
      </c>
      <c r="X792" s="8" t="s">
        <v>602</v>
      </c>
      <c r="Y79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9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9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92" s="13">
        <f>IF(PLANPRODUCCION[[#This Row],[PIEZAS REAL]]&gt;0,PLANPRODUCCION[[#This Row],[PIEZAS REAL]]/PLANPRODUCCION[[#This Row],[PIEZAS ACTUALIZADO]],)</f>
        <v>0.70614035087719296</v>
      </c>
      <c r="AC792" t="b">
        <f>PLANPRODUCCION[[#This Row],[INGRESO PLANEADO]]&lt;PLANPRODUCCION[[#This Row],[COSTO PLANEADO]]</f>
        <v>0</v>
      </c>
      <c r="AD792" s="46" t="s">
        <v>1182</v>
      </c>
      <c r="AF792" t="b">
        <f>IF(COUNTIF(PLANPRODUCCION[[#This Row],[OBSERVACIONES]],"NO APLICA BONO*")&gt;0,TRUE,FALSE)</f>
        <v>0</v>
      </c>
    </row>
    <row r="793" spans="1:32" x14ac:dyDescent="0.25">
      <c r="A793" s="46" t="str">
        <f>UPPER(IF(PLANPRODUCCION[[#This Row],[FECHA]]&lt;=45701,_xlfn.CONCAT(TEXT(B793,"MMM"),"-",IF(ROW(A793)&lt;11,"000"&amp;ROW(A793)-1,IF(ROW(A793)&lt;101,"00"&amp;ROW(A793)-1,IF(ROW(A793)&lt;1001,"0"&amp;ROW(A793)-1,ROW(A793)-1))),"-OLD"),_xlfn.CONCAT(TEXT(B793,"MMM"),"-",IF(ROW(A793)&lt;473,"000"&amp;ROW(A793)-463,IF(ROW(A793)&lt;563,"00"&amp;ROW(A793)-463,IF(ROW(A793)&lt;1001,"0"&amp;ROW(A793)-463,ROW(A793)-463))))))</f>
        <v>ABR-0330</v>
      </c>
      <c r="B793" s="39">
        <v>45751</v>
      </c>
      <c r="C793" s="5">
        <v>3</v>
      </c>
      <c r="D793" s="5">
        <v>5</v>
      </c>
      <c r="E793" t="s">
        <v>54</v>
      </c>
      <c r="F793" s="2">
        <v>0.25</v>
      </c>
      <c r="G793" s="2">
        <v>0.66666666666666663</v>
      </c>
      <c r="H793" s="5">
        <v>1608</v>
      </c>
      <c r="I793" t="s">
        <v>1128</v>
      </c>
      <c r="J793" t="s">
        <v>68</v>
      </c>
      <c r="K793" s="5">
        <v>1140</v>
      </c>
      <c r="L793" s="5" t="s">
        <v>57</v>
      </c>
      <c r="M793" s="4">
        <v>1.75</v>
      </c>
      <c r="N793" s="6">
        <f>PLANPRODUCCION[[#This Row],[PIEZAS PLANEADAS]]*PLANPRODUCCION[[#This Row],[PRECIO MAQUILAS]]</f>
        <v>1995</v>
      </c>
      <c r="O793" s="5">
        <v>3</v>
      </c>
      <c r="P793" s="2">
        <v>0.25</v>
      </c>
      <c r="Q793" s="2">
        <v>0.66666666666666663</v>
      </c>
      <c r="R793" s="5">
        <v>1320</v>
      </c>
      <c r="S793" s="7">
        <f>PLANPRODUCCION[[#This Row],[PRECIO MAQUILAS]]*PLANPRODUCCION[[#This Row],[PIEZAS REAL]]</f>
        <v>2310</v>
      </c>
      <c r="T79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1140</v>
      </c>
      <c r="U79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79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79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450</v>
      </c>
      <c r="X793" s="8" t="s">
        <v>602</v>
      </c>
      <c r="Y79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9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9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93" s="13">
        <f>IF(PLANPRODUCCION[[#This Row],[PIEZAS REAL]]&gt;0,PLANPRODUCCION[[#This Row],[PIEZAS REAL]]/PLANPRODUCCION[[#This Row],[PIEZAS ACTUALIZADO]],)</f>
        <v>1.1578947368421053</v>
      </c>
      <c r="AC793" t="b">
        <f>PLANPRODUCCION[[#This Row],[INGRESO PLANEADO]]&lt;PLANPRODUCCION[[#This Row],[COSTO PLANEADO]]</f>
        <v>0</v>
      </c>
      <c r="AD793" s="46" t="s">
        <v>1183</v>
      </c>
      <c r="AF793" t="b">
        <f>IF(COUNTIF(PLANPRODUCCION[[#This Row],[OBSERVACIONES]],"NO APLICA BONO*")&gt;0,TRUE,FALSE)</f>
        <v>0</v>
      </c>
    </row>
    <row r="794" spans="1:32" x14ac:dyDescent="0.25">
      <c r="A794" s="46" t="str">
        <f>UPPER(IF(PLANPRODUCCION[[#This Row],[FECHA]]&lt;=45701,_xlfn.CONCAT(TEXT(B794,"MMM"),"-",IF(ROW(A794)&lt;11,"000"&amp;ROW(A794)-1,IF(ROW(A794)&lt;101,"00"&amp;ROW(A794)-1,IF(ROW(A794)&lt;1001,"0"&amp;ROW(A794)-1,ROW(A794)-1))),"-OLD"),_xlfn.CONCAT(TEXT(B794,"MMM"),"-",IF(ROW(A794)&lt;473,"000"&amp;ROW(A794)-463,IF(ROW(A794)&lt;563,"00"&amp;ROW(A794)-463,IF(ROW(A794)&lt;1001,"0"&amp;ROW(A794)-463,ROW(A794)-463))))))</f>
        <v>ABR-0331</v>
      </c>
      <c r="B794" s="39">
        <v>45751</v>
      </c>
      <c r="C794" s="5">
        <v>2</v>
      </c>
      <c r="D794" s="5" t="s">
        <v>62</v>
      </c>
      <c r="E794" t="s">
        <v>54</v>
      </c>
      <c r="F794" s="2">
        <v>0.25</v>
      </c>
      <c r="G794" s="2">
        <v>0.66666666666666663</v>
      </c>
      <c r="H794" s="5">
        <v>1608</v>
      </c>
      <c r="I794" t="s">
        <v>1143</v>
      </c>
      <c r="J794" t="s">
        <v>1144</v>
      </c>
      <c r="K794" s="5">
        <v>4000</v>
      </c>
      <c r="L794" s="5" t="s">
        <v>65</v>
      </c>
      <c r="M794" s="4">
        <v>1.4</v>
      </c>
      <c r="N794" s="6">
        <f>PLANPRODUCCION[[#This Row],[PIEZAS PLANEADAS]]*PLANPRODUCCION[[#This Row],[PRECIO MAQUILAS]]</f>
        <v>5600</v>
      </c>
      <c r="O794" s="5">
        <v>2</v>
      </c>
      <c r="P794" s="2">
        <v>0.25</v>
      </c>
      <c r="Q794" s="2">
        <v>0.66666666666666663</v>
      </c>
      <c r="R794" s="5">
        <v>4573</v>
      </c>
      <c r="S794" s="7">
        <f>PLANPRODUCCION[[#This Row],[PRECIO MAQUILAS]]*PLANPRODUCCION[[#This Row],[PIEZAS REAL]]</f>
        <v>6402.2</v>
      </c>
      <c r="T79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4000</v>
      </c>
      <c r="U79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1240</v>
      </c>
      <c r="V79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1240</v>
      </c>
      <c r="W79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5162.2</v>
      </c>
      <c r="X794" s="8" t="s">
        <v>602</v>
      </c>
      <c r="Y794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9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79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94" s="13">
        <f>IF(PLANPRODUCCION[[#This Row],[PIEZAS REAL]]&gt;0,PLANPRODUCCION[[#This Row],[PIEZAS REAL]]/PLANPRODUCCION[[#This Row],[PIEZAS ACTUALIZADO]],)</f>
        <v>1.1432500000000001</v>
      </c>
      <c r="AC794" t="b">
        <f>PLANPRODUCCION[[#This Row],[INGRESO PLANEADO]]&lt;PLANPRODUCCION[[#This Row],[COSTO PLANEADO]]</f>
        <v>0</v>
      </c>
      <c r="AD794" s="46" t="s">
        <v>1184</v>
      </c>
      <c r="AF794" t="b">
        <f>IF(COUNTIF(PLANPRODUCCION[[#This Row],[OBSERVACIONES]],"NO APLICA BONO*")&gt;0,TRUE,FALSE)</f>
        <v>0</v>
      </c>
    </row>
    <row r="795" spans="1:32" x14ac:dyDescent="0.25">
      <c r="A795" s="46" t="str">
        <f>UPPER(IF(PLANPRODUCCION[[#This Row],[FECHA]]&lt;=45701,_xlfn.CONCAT(TEXT(B795,"MMM"),"-",IF(ROW(A795)&lt;11,"000"&amp;ROW(A795)-1,IF(ROW(A795)&lt;101,"00"&amp;ROW(A795)-1,IF(ROW(A795)&lt;1001,"0"&amp;ROW(A795)-1,ROW(A795)-1))),"-OLD"),_xlfn.CONCAT(TEXT(B795,"MMM"),"-",IF(ROW(A795)&lt;473,"000"&amp;ROW(A795)-463,IF(ROW(A795)&lt;563,"00"&amp;ROW(A795)-463,IF(ROW(A795)&lt;1001,"0"&amp;ROW(A795)-463,ROW(A795)-463))))))</f>
        <v>ABR-0332</v>
      </c>
      <c r="B795" s="39">
        <v>45751</v>
      </c>
      <c r="C795" s="5">
        <v>2</v>
      </c>
      <c r="D795" s="5" t="s">
        <v>62</v>
      </c>
      <c r="E795" t="s">
        <v>72</v>
      </c>
      <c r="F795" s="2">
        <v>0.66666666666666663</v>
      </c>
      <c r="G795" s="2">
        <v>0.875</v>
      </c>
      <c r="H795" s="5">
        <v>1608</v>
      </c>
      <c r="I795" t="s">
        <v>1143</v>
      </c>
      <c r="J795" t="s">
        <v>1144</v>
      </c>
      <c r="K795" s="5">
        <v>2000</v>
      </c>
      <c r="L795" s="5" t="s">
        <v>65</v>
      </c>
      <c r="M795" s="4">
        <v>1.4</v>
      </c>
      <c r="N795" s="6">
        <f>PLANPRODUCCION[[#This Row],[PIEZAS PLANEADAS]]*PLANPRODUCCION[[#This Row],[PRECIO MAQUILAS]]</f>
        <v>2800</v>
      </c>
      <c r="O795" s="5">
        <v>0</v>
      </c>
      <c r="P795" s="2">
        <v>0</v>
      </c>
      <c r="Q795" s="2">
        <v>0</v>
      </c>
      <c r="R795" s="5">
        <v>0</v>
      </c>
      <c r="S795" s="7">
        <f>PLANPRODUCCION[[#This Row],[PRECIO MAQUILAS]]*PLANPRODUCCION[[#This Row],[PIEZAS REAL]]</f>
        <v>0</v>
      </c>
      <c r="T79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79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79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79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795" s="8" t="s">
        <v>602</v>
      </c>
      <c r="Y795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79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795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795" s="13">
        <f>IF(PLANPRODUCCION[[#This Row],[PIEZAS REAL]]&gt;0,PLANPRODUCCION[[#This Row],[PIEZAS REAL]]/PLANPRODUCCION[[#This Row],[PIEZAS ACTUALIZADO]],)</f>
        <v>0</v>
      </c>
      <c r="AC795" t="b">
        <f>PLANPRODUCCION[[#This Row],[INGRESO PLANEADO]]&lt;PLANPRODUCCION[[#This Row],[COSTO PLANEADO]]</f>
        <v>0</v>
      </c>
      <c r="AD795" s="46" t="s">
        <v>1185</v>
      </c>
      <c r="AF795" t="b">
        <f>IF(COUNTIF(PLANPRODUCCION[[#This Row],[OBSERVACIONES]],"NO APLICA BONO*")&gt;0,TRUE,FALSE)</f>
        <v>0</v>
      </c>
    </row>
    <row r="796" spans="1:32" x14ac:dyDescent="0.25">
      <c r="A796" s="46" t="str">
        <f>UPPER(IF(PLANPRODUCCION[[#This Row],[FECHA]]&lt;=45701,_xlfn.CONCAT(TEXT(B796,"MMM"),"-",IF(ROW(A796)&lt;11,"000"&amp;ROW(A796)-1,IF(ROW(A796)&lt;101,"00"&amp;ROW(A796)-1,IF(ROW(A796)&lt;1001,"0"&amp;ROW(A796)-1,ROW(A796)-1))),"-OLD"),_xlfn.CONCAT(TEXT(B796,"MMM"),"-",IF(ROW(A796)&lt;473,"000"&amp;ROW(A796)-463,IF(ROW(A796)&lt;563,"00"&amp;ROW(A796)-463,IF(ROW(A796)&lt;1001,"0"&amp;ROW(A796)-463,ROW(A796)-463))))))</f>
        <v>ABR-0333</v>
      </c>
      <c r="B796" s="39">
        <v>45751</v>
      </c>
      <c r="C796" s="5">
        <v>2</v>
      </c>
      <c r="D796" s="5">
        <v>5</v>
      </c>
      <c r="E796" t="s">
        <v>72</v>
      </c>
      <c r="F796" s="2">
        <v>0.66666666666666663</v>
      </c>
      <c r="G796" s="2">
        <v>0.875</v>
      </c>
      <c r="H796" s="5">
        <v>1606</v>
      </c>
      <c r="I796" t="s">
        <v>444</v>
      </c>
      <c r="J796" t="s">
        <v>653</v>
      </c>
      <c r="K796" s="5">
        <v>667</v>
      </c>
      <c r="L796" s="5" t="s">
        <v>57</v>
      </c>
      <c r="M796" s="4">
        <v>1.2</v>
      </c>
      <c r="N796" s="6">
        <f>PLANPRODUCCION[[#This Row],[PIEZAS PLANEADAS]]*PLANPRODUCCION[[#This Row],[PRECIO MAQUILAS]]</f>
        <v>800.4</v>
      </c>
      <c r="O796" s="5">
        <v>2</v>
      </c>
      <c r="P796" s="2">
        <v>0.66666666666666663</v>
      </c>
      <c r="Q796" s="2">
        <v>0.875</v>
      </c>
      <c r="R796" s="5">
        <v>604</v>
      </c>
      <c r="S796" s="7">
        <f>PLANPRODUCCION[[#This Row],[PRECIO MAQUILAS]]*PLANPRODUCCION[[#This Row],[PIEZAS REAL]]</f>
        <v>724.8</v>
      </c>
      <c r="T79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667</v>
      </c>
      <c r="U79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620</v>
      </c>
      <c r="V79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620</v>
      </c>
      <c r="W79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104.79999999999995</v>
      </c>
      <c r="X796" s="8" t="s">
        <v>606</v>
      </c>
      <c r="Y79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9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9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96" s="13">
        <f>IF(PLANPRODUCCION[[#This Row],[PIEZAS REAL]]&gt;0,PLANPRODUCCION[[#This Row],[PIEZAS REAL]]/PLANPRODUCCION[[#This Row],[PIEZAS ACTUALIZADO]],)</f>
        <v>0.90554722638680663</v>
      </c>
      <c r="AC796" t="b">
        <f>PLANPRODUCCION[[#This Row],[INGRESO PLANEADO]]&lt;PLANPRODUCCION[[#This Row],[COSTO PLANEADO]]</f>
        <v>0</v>
      </c>
      <c r="AD796" s="46" t="s">
        <v>1186</v>
      </c>
      <c r="AF796" t="b">
        <f>IF(COUNTIF(PLANPRODUCCION[[#This Row],[OBSERVACIONES]],"NO APLICA BONO*")&gt;0,TRUE,FALSE)</f>
        <v>0</v>
      </c>
    </row>
    <row r="797" spans="1:32" x14ac:dyDescent="0.25">
      <c r="A797" s="46" t="str">
        <f>UPPER(IF(PLANPRODUCCION[[#This Row],[FECHA]]&lt;=45701,_xlfn.CONCAT(TEXT(B797,"MMM"),"-",IF(ROW(A797)&lt;11,"000"&amp;ROW(A797)-1,IF(ROW(A797)&lt;101,"00"&amp;ROW(A797)-1,IF(ROW(A797)&lt;1001,"0"&amp;ROW(A797)-1,ROW(A797)-1))),"-OLD"),_xlfn.CONCAT(TEXT(B797,"MMM"),"-",IF(ROW(A797)&lt;473,"000"&amp;ROW(A797)-463,IF(ROW(A797)&lt;563,"00"&amp;ROW(A797)-463,IF(ROW(A797)&lt;1001,"0"&amp;ROW(A797)-463,ROW(A797)-463))))))</f>
        <v>ABR-0334</v>
      </c>
      <c r="B797" s="39">
        <v>45754</v>
      </c>
      <c r="C797" s="5">
        <v>4</v>
      </c>
      <c r="D797" s="5" t="s">
        <v>1180</v>
      </c>
      <c r="E797" t="s">
        <v>54</v>
      </c>
      <c r="F797" s="2">
        <v>0.33333333333333331</v>
      </c>
      <c r="G797" s="2">
        <v>0.66666666666666663</v>
      </c>
      <c r="H797" s="5">
        <v>1605</v>
      </c>
      <c r="I797" t="s">
        <v>1165</v>
      </c>
      <c r="J797" t="s">
        <v>895</v>
      </c>
      <c r="K797" s="5">
        <v>720</v>
      </c>
      <c r="L797" s="5" t="s">
        <v>57</v>
      </c>
      <c r="M797" s="4">
        <v>13.19</v>
      </c>
      <c r="N797" s="6">
        <f>PLANPRODUCCION[[#This Row],[PIEZAS PLANEADAS]]*PLANPRODUCCION[[#This Row],[PRECIO MAQUILAS]]</f>
        <v>9496.7999999999993</v>
      </c>
      <c r="O797" s="5">
        <v>4</v>
      </c>
      <c r="P797" s="2">
        <v>0.41666666666666669</v>
      </c>
      <c r="Q797" s="2">
        <v>0.66666666666666663</v>
      </c>
      <c r="R797" s="5">
        <v>787</v>
      </c>
      <c r="S797" s="7">
        <f>PLANPRODUCCION[[#This Row],[PRECIO MAQUILAS]]*PLANPRODUCCION[[#This Row],[PIEZAS REAL]]</f>
        <v>10380.529999999999</v>
      </c>
      <c r="T79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540</v>
      </c>
      <c r="U79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1984</v>
      </c>
      <c r="V79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79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8892.5299999999988</v>
      </c>
      <c r="X797" s="8" t="s">
        <v>602</v>
      </c>
      <c r="Y79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79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9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97" s="13">
        <f>IF(PLANPRODUCCION[[#This Row],[PIEZAS REAL]]&gt;0,PLANPRODUCCION[[#This Row],[PIEZAS REAL]]/PLANPRODUCCION[[#This Row],[PIEZAS ACTUALIZADO]],)</f>
        <v>1.4574074074074075</v>
      </c>
      <c r="AC797" t="b">
        <f>PLANPRODUCCION[[#This Row],[INGRESO PLANEADO]]&lt;PLANPRODUCCION[[#This Row],[COSTO PLANEADO]]</f>
        <v>0</v>
      </c>
      <c r="AD797" s="46" t="s">
        <v>1187</v>
      </c>
      <c r="AF797" t="b">
        <f>IF(COUNTIF(PLANPRODUCCION[[#This Row],[OBSERVACIONES]],"NO APLICA BONO*")&gt;0,TRUE,FALSE)</f>
        <v>0</v>
      </c>
    </row>
    <row r="798" spans="1:32" x14ac:dyDescent="0.25">
      <c r="A798" s="46" t="str">
        <f>UPPER(IF(PLANPRODUCCION[[#This Row],[FECHA]]&lt;=45701,_xlfn.CONCAT(TEXT(B798,"MMM"),"-",IF(ROW(A798)&lt;11,"000"&amp;ROW(A798)-1,IF(ROW(A798)&lt;101,"00"&amp;ROW(A798)-1,IF(ROW(A798)&lt;1001,"0"&amp;ROW(A798)-1,ROW(A798)-1))),"-OLD"),_xlfn.CONCAT(TEXT(B798,"MMM"),"-",IF(ROW(A798)&lt;473,"000"&amp;ROW(A798)-463,IF(ROW(A798)&lt;563,"00"&amp;ROW(A798)-463,IF(ROW(A798)&lt;1001,"0"&amp;ROW(A798)-463,ROW(A798)-463))))))</f>
        <v>ABR-0335</v>
      </c>
      <c r="B798" s="39">
        <v>45754</v>
      </c>
      <c r="C798" s="5">
        <v>2</v>
      </c>
      <c r="D798" s="5" t="s">
        <v>62</v>
      </c>
      <c r="E798" t="s">
        <v>54</v>
      </c>
      <c r="F798" s="2">
        <v>0.25</v>
      </c>
      <c r="G798" s="2">
        <v>0.5</v>
      </c>
      <c r="H798" s="5">
        <v>1608</v>
      </c>
      <c r="I798" t="s">
        <v>1143</v>
      </c>
      <c r="J798" t="s">
        <v>1144</v>
      </c>
      <c r="K798" s="5">
        <v>2000</v>
      </c>
      <c r="L798" s="5" t="s">
        <v>65</v>
      </c>
      <c r="M798" s="4">
        <v>1.4</v>
      </c>
      <c r="N798" s="6">
        <f>PLANPRODUCCION[[#This Row],[PIEZAS PLANEADAS]]*PLANPRODUCCION[[#This Row],[PRECIO MAQUILAS]]</f>
        <v>2800</v>
      </c>
      <c r="O798" s="5">
        <v>1</v>
      </c>
      <c r="P798" s="2">
        <v>0.25</v>
      </c>
      <c r="Q798" s="2">
        <v>0.41666666666666669</v>
      </c>
      <c r="R798" s="5">
        <v>1345</v>
      </c>
      <c r="S798" s="7">
        <f>PLANPRODUCCION[[#This Row],[PRECIO MAQUILAS]]*PLANPRODUCCION[[#This Row],[PIEZAS REAL]]</f>
        <v>1882.9999999999998</v>
      </c>
      <c r="T79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667</v>
      </c>
      <c r="U79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744</v>
      </c>
      <c r="V79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</v>
      </c>
      <c r="W79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1634.9999999999998</v>
      </c>
      <c r="X798" s="8" t="s">
        <v>602</v>
      </c>
      <c r="Y79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9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9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98" s="13">
        <f>IF(PLANPRODUCCION[[#This Row],[PIEZAS REAL]]&gt;0,PLANPRODUCCION[[#This Row],[PIEZAS REAL]]/PLANPRODUCCION[[#This Row],[PIEZAS ACTUALIZADO]],)</f>
        <v>2.0164917541229386</v>
      </c>
      <c r="AC798" t="b">
        <f>PLANPRODUCCION[[#This Row],[INGRESO PLANEADO]]&lt;PLANPRODUCCION[[#This Row],[COSTO PLANEADO]]</f>
        <v>0</v>
      </c>
      <c r="AD798" s="46" t="s">
        <v>1188</v>
      </c>
      <c r="AE798" t="s">
        <v>1198</v>
      </c>
      <c r="AF798" t="b">
        <f>IF(COUNTIF(PLANPRODUCCION[[#This Row],[OBSERVACIONES]],"NO APLICA BONO*")&gt;0,TRUE,FALSE)</f>
        <v>1</v>
      </c>
    </row>
    <row r="799" spans="1:32" x14ac:dyDescent="0.25">
      <c r="A799" s="46" t="str">
        <f>UPPER(IF(PLANPRODUCCION[[#This Row],[FECHA]]&lt;=45701,_xlfn.CONCAT(TEXT(B799,"MMM"),"-",IF(ROW(A799)&lt;11,"000"&amp;ROW(A799)-1,IF(ROW(A799)&lt;101,"00"&amp;ROW(A799)-1,IF(ROW(A799)&lt;1001,"0"&amp;ROW(A799)-1,ROW(A799)-1))),"-OLD"),_xlfn.CONCAT(TEXT(B799,"MMM"),"-",IF(ROW(A799)&lt;473,"000"&amp;ROW(A799)-463,IF(ROW(A799)&lt;563,"00"&amp;ROW(A799)-463,IF(ROW(A799)&lt;1001,"0"&amp;ROW(A799)-463,ROW(A799)-463))))))</f>
        <v>ABR-0336</v>
      </c>
      <c r="B799" s="39">
        <v>45754</v>
      </c>
      <c r="C799" s="5">
        <v>1</v>
      </c>
      <c r="D799" s="5" t="s">
        <v>62</v>
      </c>
      <c r="E799" t="s">
        <v>54</v>
      </c>
      <c r="F799" s="2">
        <v>0.41666666666666669</v>
      </c>
      <c r="G799" s="2">
        <v>0.48958333333333331</v>
      </c>
      <c r="H799" s="5">
        <v>1608</v>
      </c>
      <c r="I799" t="s">
        <v>1142</v>
      </c>
      <c r="J799" t="s">
        <v>813</v>
      </c>
      <c r="K799" s="5">
        <v>292</v>
      </c>
      <c r="L799" s="5" t="s">
        <v>65</v>
      </c>
      <c r="M799" s="4">
        <v>1.4</v>
      </c>
      <c r="N799" s="6">
        <f>PLANPRODUCCION[[#This Row],[PIEZAS PLANEADAS]]*PLANPRODUCCION[[#This Row],[PRECIO MAQUILAS]]</f>
        <v>408.79999999999995</v>
      </c>
      <c r="O799" s="5">
        <v>1</v>
      </c>
      <c r="P799" s="2">
        <v>0.41666666666666669</v>
      </c>
      <c r="Q799" s="2">
        <v>0.48958333333333331</v>
      </c>
      <c r="R799" s="5">
        <v>190</v>
      </c>
      <c r="S799" s="7">
        <f>PLANPRODUCCION[[#This Row],[PRECIO MAQUILAS]]*PLANPRODUCCION[[#This Row],[PIEZAS REAL]]</f>
        <v>266</v>
      </c>
      <c r="T79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292</v>
      </c>
      <c r="U79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108.5</v>
      </c>
      <c r="V79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108.5</v>
      </c>
      <c r="W79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157.5</v>
      </c>
      <c r="X799" s="8" t="s">
        <v>606</v>
      </c>
      <c r="Y79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79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79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799" s="13">
        <f>IF(PLANPRODUCCION[[#This Row],[PIEZAS REAL]]&gt;0,PLANPRODUCCION[[#This Row],[PIEZAS REAL]]/PLANPRODUCCION[[#This Row],[PIEZAS ACTUALIZADO]],)</f>
        <v>0.65068493150684936</v>
      </c>
      <c r="AC799" t="b">
        <f>PLANPRODUCCION[[#This Row],[INGRESO PLANEADO]]&lt;PLANPRODUCCION[[#This Row],[COSTO PLANEADO]]</f>
        <v>0</v>
      </c>
      <c r="AD799" s="46" t="s">
        <v>1189</v>
      </c>
      <c r="AF799" t="b">
        <f>IF(COUNTIF(PLANPRODUCCION[[#This Row],[OBSERVACIONES]],"NO APLICA BONO*")&gt;0,TRUE,FALSE)</f>
        <v>0</v>
      </c>
    </row>
    <row r="800" spans="1:32" x14ac:dyDescent="0.25">
      <c r="A800" s="46" t="str">
        <f>UPPER(IF(PLANPRODUCCION[[#This Row],[FECHA]]&lt;=45701,_xlfn.CONCAT(TEXT(B800,"MMM"),"-",IF(ROW(A800)&lt;11,"000"&amp;ROW(A800)-1,IF(ROW(A800)&lt;101,"00"&amp;ROW(A800)-1,IF(ROW(A800)&lt;1001,"0"&amp;ROW(A800)-1,ROW(A800)-1))),"-OLD"),_xlfn.CONCAT(TEXT(B800,"MMM"),"-",IF(ROW(A800)&lt;473,"000"&amp;ROW(A800)-463,IF(ROW(A800)&lt;563,"00"&amp;ROW(A800)-463,IF(ROW(A800)&lt;1001,"0"&amp;ROW(A800)-463,ROW(A800)-463))))))</f>
        <v>ABR-0337</v>
      </c>
      <c r="B800" s="39">
        <v>45754</v>
      </c>
      <c r="C800" s="5">
        <v>1</v>
      </c>
      <c r="D800" s="5" t="s">
        <v>62</v>
      </c>
      <c r="E800" t="s">
        <v>54</v>
      </c>
      <c r="F800" s="2">
        <v>0.48958333333333331</v>
      </c>
      <c r="G800" s="2">
        <v>0.60416666666666663</v>
      </c>
      <c r="H800" s="5">
        <v>1608</v>
      </c>
      <c r="I800" t="s">
        <v>1129</v>
      </c>
      <c r="J800" t="s">
        <v>64</v>
      </c>
      <c r="K800" s="5">
        <v>459</v>
      </c>
      <c r="L800" s="5" t="s">
        <v>65</v>
      </c>
      <c r="M800" s="4">
        <v>1.4</v>
      </c>
      <c r="N800" s="6">
        <f>PLANPRODUCCION[[#This Row],[PIEZAS PLANEADAS]]*PLANPRODUCCION[[#This Row],[PRECIO MAQUILAS]]</f>
        <v>642.59999999999991</v>
      </c>
      <c r="O800" s="5">
        <v>1</v>
      </c>
      <c r="P800" s="2">
        <v>0.48958333333333331</v>
      </c>
      <c r="Q800" s="2">
        <v>0.60416666666666663</v>
      </c>
      <c r="R800" s="5">
        <v>220</v>
      </c>
      <c r="S800" s="7">
        <f>PLANPRODUCCION[[#This Row],[PRECIO MAQUILAS]]*PLANPRODUCCION[[#This Row],[PIEZAS REAL]]</f>
        <v>308</v>
      </c>
      <c r="T80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459</v>
      </c>
      <c r="U80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170.5</v>
      </c>
      <c r="V80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170.5</v>
      </c>
      <c r="W80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137.5</v>
      </c>
      <c r="X800" s="8" t="s">
        <v>606</v>
      </c>
      <c r="Y80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0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0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00" s="13">
        <f>IF(PLANPRODUCCION[[#This Row],[PIEZAS REAL]]&gt;0,PLANPRODUCCION[[#This Row],[PIEZAS REAL]]/PLANPRODUCCION[[#This Row],[PIEZAS ACTUALIZADO]],)</f>
        <v>0.47930283224400871</v>
      </c>
      <c r="AC800" t="b">
        <f>PLANPRODUCCION[[#This Row],[INGRESO PLANEADO]]&lt;PLANPRODUCCION[[#This Row],[COSTO PLANEADO]]</f>
        <v>0</v>
      </c>
      <c r="AD800" s="46" t="s">
        <v>1190</v>
      </c>
      <c r="AF800" t="b">
        <f>IF(COUNTIF(PLANPRODUCCION[[#This Row],[OBSERVACIONES]],"NO APLICA BONO*")&gt;0,TRUE,FALSE)</f>
        <v>0</v>
      </c>
    </row>
    <row r="801" spans="1:32" x14ac:dyDescent="0.25">
      <c r="A801" s="46" t="str">
        <f>UPPER(IF(PLANPRODUCCION[[#This Row],[FECHA]]&lt;=45701,_xlfn.CONCAT(TEXT(B801,"MMM"),"-",IF(ROW(A801)&lt;11,"000"&amp;ROW(A801)-1,IF(ROW(A801)&lt;101,"00"&amp;ROW(A801)-1,IF(ROW(A801)&lt;1001,"0"&amp;ROW(A801)-1,ROW(A801)-1))),"-OLD"),_xlfn.CONCAT(TEXT(B801,"MMM"),"-",IF(ROW(A801)&lt;473,"000"&amp;ROW(A801)-463,IF(ROW(A801)&lt;563,"00"&amp;ROW(A801)-463,IF(ROW(A801)&lt;1001,"0"&amp;ROW(A801)-463,ROW(A801)-463))))))</f>
        <v>ABR-0338</v>
      </c>
      <c r="B801" s="39">
        <v>45754</v>
      </c>
      <c r="C801" s="5">
        <v>2</v>
      </c>
      <c r="D801" s="5">
        <v>8</v>
      </c>
      <c r="E801" t="s">
        <v>54</v>
      </c>
      <c r="F801" s="2">
        <v>0.5</v>
      </c>
      <c r="G801" s="2">
        <v>0.66666666666666663</v>
      </c>
      <c r="H801" s="5">
        <v>1608</v>
      </c>
      <c r="I801" t="s">
        <v>1128</v>
      </c>
      <c r="J801" t="s">
        <v>68</v>
      </c>
      <c r="K801" s="5">
        <v>300</v>
      </c>
      <c r="L801" s="5" t="s">
        <v>57</v>
      </c>
      <c r="M801" s="4">
        <v>1.75</v>
      </c>
      <c r="N801" s="6">
        <f>PLANPRODUCCION[[#This Row],[PIEZAS PLANEADAS]]*PLANPRODUCCION[[#This Row],[PRECIO MAQUILAS]]</f>
        <v>525</v>
      </c>
      <c r="O801" s="5">
        <v>1</v>
      </c>
      <c r="P801" s="2">
        <v>0.60416666666666663</v>
      </c>
      <c r="Q801" s="2">
        <v>0.66666666666666663</v>
      </c>
      <c r="R801" s="5">
        <v>65</v>
      </c>
      <c r="S801" s="7">
        <f>PLANPRODUCCION[[#This Row],[PRECIO MAQUILAS]]*PLANPRODUCCION[[#This Row],[PIEZAS REAL]]</f>
        <v>113.75</v>
      </c>
      <c r="T80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57</v>
      </c>
      <c r="U80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496</v>
      </c>
      <c r="V80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93</v>
      </c>
      <c r="W80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20.75</v>
      </c>
      <c r="X801" s="8" t="s">
        <v>602</v>
      </c>
      <c r="Y801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0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0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01" s="13">
        <f>IF(PLANPRODUCCION[[#This Row],[PIEZAS REAL]]&gt;0,PLANPRODUCCION[[#This Row],[PIEZAS REAL]]/PLANPRODUCCION[[#This Row],[PIEZAS ACTUALIZADO]],)</f>
        <v>1.1403508771929824</v>
      </c>
      <c r="AC801" t="b">
        <f>PLANPRODUCCION[[#This Row],[INGRESO PLANEADO]]&lt;PLANPRODUCCION[[#This Row],[COSTO PLANEADO]]</f>
        <v>0</v>
      </c>
      <c r="AD801" s="46" t="s">
        <v>1191</v>
      </c>
      <c r="AE801" t="s">
        <v>1198</v>
      </c>
      <c r="AF801" t="b">
        <f>IF(COUNTIF(PLANPRODUCCION[[#This Row],[OBSERVACIONES]],"NO APLICA BONO*")&gt;0,TRUE,FALSE)</f>
        <v>1</v>
      </c>
    </row>
    <row r="802" spans="1:32" x14ac:dyDescent="0.25">
      <c r="A802" s="46" t="str">
        <f>UPPER(IF(PLANPRODUCCION[[#This Row],[FECHA]]&lt;=45701,_xlfn.CONCAT(TEXT(B802,"MMM"),"-",IF(ROW(A802)&lt;11,"000"&amp;ROW(A802)-1,IF(ROW(A802)&lt;101,"00"&amp;ROW(A802)-1,IF(ROW(A802)&lt;1001,"0"&amp;ROW(A802)-1,ROW(A802)-1))),"-OLD"),_xlfn.CONCAT(TEXT(B802,"MMM"),"-",IF(ROW(A802)&lt;473,"000"&amp;ROW(A802)-463,IF(ROW(A802)&lt;563,"00"&amp;ROW(A802)-463,IF(ROW(A802)&lt;1001,"0"&amp;ROW(A802)-463,ROW(A802)-463))))))</f>
        <v>ABR-0339</v>
      </c>
      <c r="B802" s="39">
        <v>45754</v>
      </c>
      <c r="C802" s="5">
        <v>3</v>
      </c>
      <c r="D802" s="5">
        <v>1</v>
      </c>
      <c r="E802" t="s">
        <v>54</v>
      </c>
      <c r="F802" s="2">
        <v>0.25</v>
      </c>
      <c r="G802" s="2">
        <v>0.33333333333333331</v>
      </c>
      <c r="H802" s="5">
        <v>1606</v>
      </c>
      <c r="I802" t="s">
        <v>444</v>
      </c>
      <c r="J802" t="s">
        <v>445</v>
      </c>
      <c r="K802" s="5">
        <v>310</v>
      </c>
      <c r="L802" s="5" t="s">
        <v>57</v>
      </c>
      <c r="M802" s="4">
        <v>1.2</v>
      </c>
      <c r="N802" s="6">
        <f>PLANPRODUCCION[[#This Row],[PIEZAS PLANEADAS]]*PLANPRODUCCION[[#This Row],[PRECIO MAQUILAS]]</f>
        <v>372</v>
      </c>
      <c r="O802" s="5">
        <v>3</v>
      </c>
      <c r="P802" s="2">
        <v>0.25</v>
      </c>
      <c r="Q802" s="2">
        <v>0.34027777777777779</v>
      </c>
      <c r="R802" s="5">
        <v>296</v>
      </c>
      <c r="S802" s="7">
        <f>PLANPRODUCCION[[#This Row],[PRECIO MAQUILAS]]*PLANPRODUCCION[[#This Row],[PIEZAS REAL]]</f>
        <v>355.2</v>
      </c>
      <c r="T80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336</v>
      </c>
      <c r="U80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372</v>
      </c>
      <c r="V80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403</v>
      </c>
      <c r="W80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-47.800000000000011</v>
      </c>
      <c r="X802" s="8" t="s">
        <v>602</v>
      </c>
      <c r="Y80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80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0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02" s="13">
        <f>IF(PLANPRODUCCION[[#This Row],[PIEZAS REAL]]&gt;0,PLANPRODUCCION[[#This Row],[PIEZAS REAL]]/PLANPRODUCCION[[#This Row],[PIEZAS ACTUALIZADO]],)</f>
        <v>0.88095238095238093</v>
      </c>
      <c r="AC802" t="b">
        <f>PLANPRODUCCION[[#This Row],[INGRESO PLANEADO]]&lt;PLANPRODUCCION[[#This Row],[COSTO PLANEADO]]</f>
        <v>0</v>
      </c>
      <c r="AD802" s="46" t="s">
        <v>1192</v>
      </c>
      <c r="AF802" t="b">
        <f>IF(COUNTIF(PLANPRODUCCION[[#This Row],[OBSERVACIONES]],"NO APLICA BONO*")&gt;0,TRUE,FALSE)</f>
        <v>0</v>
      </c>
    </row>
    <row r="803" spans="1:32" x14ac:dyDescent="0.25">
      <c r="A803" s="46" t="str">
        <f>UPPER(IF(PLANPRODUCCION[[#This Row],[FECHA]]&lt;=45701,_xlfn.CONCAT(TEXT(B803,"MMM"),"-",IF(ROW(A803)&lt;11,"000"&amp;ROW(A803)-1,IF(ROW(A803)&lt;101,"00"&amp;ROW(A803)-1,IF(ROW(A803)&lt;1001,"0"&amp;ROW(A803)-1,ROW(A803)-1))),"-OLD"),_xlfn.CONCAT(TEXT(B803,"MMM"),"-",IF(ROW(A803)&lt;473,"000"&amp;ROW(A803)-463,IF(ROW(A803)&lt;563,"00"&amp;ROW(A803)-463,IF(ROW(A803)&lt;1001,"0"&amp;ROW(A803)-463,ROW(A803)-463))))))</f>
        <v>ABR-0340</v>
      </c>
      <c r="B803" s="39">
        <v>45754</v>
      </c>
      <c r="C803" s="5">
        <v>3</v>
      </c>
      <c r="D803" s="5">
        <v>1</v>
      </c>
      <c r="E803" t="s">
        <v>54</v>
      </c>
      <c r="F803" s="2">
        <v>0.33333333333333331</v>
      </c>
      <c r="G803" s="2">
        <v>0.66666666666666663</v>
      </c>
      <c r="H803" s="5">
        <v>1608</v>
      </c>
      <c r="I803" t="s">
        <v>1143</v>
      </c>
      <c r="J803" t="s">
        <v>445</v>
      </c>
      <c r="K803" s="5">
        <v>1700</v>
      </c>
      <c r="L803" s="5" t="s">
        <v>57</v>
      </c>
      <c r="M803" s="4">
        <v>1.2</v>
      </c>
      <c r="N803" s="6">
        <f>PLANPRODUCCION[[#This Row],[PIEZAS PLANEADAS]]*PLANPRODUCCION[[#This Row],[PRECIO MAQUILAS]]</f>
        <v>2040</v>
      </c>
      <c r="O803" s="5">
        <v>3</v>
      </c>
      <c r="P803" s="2">
        <v>0.34027777777777779</v>
      </c>
      <c r="Q803" s="2">
        <v>0.66666666666666663</v>
      </c>
      <c r="R803" s="5">
        <v>1950</v>
      </c>
      <c r="S803" s="7">
        <f>PLANPRODUCCION[[#This Row],[PRECIO MAQUILAS]]*PLANPRODUCCION[[#This Row],[PIEZAS REAL]]</f>
        <v>2340</v>
      </c>
      <c r="T80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1665</v>
      </c>
      <c r="U80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1488</v>
      </c>
      <c r="V80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1457</v>
      </c>
      <c r="W80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883</v>
      </c>
      <c r="X803" s="8" t="s">
        <v>602</v>
      </c>
      <c r="Y80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80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0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03" s="13">
        <f>IF(PLANPRODUCCION[[#This Row],[PIEZAS REAL]]&gt;0,PLANPRODUCCION[[#This Row],[PIEZAS REAL]]/PLANPRODUCCION[[#This Row],[PIEZAS ACTUALIZADO]],)</f>
        <v>1.1711711711711712</v>
      </c>
      <c r="AC803" t="b">
        <f>PLANPRODUCCION[[#This Row],[INGRESO PLANEADO]]&lt;PLANPRODUCCION[[#This Row],[COSTO PLANEADO]]</f>
        <v>0</v>
      </c>
      <c r="AD803" s="46" t="s">
        <v>1193</v>
      </c>
      <c r="AE803" t="s">
        <v>1198</v>
      </c>
      <c r="AF803" t="b">
        <f>IF(COUNTIF(PLANPRODUCCION[[#This Row],[OBSERVACIONES]],"NO APLICA BONO*")&gt;0,TRUE,FALSE)</f>
        <v>1</v>
      </c>
    </row>
    <row r="804" spans="1:32" x14ac:dyDescent="0.25">
      <c r="A804" s="46" t="str">
        <f>UPPER(IF(PLANPRODUCCION[[#This Row],[FECHA]]&lt;=45701,_xlfn.CONCAT(TEXT(B804,"MMM"),"-",IF(ROW(A804)&lt;11,"000"&amp;ROW(A804)-1,IF(ROW(A804)&lt;101,"00"&amp;ROW(A804)-1,IF(ROW(A804)&lt;1001,"0"&amp;ROW(A804)-1,ROW(A804)-1))),"-OLD"),_xlfn.CONCAT(TEXT(B804,"MMM"),"-",IF(ROW(A804)&lt;473,"000"&amp;ROW(A804)-463,IF(ROW(A804)&lt;563,"00"&amp;ROW(A804)-463,IF(ROW(A804)&lt;1001,"0"&amp;ROW(A804)-463,ROW(A804)-463))))))</f>
        <v>ABR-0341</v>
      </c>
      <c r="B804" s="39">
        <v>45754</v>
      </c>
      <c r="C804" s="5">
        <v>4</v>
      </c>
      <c r="D804" s="5">
        <v>3</v>
      </c>
      <c r="E804" t="s">
        <v>54</v>
      </c>
      <c r="F804" s="2">
        <v>0.25</v>
      </c>
      <c r="G804" s="2">
        <v>0.66666666666666663</v>
      </c>
      <c r="H804" s="5">
        <v>1608</v>
      </c>
      <c r="I804" t="s">
        <v>1143</v>
      </c>
      <c r="J804" t="s">
        <v>445</v>
      </c>
      <c r="K804" s="5">
        <v>2800</v>
      </c>
      <c r="L804" s="5" t="s">
        <v>57</v>
      </c>
      <c r="M804" s="4">
        <v>1.2</v>
      </c>
      <c r="N804" s="6">
        <f>PLANPRODUCCION[[#This Row],[PIEZAS PLANEADAS]]*PLANPRODUCCION[[#This Row],[PRECIO MAQUILAS]]</f>
        <v>3360</v>
      </c>
      <c r="O804" s="5">
        <v>3</v>
      </c>
      <c r="P804" s="2">
        <v>0.25</v>
      </c>
      <c r="Q804" s="2">
        <v>0.66666666666666663</v>
      </c>
      <c r="R804" s="5">
        <v>2126</v>
      </c>
      <c r="S804" s="7">
        <f>PLANPRODUCCION[[#This Row],[PRECIO MAQUILAS]]*PLANPRODUCCION[[#This Row],[PIEZAS REAL]]</f>
        <v>2551.1999999999998</v>
      </c>
      <c r="T80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2100</v>
      </c>
      <c r="U80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2480</v>
      </c>
      <c r="V80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80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691.19999999999982</v>
      </c>
      <c r="X804" s="8" t="s">
        <v>602</v>
      </c>
      <c r="Y80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0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804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04" s="13">
        <f>IF(PLANPRODUCCION[[#This Row],[PIEZAS REAL]]&gt;0,PLANPRODUCCION[[#This Row],[PIEZAS REAL]]/PLANPRODUCCION[[#This Row],[PIEZAS ACTUALIZADO]],)</f>
        <v>1.0123809523809524</v>
      </c>
      <c r="AC804" t="b">
        <f>PLANPRODUCCION[[#This Row],[INGRESO PLANEADO]]&lt;PLANPRODUCCION[[#This Row],[COSTO PLANEADO]]</f>
        <v>0</v>
      </c>
      <c r="AD804" s="46" t="s">
        <v>1194</v>
      </c>
      <c r="AF804" t="b">
        <f>IF(COUNTIF(PLANPRODUCCION[[#This Row],[OBSERVACIONES]],"NO APLICA BONO*")&gt;0,TRUE,FALSE)</f>
        <v>0</v>
      </c>
    </row>
    <row r="805" spans="1:32" x14ac:dyDescent="0.25">
      <c r="A805" s="46" t="str">
        <f>UPPER(IF(PLANPRODUCCION[[#This Row],[FECHA]]&lt;=45701,_xlfn.CONCAT(TEXT(B805,"MMM"),"-",IF(ROW(A805)&lt;11,"000"&amp;ROW(A805)-1,IF(ROW(A805)&lt;101,"00"&amp;ROW(A805)-1,IF(ROW(A805)&lt;1001,"0"&amp;ROW(A805)-1,ROW(A805)-1))),"-OLD"),_xlfn.CONCAT(TEXT(B805,"MMM"),"-",IF(ROW(A805)&lt;473,"000"&amp;ROW(A805)-463,IF(ROW(A805)&lt;563,"00"&amp;ROW(A805)-463,IF(ROW(A805)&lt;1001,"0"&amp;ROW(A805)-463,ROW(A805)-463))))))</f>
        <v>ABR-0342</v>
      </c>
      <c r="B805" s="39">
        <v>45754</v>
      </c>
      <c r="C805" s="5">
        <v>3</v>
      </c>
      <c r="D805" s="5">
        <v>5</v>
      </c>
      <c r="E805" t="s">
        <v>54</v>
      </c>
      <c r="F805" s="2">
        <v>0.25</v>
      </c>
      <c r="G805" s="2">
        <v>0.66666666666666663</v>
      </c>
      <c r="H805" s="5">
        <v>1608</v>
      </c>
      <c r="I805" t="s">
        <v>1143</v>
      </c>
      <c r="J805" t="s">
        <v>445</v>
      </c>
      <c r="K805" s="5">
        <v>2100</v>
      </c>
      <c r="L805" s="5" t="s">
        <v>57</v>
      </c>
      <c r="M805" s="4">
        <v>1.2</v>
      </c>
      <c r="N805" s="6">
        <f>PLANPRODUCCION[[#This Row],[PIEZAS PLANEADAS]]*PLANPRODUCCION[[#This Row],[PRECIO MAQUILAS]]</f>
        <v>2520</v>
      </c>
      <c r="O805" s="5">
        <v>3</v>
      </c>
      <c r="P805" s="2">
        <v>0.25</v>
      </c>
      <c r="Q805" s="2">
        <v>0.66666666666666663</v>
      </c>
      <c r="R805" s="5">
        <v>2700</v>
      </c>
      <c r="S805" s="7">
        <f>PLANPRODUCCION[[#This Row],[PRECIO MAQUILAS]]*PLANPRODUCCION[[#This Row],[PIEZAS REAL]]</f>
        <v>3240</v>
      </c>
      <c r="T80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2100</v>
      </c>
      <c r="U80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80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80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1380</v>
      </c>
      <c r="X805" s="8" t="s">
        <v>606</v>
      </c>
      <c r="Y80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0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0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05" s="13">
        <f>IF(PLANPRODUCCION[[#This Row],[PIEZAS REAL]]&gt;0,PLANPRODUCCION[[#This Row],[PIEZAS REAL]]/PLANPRODUCCION[[#This Row],[PIEZAS ACTUALIZADO]],)</f>
        <v>1.2857142857142858</v>
      </c>
      <c r="AC805" t="b">
        <f>PLANPRODUCCION[[#This Row],[INGRESO PLANEADO]]&lt;PLANPRODUCCION[[#This Row],[COSTO PLANEADO]]</f>
        <v>0</v>
      </c>
      <c r="AD805" s="46" t="s">
        <v>1195</v>
      </c>
      <c r="AF805" t="b">
        <f>IF(COUNTIF(PLANPRODUCCION[[#This Row],[OBSERVACIONES]],"NO APLICA BONO*")&gt;0,TRUE,FALSE)</f>
        <v>0</v>
      </c>
    </row>
    <row r="806" spans="1:32" x14ac:dyDescent="0.25">
      <c r="A806" s="46" t="str">
        <f>UPPER(IF(PLANPRODUCCION[[#This Row],[FECHA]]&lt;=45701,_xlfn.CONCAT(TEXT(B806,"MMM"),"-",IF(ROW(A806)&lt;11,"000"&amp;ROW(A806)-1,IF(ROW(A806)&lt;101,"00"&amp;ROW(A806)-1,IF(ROW(A806)&lt;1001,"0"&amp;ROW(A806)-1,ROW(A806)-1))),"-OLD"),_xlfn.CONCAT(TEXT(B806,"MMM"),"-",IF(ROW(A806)&lt;473,"000"&amp;ROW(A806)-463,IF(ROW(A806)&lt;563,"00"&amp;ROW(A806)-463,IF(ROW(A806)&lt;1001,"0"&amp;ROW(A806)-463,ROW(A806)-463))))))</f>
        <v>ABR-0343</v>
      </c>
      <c r="B806" s="39">
        <v>45754</v>
      </c>
      <c r="C806" s="5">
        <v>3</v>
      </c>
      <c r="D806" s="5">
        <v>4</v>
      </c>
      <c r="E806" t="s">
        <v>110</v>
      </c>
      <c r="F806" s="2">
        <v>0.54166666666666663</v>
      </c>
      <c r="G806" s="2">
        <v>0.875</v>
      </c>
      <c r="H806" s="5">
        <v>1608</v>
      </c>
      <c r="I806" t="s">
        <v>1143</v>
      </c>
      <c r="J806" t="s">
        <v>445</v>
      </c>
      <c r="K806" s="5">
        <v>2100</v>
      </c>
      <c r="L806" s="5" t="s">
        <v>57</v>
      </c>
      <c r="M806" s="4">
        <v>1.2</v>
      </c>
      <c r="N806" s="6">
        <f>PLANPRODUCCION[[#This Row],[PIEZAS PLANEADAS]]*PLANPRODUCCION[[#This Row],[PRECIO MAQUILAS]]</f>
        <v>2520</v>
      </c>
      <c r="O806" s="5">
        <v>4</v>
      </c>
      <c r="P806" s="2">
        <v>0.54166666666666663</v>
      </c>
      <c r="Q806" s="2">
        <v>0.875</v>
      </c>
      <c r="R806" s="5">
        <v>2100</v>
      </c>
      <c r="S806" s="7">
        <f>PLANPRODUCCION[[#This Row],[PRECIO MAQUILAS]]*PLANPRODUCCION[[#This Row],[PIEZAS REAL]]</f>
        <v>2520</v>
      </c>
      <c r="T80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2800</v>
      </c>
      <c r="U80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80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80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40</v>
      </c>
      <c r="X806" s="8" t="s">
        <v>602</v>
      </c>
      <c r="Y80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0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806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806" s="13">
        <f>IF(PLANPRODUCCION[[#This Row],[PIEZAS REAL]]&gt;0,PLANPRODUCCION[[#This Row],[PIEZAS REAL]]/PLANPRODUCCION[[#This Row],[PIEZAS ACTUALIZADO]],)</f>
        <v>0.75</v>
      </c>
      <c r="AC806" t="b">
        <f>PLANPRODUCCION[[#This Row],[INGRESO PLANEADO]]&lt;PLANPRODUCCION[[#This Row],[COSTO PLANEADO]]</f>
        <v>0</v>
      </c>
      <c r="AD806" s="46" t="s">
        <v>1196</v>
      </c>
      <c r="AF806" t="b">
        <f>IF(COUNTIF(PLANPRODUCCION[[#This Row],[OBSERVACIONES]],"NO APLICA BONO*")&gt;0,TRUE,FALSE)</f>
        <v>0</v>
      </c>
    </row>
    <row r="807" spans="1:32" x14ac:dyDescent="0.25">
      <c r="A807" s="46" t="str">
        <f>UPPER(IF(PLANPRODUCCION[[#This Row],[FECHA]]&lt;=45701,_xlfn.CONCAT(TEXT(B807,"MMM"),"-",IF(ROW(A807)&lt;11,"000"&amp;ROW(A807)-1,IF(ROW(A807)&lt;101,"00"&amp;ROW(A807)-1,IF(ROW(A807)&lt;1001,"0"&amp;ROW(A807)-1,ROW(A807)-1))),"-OLD"),_xlfn.CONCAT(TEXT(B807,"MMM"),"-",IF(ROW(A807)&lt;473,"000"&amp;ROW(A807)-463,IF(ROW(A807)&lt;563,"00"&amp;ROW(A807)-463,IF(ROW(A807)&lt;1001,"0"&amp;ROW(A807)-463,ROW(A807)-463))))))</f>
        <v>ABR-0344</v>
      </c>
      <c r="B807" s="39">
        <v>45754</v>
      </c>
      <c r="C807" s="5">
        <v>2</v>
      </c>
      <c r="D807" s="5">
        <v>4</v>
      </c>
      <c r="E807" t="s">
        <v>72</v>
      </c>
      <c r="F807" s="2">
        <v>0.66666666666666663</v>
      </c>
      <c r="G807" s="2">
        <v>0.875</v>
      </c>
      <c r="H807" s="5">
        <v>1630</v>
      </c>
      <c r="I807" t="s">
        <v>1171</v>
      </c>
      <c r="J807" t="s">
        <v>1172</v>
      </c>
      <c r="K807" s="5">
        <v>640</v>
      </c>
      <c r="L807" s="5" t="s">
        <v>57</v>
      </c>
      <c r="M807" s="4">
        <v>1</v>
      </c>
      <c r="N807" s="6">
        <f>PLANPRODUCCION[[#This Row],[PIEZAS PLANEADAS]]*PLANPRODUCCION[[#This Row],[PRECIO MAQUILAS]]</f>
        <v>640</v>
      </c>
      <c r="O807" s="5">
        <v>0</v>
      </c>
      <c r="P807" s="2">
        <v>0</v>
      </c>
      <c r="Q807" s="2">
        <v>0</v>
      </c>
      <c r="R807" s="5">
        <v>0</v>
      </c>
      <c r="S807" s="7">
        <f>PLANPRODUCCION[[#This Row],[PRECIO MAQUILAS]]*PLANPRODUCCION[[#This Row],[PIEZAS REAL]]</f>
        <v>0</v>
      </c>
      <c r="T80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0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0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0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07" s="8" t="s">
        <v>602</v>
      </c>
      <c r="Y807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0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07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07" s="13">
        <f>IF(PLANPRODUCCION[[#This Row],[PIEZAS REAL]]&gt;0,PLANPRODUCCION[[#This Row],[PIEZAS REAL]]/PLANPRODUCCION[[#This Row],[PIEZAS ACTUALIZADO]],)</f>
        <v>0</v>
      </c>
      <c r="AC807" t="b">
        <f>PLANPRODUCCION[[#This Row],[INGRESO PLANEADO]]&lt;PLANPRODUCCION[[#This Row],[COSTO PLANEADO]]</f>
        <v>0</v>
      </c>
      <c r="AD807" s="46" t="s">
        <v>1197</v>
      </c>
      <c r="AF807" t="b">
        <f>IF(COUNTIF(PLANPRODUCCION[[#This Row],[OBSERVACIONES]],"NO APLICA BONO*")&gt;0,TRUE,FALSE)</f>
        <v>0</v>
      </c>
    </row>
    <row r="808" spans="1:32" x14ac:dyDescent="0.25">
      <c r="A808" s="46" t="str">
        <f>UPPER(IF(PLANPRODUCCION[[#This Row],[FECHA]]&lt;=45701,_xlfn.CONCAT(TEXT(B808,"MMM"),"-",IF(ROW(A808)&lt;11,"000"&amp;ROW(A808)-1,IF(ROW(A808)&lt;101,"00"&amp;ROW(A808)-1,IF(ROW(A808)&lt;1001,"0"&amp;ROW(A808)-1,ROW(A808)-1))),"-OLD"),_xlfn.CONCAT(TEXT(B808,"MMM"),"-",IF(ROW(A808)&lt;473,"000"&amp;ROW(A808)-463,IF(ROW(A808)&lt;563,"00"&amp;ROW(A808)-463,IF(ROW(A808)&lt;1001,"0"&amp;ROW(A808)-463,ROW(A808)-463))))))</f>
        <v>ABR-0345</v>
      </c>
      <c r="B808" s="39">
        <v>45755</v>
      </c>
      <c r="C808" s="5">
        <v>4</v>
      </c>
      <c r="D808" s="5">
        <v>5</v>
      </c>
      <c r="E808" t="s">
        <v>54</v>
      </c>
      <c r="F808" s="2">
        <v>0.25</v>
      </c>
      <c r="G808" s="2">
        <v>0.66666666666666663</v>
      </c>
      <c r="H808" s="5">
        <v>1630</v>
      </c>
      <c r="I808" t="s">
        <v>1171</v>
      </c>
      <c r="J808" t="s">
        <v>1172</v>
      </c>
      <c r="K808" s="5">
        <v>1280</v>
      </c>
      <c r="L808" s="5" t="s">
        <v>57</v>
      </c>
      <c r="M808" s="4">
        <v>4.8499999999999996</v>
      </c>
      <c r="N808" s="6">
        <f>PLANPRODUCCION[[#This Row],[PIEZAS PLANEADAS]]*PLANPRODUCCION[[#This Row],[PRECIO MAQUILAS]]</f>
        <v>6208</v>
      </c>
      <c r="O808" s="5">
        <v>4</v>
      </c>
      <c r="P808" s="2">
        <v>0.25</v>
      </c>
      <c r="Q808" s="2">
        <v>0.66666666666666663</v>
      </c>
      <c r="R808" s="5">
        <v>804</v>
      </c>
      <c r="S808" s="7">
        <f>PLANPRODUCCION[[#This Row],[PRECIO MAQUILAS]]*PLANPRODUCCION[[#This Row],[PIEZAS REAL]]</f>
        <v>3899.3999999999996</v>
      </c>
      <c r="T80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1280</v>
      </c>
      <c r="U80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2480</v>
      </c>
      <c r="V80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80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1419.3999999999996</v>
      </c>
      <c r="X808" s="8" t="s">
        <v>602</v>
      </c>
      <c r="Y808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80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80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08" s="13">
        <f>IF(PLANPRODUCCION[[#This Row],[PIEZAS REAL]]&gt;0,PLANPRODUCCION[[#This Row],[PIEZAS REAL]]/PLANPRODUCCION[[#This Row],[PIEZAS ACTUALIZADO]],)</f>
        <v>0.62812500000000004</v>
      </c>
      <c r="AC808" t="b">
        <f>PLANPRODUCCION[[#This Row],[INGRESO PLANEADO]]&lt;PLANPRODUCCION[[#This Row],[COSTO PLANEADO]]</f>
        <v>0</v>
      </c>
      <c r="AD808" s="46" t="s">
        <v>1205</v>
      </c>
      <c r="AF808" t="b">
        <f>IF(COUNTIF(PLANPRODUCCION[[#This Row],[OBSERVACIONES]],"NO APLICA BONO*")&gt;0,TRUE,FALSE)</f>
        <v>0</v>
      </c>
    </row>
    <row r="809" spans="1:32" x14ac:dyDescent="0.25">
      <c r="A809" s="46" t="str">
        <f>UPPER(IF(PLANPRODUCCION[[#This Row],[FECHA]]&lt;=45701,_xlfn.CONCAT(TEXT(B809,"MMM"),"-",IF(ROW(A809)&lt;11,"000"&amp;ROW(A809)-1,IF(ROW(A809)&lt;101,"00"&amp;ROW(A809)-1,IF(ROW(A809)&lt;1001,"0"&amp;ROW(A809)-1,ROW(A809)-1))),"-OLD"),_xlfn.CONCAT(TEXT(B809,"MMM"),"-",IF(ROW(A809)&lt;473,"000"&amp;ROW(A809)-463,IF(ROW(A809)&lt;563,"00"&amp;ROW(A809)-463,IF(ROW(A809)&lt;1001,"0"&amp;ROW(A809)-463,ROW(A809)-463))))))</f>
        <v>ABR-0346</v>
      </c>
      <c r="B809" s="39">
        <v>45755</v>
      </c>
      <c r="C809" s="5">
        <v>4</v>
      </c>
      <c r="D809" s="5">
        <v>1</v>
      </c>
      <c r="E809" t="s">
        <v>54</v>
      </c>
      <c r="F809" s="2">
        <v>0.25</v>
      </c>
      <c r="G809" s="2">
        <v>0.66666666666666663</v>
      </c>
      <c r="H809" s="5">
        <v>1630</v>
      </c>
      <c r="I809" t="s">
        <v>1171</v>
      </c>
      <c r="J809" t="s">
        <v>1172</v>
      </c>
      <c r="K809" s="5">
        <v>1280</v>
      </c>
      <c r="L809" s="5" t="s">
        <v>57</v>
      </c>
      <c r="M809" s="4">
        <v>4.8499999999999996</v>
      </c>
      <c r="N809" s="6">
        <f>PLANPRODUCCION[[#This Row],[PIEZAS PLANEADAS]]*PLANPRODUCCION[[#This Row],[PRECIO MAQUILAS]]</f>
        <v>6208</v>
      </c>
      <c r="O809" s="5">
        <v>3</v>
      </c>
      <c r="P809" s="2">
        <v>0.25</v>
      </c>
      <c r="Q809" s="2">
        <v>0.66666666666666663</v>
      </c>
      <c r="R809" s="5">
        <v>550</v>
      </c>
      <c r="S809" s="7">
        <f>PLANPRODUCCION[[#This Row],[PRECIO MAQUILAS]]*PLANPRODUCCION[[#This Row],[PIEZAS REAL]]</f>
        <v>2667.5</v>
      </c>
      <c r="T80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960</v>
      </c>
      <c r="U80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2480</v>
      </c>
      <c r="V80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80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807.5</v>
      </c>
      <c r="X809" s="8" t="s">
        <v>602</v>
      </c>
      <c r="Y80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0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80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09" s="13">
        <f>IF(PLANPRODUCCION[[#This Row],[PIEZAS REAL]]&gt;0,PLANPRODUCCION[[#This Row],[PIEZAS REAL]]/PLANPRODUCCION[[#This Row],[PIEZAS ACTUALIZADO]],)</f>
        <v>0.57291666666666663</v>
      </c>
      <c r="AC809" t="b">
        <f>PLANPRODUCCION[[#This Row],[INGRESO PLANEADO]]&lt;PLANPRODUCCION[[#This Row],[COSTO PLANEADO]]</f>
        <v>0</v>
      </c>
      <c r="AD809" s="46" t="s">
        <v>1206</v>
      </c>
      <c r="AF809" t="b">
        <f>IF(COUNTIF(PLANPRODUCCION[[#This Row],[OBSERVACIONES]],"NO APLICA BONO*")&gt;0,TRUE,FALSE)</f>
        <v>0</v>
      </c>
    </row>
    <row r="810" spans="1:32" x14ac:dyDescent="0.25">
      <c r="A810" s="46" t="str">
        <f>UPPER(IF(PLANPRODUCCION[[#This Row],[FECHA]]&lt;=45701,_xlfn.CONCAT(TEXT(B810,"MMM"),"-",IF(ROW(A810)&lt;11,"000"&amp;ROW(A810)-1,IF(ROW(A810)&lt;101,"00"&amp;ROW(A810)-1,IF(ROW(A810)&lt;1001,"0"&amp;ROW(A810)-1,ROW(A810)-1))),"-OLD"),_xlfn.CONCAT(TEXT(B810,"MMM"),"-",IF(ROW(A810)&lt;473,"000"&amp;ROW(A810)-463,IF(ROW(A810)&lt;563,"00"&amp;ROW(A810)-463,IF(ROW(A810)&lt;1001,"0"&amp;ROW(A810)-463,ROW(A810)-463))))))</f>
        <v>ABR-0347</v>
      </c>
      <c r="B810" s="39">
        <v>45755</v>
      </c>
      <c r="C810" s="5">
        <v>3</v>
      </c>
      <c r="D810" s="5">
        <v>3</v>
      </c>
      <c r="E810" t="s">
        <v>54</v>
      </c>
      <c r="F810" s="2">
        <v>0.25</v>
      </c>
      <c r="G810" s="2">
        <v>0.66666666666666663</v>
      </c>
      <c r="H810" s="5">
        <v>1630</v>
      </c>
      <c r="I810" t="s">
        <v>1171</v>
      </c>
      <c r="J810" t="s">
        <v>1172</v>
      </c>
      <c r="K810" s="5">
        <v>960</v>
      </c>
      <c r="L810" s="5" t="s">
        <v>57</v>
      </c>
      <c r="M810" s="4">
        <v>4.8499999999999996</v>
      </c>
      <c r="N810" s="6">
        <f>PLANPRODUCCION[[#This Row],[PIEZAS PLANEADAS]]*PLANPRODUCCION[[#This Row],[PRECIO MAQUILAS]]</f>
        <v>4656</v>
      </c>
      <c r="O810" s="5">
        <v>3</v>
      </c>
      <c r="P810" s="2">
        <v>0.25</v>
      </c>
      <c r="Q810" s="2">
        <v>0.66666666666666663</v>
      </c>
      <c r="R810" s="5">
        <v>550</v>
      </c>
      <c r="S810" s="7">
        <f>PLANPRODUCCION[[#This Row],[PRECIO MAQUILAS]]*PLANPRODUCCION[[#This Row],[PIEZAS REAL]]</f>
        <v>2667.5</v>
      </c>
      <c r="T81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960</v>
      </c>
      <c r="U81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1860</v>
      </c>
      <c r="V81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81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807.5</v>
      </c>
      <c r="X810" s="8" t="s">
        <v>602</v>
      </c>
      <c r="Y810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81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81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10" s="13">
        <f>IF(PLANPRODUCCION[[#This Row],[PIEZAS REAL]]&gt;0,PLANPRODUCCION[[#This Row],[PIEZAS REAL]]/PLANPRODUCCION[[#This Row],[PIEZAS ACTUALIZADO]],)</f>
        <v>0.57291666666666663</v>
      </c>
      <c r="AC810" t="b">
        <f>PLANPRODUCCION[[#This Row],[INGRESO PLANEADO]]&lt;PLANPRODUCCION[[#This Row],[COSTO PLANEADO]]</f>
        <v>0</v>
      </c>
      <c r="AD810" s="46" t="s">
        <v>1207</v>
      </c>
      <c r="AF810" t="b">
        <f>IF(COUNTIF(PLANPRODUCCION[[#This Row],[OBSERVACIONES]],"NO APLICA BONO*")&gt;0,TRUE,FALSE)</f>
        <v>0</v>
      </c>
    </row>
    <row r="811" spans="1:32" x14ac:dyDescent="0.25">
      <c r="A811" s="46" t="str">
        <f>UPPER(IF(PLANPRODUCCION[[#This Row],[FECHA]]&lt;=45701,_xlfn.CONCAT(TEXT(B811,"MMM"),"-",IF(ROW(A811)&lt;11,"000"&amp;ROW(A811)-1,IF(ROW(A811)&lt;101,"00"&amp;ROW(A811)-1,IF(ROW(A811)&lt;1001,"0"&amp;ROW(A811)-1,ROW(A811)-1))),"-OLD"),_xlfn.CONCAT(TEXT(B811,"MMM"),"-",IF(ROW(A811)&lt;473,"000"&amp;ROW(A811)-463,IF(ROW(A811)&lt;563,"00"&amp;ROW(A811)-463,IF(ROW(A811)&lt;1001,"0"&amp;ROW(A811)-463,ROW(A811)-463))))))</f>
        <v>ABR-0348</v>
      </c>
      <c r="B811" s="39">
        <v>45755</v>
      </c>
      <c r="C811" s="5">
        <v>4</v>
      </c>
      <c r="D811" s="5" t="s">
        <v>1180</v>
      </c>
      <c r="E811" t="s">
        <v>54</v>
      </c>
      <c r="F811" s="2">
        <v>0.33333333333333331</v>
      </c>
      <c r="G811" s="2">
        <v>0.66666666666666663</v>
      </c>
      <c r="H811" s="5">
        <v>1605</v>
      </c>
      <c r="I811" t="s">
        <v>1165</v>
      </c>
      <c r="J811" t="s">
        <v>895</v>
      </c>
      <c r="K811" s="5">
        <v>720</v>
      </c>
      <c r="L811" s="5" t="s">
        <v>57</v>
      </c>
      <c r="M811" s="4">
        <v>13.19</v>
      </c>
      <c r="N811" s="6">
        <f>PLANPRODUCCION[[#This Row],[PIEZAS PLANEADAS]]*PLANPRODUCCION[[#This Row],[PRECIO MAQUILAS]]</f>
        <v>9496.7999999999993</v>
      </c>
      <c r="O811" s="5">
        <v>4</v>
      </c>
      <c r="P811" s="2">
        <v>0.33333333333333331</v>
      </c>
      <c r="Q811" s="2">
        <v>0.66666666666666663</v>
      </c>
      <c r="R811" s="5">
        <v>787</v>
      </c>
      <c r="S811" s="7">
        <f>PLANPRODUCCION[[#This Row],[PRECIO MAQUILAS]]*PLANPRODUCCION[[#This Row],[PIEZAS REAL]]</f>
        <v>10380.529999999999</v>
      </c>
      <c r="T81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720</v>
      </c>
      <c r="U81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1984</v>
      </c>
      <c r="V81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1984</v>
      </c>
      <c r="W81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8396.5299999999988</v>
      </c>
      <c r="X811" s="8" t="s">
        <v>602</v>
      </c>
      <c r="Y81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81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81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11" s="13">
        <f>IF(PLANPRODUCCION[[#This Row],[PIEZAS REAL]]&gt;0,PLANPRODUCCION[[#This Row],[PIEZAS REAL]]/PLANPRODUCCION[[#This Row],[PIEZAS ACTUALIZADO]],)</f>
        <v>1.0930555555555554</v>
      </c>
      <c r="AC811" t="b">
        <f>PLANPRODUCCION[[#This Row],[INGRESO PLANEADO]]&lt;PLANPRODUCCION[[#This Row],[COSTO PLANEADO]]</f>
        <v>0</v>
      </c>
      <c r="AD811" s="46" t="s">
        <v>1208</v>
      </c>
      <c r="AF811" t="b">
        <f>IF(COUNTIF(PLANPRODUCCION[[#This Row],[OBSERVACIONES]],"NO APLICA BONO*")&gt;0,TRUE,FALSE)</f>
        <v>0</v>
      </c>
    </row>
    <row r="812" spans="1:32" x14ac:dyDescent="0.25">
      <c r="A812" s="46" t="str">
        <f>UPPER(IF(PLANPRODUCCION[[#This Row],[FECHA]]&lt;=45701,_xlfn.CONCAT(TEXT(B812,"MMM"),"-",IF(ROW(A812)&lt;11,"000"&amp;ROW(A812)-1,IF(ROW(A812)&lt;101,"00"&amp;ROW(A812)-1,IF(ROW(A812)&lt;1001,"0"&amp;ROW(A812)-1,ROW(A812)-1))),"-OLD"),_xlfn.CONCAT(TEXT(B812,"MMM"),"-",IF(ROW(A812)&lt;473,"000"&amp;ROW(A812)-463,IF(ROW(A812)&lt;563,"00"&amp;ROW(A812)-463,IF(ROW(A812)&lt;1001,"0"&amp;ROW(A812)-463,ROW(A812)-463))))))</f>
        <v>ABR-0349</v>
      </c>
      <c r="B812" s="39">
        <v>45755</v>
      </c>
      <c r="C812" s="5">
        <v>4</v>
      </c>
      <c r="D812" s="5">
        <v>6</v>
      </c>
      <c r="E812" t="s">
        <v>110</v>
      </c>
      <c r="F812" s="2">
        <v>0.54166666666666663</v>
      </c>
      <c r="G812" s="2">
        <v>0.875</v>
      </c>
      <c r="H812" s="5">
        <v>1630</v>
      </c>
      <c r="I812" t="s">
        <v>1171</v>
      </c>
      <c r="J812" t="s">
        <v>1172</v>
      </c>
      <c r="K812" s="5">
        <v>1500</v>
      </c>
      <c r="L812" s="5" t="s">
        <v>57</v>
      </c>
      <c r="M812" s="4">
        <v>4.8499999999999996</v>
      </c>
      <c r="N812" s="6">
        <f>PLANPRODUCCION[[#This Row],[PIEZAS PLANEADAS]]*PLANPRODUCCION[[#This Row],[PRECIO MAQUILAS]]</f>
        <v>7274.9999999999991</v>
      </c>
      <c r="O812" s="5">
        <v>4</v>
      </c>
      <c r="P812" s="2">
        <v>0.54166666666666663</v>
      </c>
      <c r="Q812" s="2">
        <v>0.875</v>
      </c>
      <c r="R812" s="5">
        <v>551</v>
      </c>
      <c r="S812" s="7">
        <f>PLANPRODUCCION[[#This Row],[PRECIO MAQUILAS]]*PLANPRODUCCION[[#This Row],[PIEZAS REAL]]</f>
        <v>2672.35</v>
      </c>
      <c r="T81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1500</v>
      </c>
      <c r="U81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2480</v>
      </c>
      <c r="V81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2480</v>
      </c>
      <c r="W81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192.34999999999991</v>
      </c>
      <c r="X812" s="8" t="s">
        <v>602</v>
      </c>
      <c r="Y812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81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812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12" s="13">
        <f>IF(PLANPRODUCCION[[#This Row],[PIEZAS REAL]]&gt;0,PLANPRODUCCION[[#This Row],[PIEZAS REAL]]/PLANPRODUCCION[[#This Row],[PIEZAS ACTUALIZADO]],)</f>
        <v>0.36733333333333335</v>
      </c>
      <c r="AC812" t="b">
        <f>PLANPRODUCCION[[#This Row],[INGRESO PLANEADO]]&lt;PLANPRODUCCION[[#This Row],[COSTO PLANEADO]]</f>
        <v>0</v>
      </c>
      <c r="AD812" s="46" t="s">
        <v>1209</v>
      </c>
      <c r="AF812" t="b">
        <f>IF(COUNTIF(PLANPRODUCCION[[#This Row],[OBSERVACIONES]],"NO APLICA BONO*")&gt;0,TRUE,FALSE)</f>
        <v>0</v>
      </c>
    </row>
    <row r="813" spans="1:32" x14ac:dyDescent="0.25">
      <c r="A813" s="46" t="str">
        <f>UPPER(IF(PLANPRODUCCION[[#This Row],[FECHA]]&lt;=45701,_xlfn.CONCAT(TEXT(B813,"MMM"),"-",IF(ROW(A813)&lt;11,"000"&amp;ROW(A813)-1,IF(ROW(A813)&lt;101,"00"&amp;ROW(A813)-1,IF(ROW(A813)&lt;1001,"0"&amp;ROW(A813)-1,ROW(A813)-1))),"-OLD"),_xlfn.CONCAT(TEXT(B813,"MMM"),"-",IF(ROW(A813)&lt;473,"000"&amp;ROW(A813)-463,IF(ROW(A813)&lt;563,"00"&amp;ROW(A813)-463,IF(ROW(A813)&lt;1001,"0"&amp;ROW(A813)-463,ROW(A813)-463))))))</f>
        <v>ABR-0350</v>
      </c>
      <c r="B813" s="39">
        <v>45756</v>
      </c>
      <c r="C813" s="5">
        <v>4</v>
      </c>
      <c r="D813" s="5" t="s">
        <v>1180</v>
      </c>
      <c r="E813" t="s">
        <v>54</v>
      </c>
      <c r="F813" s="2">
        <v>0.33333333333333331</v>
      </c>
      <c r="G813" s="2">
        <v>0.66666666666666663</v>
      </c>
      <c r="H813" s="5">
        <v>1633</v>
      </c>
      <c r="I813" t="s">
        <v>894</v>
      </c>
      <c r="J813" t="s">
        <v>1173</v>
      </c>
      <c r="K813" s="5">
        <v>5000</v>
      </c>
      <c r="L813" s="5" t="s">
        <v>57</v>
      </c>
      <c r="M813" s="67"/>
      <c r="N813" s="68">
        <f>PLANPRODUCCION[[#This Row],[PIEZAS PLANEADAS]]*PLANPRODUCCION[[#This Row],[PRECIO MAQUILAS]]</f>
        <v>0</v>
      </c>
      <c r="O813" s="5">
        <v>4</v>
      </c>
      <c r="P813" s="2">
        <v>0.33333333333333331</v>
      </c>
      <c r="Q813" s="2">
        <v>0.66666666666666663</v>
      </c>
      <c r="R813" s="5">
        <v>5460</v>
      </c>
      <c r="S813" s="7">
        <f>PLANPRODUCCION[[#This Row],[PRECIO MAQUILAS]]*PLANPRODUCCION[[#This Row],[PIEZAS REAL]]</f>
        <v>0</v>
      </c>
      <c r="T81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5000</v>
      </c>
      <c r="U81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1984</v>
      </c>
      <c r="V81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1984</v>
      </c>
      <c r="W81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-1984</v>
      </c>
      <c r="X813" s="8" t="s">
        <v>602</v>
      </c>
      <c r="Y813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81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813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13" s="13">
        <f>IF(PLANPRODUCCION[[#This Row],[PIEZAS REAL]]&gt;0,PLANPRODUCCION[[#This Row],[PIEZAS REAL]]/PLANPRODUCCION[[#This Row],[PIEZAS ACTUALIZADO]],)</f>
        <v>1.0920000000000001</v>
      </c>
      <c r="AC813" t="b">
        <f>PLANPRODUCCION[[#This Row],[INGRESO PLANEADO]]&lt;PLANPRODUCCION[[#This Row],[COSTO PLANEADO]]</f>
        <v>1</v>
      </c>
      <c r="AD813" s="46" t="s">
        <v>1221</v>
      </c>
      <c r="AF813" t="b">
        <f>IF(COUNTIF(PLANPRODUCCION[[#This Row],[OBSERVACIONES]],"NO APLICA BONO*")&gt;0,TRUE,FALSE)</f>
        <v>0</v>
      </c>
    </row>
    <row r="814" spans="1:32" x14ac:dyDescent="0.25">
      <c r="A814" s="46" t="str">
        <f>UPPER(IF(PLANPRODUCCION[[#This Row],[FECHA]]&lt;=45701,_xlfn.CONCAT(TEXT(B814,"MMM"),"-",IF(ROW(A814)&lt;11,"000"&amp;ROW(A814)-1,IF(ROW(A814)&lt;101,"00"&amp;ROW(A814)-1,IF(ROW(A814)&lt;1001,"0"&amp;ROW(A814)-1,ROW(A814)-1))),"-OLD"),_xlfn.CONCAT(TEXT(B814,"MMM"),"-",IF(ROW(A814)&lt;473,"000"&amp;ROW(A814)-463,IF(ROW(A814)&lt;563,"00"&amp;ROW(A814)-463,IF(ROW(A814)&lt;1001,"0"&amp;ROW(A814)-463,ROW(A814)-463))))))</f>
        <v>ABR-0351</v>
      </c>
      <c r="B814" s="39">
        <v>45756</v>
      </c>
      <c r="C814" s="5">
        <v>11</v>
      </c>
      <c r="D814" s="5" t="s">
        <v>1211</v>
      </c>
      <c r="E814" t="s">
        <v>54</v>
      </c>
      <c r="F814" s="2">
        <v>0.25</v>
      </c>
      <c r="G814" s="2">
        <v>0.375</v>
      </c>
      <c r="H814" s="5">
        <v>1631</v>
      </c>
      <c r="I814" t="s">
        <v>1174</v>
      </c>
      <c r="J814" t="s">
        <v>1175</v>
      </c>
      <c r="K814" s="5">
        <v>1920</v>
      </c>
      <c r="L814" s="5" t="s">
        <v>83</v>
      </c>
      <c r="M814" s="4">
        <v>4</v>
      </c>
      <c r="N814" s="6">
        <f>PLANPRODUCCION[[#This Row],[PIEZAS PLANEADAS]]*PLANPRODUCCION[[#This Row],[PRECIO MAQUILAS]]</f>
        <v>7680</v>
      </c>
      <c r="O814" s="5">
        <v>10</v>
      </c>
      <c r="P814" s="2">
        <v>0.25</v>
      </c>
      <c r="Q814" s="2">
        <v>0.375</v>
      </c>
      <c r="R814" s="5">
        <v>1920</v>
      </c>
      <c r="S814" s="7">
        <f>PLANPRODUCCION[[#This Row],[PRECIO MAQUILAS]]*PLANPRODUCCION[[#This Row],[PIEZAS REAL]]</f>
        <v>7680</v>
      </c>
      <c r="T81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1746</v>
      </c>
      <c r="U81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2046</v>
      </c>
      <c r="V81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1860</v>
      </c>
      <c r="W81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5820</v>
      </c>
      <c r="X814" s="8" t="s">
        <v>602</v>
      </c>
      <c r="Y814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1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814" s="11" t="str">
        <f>IF(PLANPRODUCCION[[#This Row],[PIEZAS REAL]]&gt;0,IF(PLANPRODUCCION[[#This Row],[PLANEADO]]="si",IF(PLANPRODUCCION[[#This Row],[PIEZAS PLANEADAS]]=PLANPRODUCCION[[#This Row],[PIEZAS REAL]],"P","Ñ"),"Ñ"),"X")</f>
        <v>P</v>
      </c>
      <c r="AB814" s="13">
        <f>IF(PLANPRODUCCION[[#This Row],[PIEZAS REAL]]&gt;0,PLANPRODUCCION[[#This Row],[PIEZAS REAL]]/PLANPRODUCCION[[#This Row],[PIEZAS ACTUALIZADO]],)</f>
        <v>1.0996563573883162</v>
      </c>
      <c r="AC814" t="b">
        <f>PLANPRODUCCION[[#This Row],[INGRESO PLANEADO]]&lt;PLANPRODUCCION[[#This Row],[COSTO PLANEADO]]</f>
        <v>0</v>
      </c>
      <c r="AD814" s="46" t="s">
        <v>1210</v>
      </c>
      <c r="AF814" t="b">
        <f>IF(COUNTIF(PLANPRODUCCION[[#This Row],[OBSERVACIONES]],"NO APLICA BONO*")&gt;0,TRUE,FALSE)</f>
        <v>0</v>
      </c>
    </row>
    <row r="815" spans="1:32" x14ac:dyDescent="0.25">
      <c r="A815" s="46" t="str">
        <f>UPPER(IF(PLANPRODUCCION[[#This Row],[FECHA]]&lt;=45701,_xlfn.CONCAT(TEXT(B815,"MMM"),"-",IF(ROW(A815)&lt;11,"000"&amp;ROW(A815)-1,IF(ROW(A815)&lt;101,"00"&amp;ROW(A815)-1,IF(ROW(A815)&lt;1001,"0"&amp;ROW(A815)-1,ROW(A815)-1))),"-OLD"),_xlfn.CONCAT(TEXT(B815,"MMM"),"-",IF(ROW(A815)&lt;473,"000"&amp;ROW(A815)-463,IF(ROW(A815)&lt;563,"00"&amp;ROW(A815)-463,IF(ROW(A815)&lt;1001,"0"&amp;ROW(A815)-463,ROW(A815)-463))))))</f>
        <v>ABR-0352</v>
      </c>
      <c r="B815" s="39">
        <v>45756</v>
      </c>
      <c r="C815" s="5">
        <v>4</v>
      </c>
      <c r="D815" s="5">
        <v>1</v>
      </c>
      <c r="E815" t="s">
        <v>54</v>
      </c>
      <c r="F815" s="2">
        <v>0.375</v>
      </c>
      <c r="G815" s="2">
        <v>0.66666666666666663</v>
      </c>
      <c r="H815" s="5">
        <v>1630</v>
      </c>
      <c r="I815" t="s">
        <v>1171</v>
      </c>
      <c r="J815" t="s">
        <v>1172</v>
      </c>
      <c r="K815" s="5">
        <v>900</v>
      </c>
      <c r="L815" s="5" t="s">
        <v>57</v>
      </c>
      <c r="M815" s="4">
        <v>4.8499999999999996</v>
      </c>
      <c r="N815" s="6">
        <f>PLANPRODUCCION[[#This Row],[PIEZAS PLANEADAS]]*PLANPRODUCCION[[#This Row],[PRECIO MAQUILAS]]</f>
        <v>4365</v>
      </c>
      <c r="O815" s="5">
        <v>3</v>
      </c>
      <c r="P815" s="2">
        <v>0.375</v>
      </c>
      <c r="Q815" s="2">
        <v>0.66666666666666663</v>
      </c>
      <c r="R815" s="5">
        <v>480</v>
      </c>
      <c r="S815" s="7">
        <f>PLANPRODUCCION[[#This Row],[PRECIO MAQUILAS]]*PLANPRODUCCION[[#This Row],[PIEZAS REAL]]</f>
        <v>2328</v>
      </c>
      <c r="T81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675</v>
      </c>
      <c r="U81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1736</v>
      </c>
      <c r="V81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1302</v>
      </c>
      <c r="W81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1026</v>
      </c>
      <c r="X815" s="8" t="s">
        <v>602</v>
      </c>
      <c r="Y815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1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815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15" s="13">
        <f>IF(PLANPRODUCCION[[#This Row],[PIEZAS REAL]]&gt;0,PLANPRODUCCION[[#This Row],[PIEZAS REAL]]/PLANPRODUCCION[[#This Row],[PIEZAS ACTUALIZADO]],)</f>
        <v>0.71111111111111114</v>
      </c>
      <c r="AC815" t="b">
        <f>PLANPRODUCCION[[#This Row],[INGRESO PLANEADO]]&lt;PLANPRODUCCION[[#This Row],[COSTO PLANEADO]]</f>
        <v>0</v>
      </c>
      <c r="AD815" s="46" t="s">
        <v>1212</v>
      </c>
      <c r="AF815" t="b">
        <f>IF(COUNTIF(PLANPRODUCCION[[#This Row],[OBSERVACIONES]],"NO APLICA BONO*")&gt;0,TRUE,FALSE)</f>
        <v>0</v>
      </c>
    </row>
    <row r="816" spans="1:32" x14ac:dyDescent="0.25">
      <c r="A816" s="46" t="str">
        <f>UPPER(IF(PLANPRODUCCION[[#This Row],[FECHA]]&lt;=45701,_xlfn.CONCAT(TEXT(B816,"MMM"),"-",IF(ROW(A816)&lt;11,"000"&amp;ROW(A816)-1,IF(ROW(A816)&lt;101,"00"&amp;ROW(A816)-1,IF(ROW(A816)&lt;1001,"0"&amp;ROW(A816)-1,ROW(A816)-1))),"-OLD"),_xlfn.CONCAT(TEXT(B816,"MMM"),"-",IF(ROW(A816)&lt;473,"000"&amp;ROW(A816)-463,IF(ROW(A816)&lt;563,"00"&amp;ROW(A816)-463,IF(ROW(A816)&lt;1001,"0"&amp;ROW(A816)-463,ROW(A816)-463))))))</f>
        <v>ABR-0353</v>
      </c>
      <c r="B816" s="39">
        <v>45756</v>
      </c>
      <c r="C816" s="5">
        <v>4</v>
      </c>
      <c r="D816" s="5">
        <v>3</v>
      </c>
      <c r="E816" t="s">
        <v>54</v>
      </c>
      <c r="F816" s="2">
        <v>0.375</v>
      </c>
      <c r="G816" s="2">
        <v>0.66666666666666663</v>
      </c>
      <c r="H816" s="5">
        <v>1630</v>
      </c>
      <c r="I816" t="s">
        <v>1171</v>
      </c>
      <c r="J816" t="s">
        <v>1172</v>
      </c>
      <c r="K816" s="5">
        <v>900</v>
      </c>
      <c r="L816" s="5" t="s">
        <v>57</v>
      </c>
      <c r="M816" s="4">
        <v>4.8499999999999996</v>
      </c>
      <c r="N816" s="6">
        <f>PLANPRODUCCION[[#This Row],[PIEZAS PLANEADAS]]*PLANPRODUCCION[[#This Row],[PRECIO MAQUILAS]]</f>
        <v>4365</v>
      </c>
      <c r="O816" s="5">
        <v>3</v>
      </c>
      <c r="P816" s="2">
        <v>0.375</v>
      </c>
      <c r="Q816" s="2">
        <v>0.66666666666666663</v>
      </c>
      <c r="R816" s="5">
        <v>360</v>
      </c>
      <c r="S816" s="7">
        <f>PLANPRODUCCION[[#This Row],[PRECIO MAQUILAS]]*PLANPRODUCCION[[#This Row],[PIEZAS REAL]]</f>
        <v>1745.9999999999998</v>
      </c>
      <c r="T81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675</v>
      </c>
      <c r="U81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1736</v>
      </c>
      <c r="V81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1302</v>
      </c>
      <c r="W81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443.99999999999977</v>
      </c>
      <c r="X816" s="8" t="s">
        <v>602</v>
      </c>
      <c r="Y816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1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816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16" s="13">
        <f>IF(PLANPRODUCCION[[#This Row],[PIEZAS REAL]]&gt;0,PLANPRODUCCION[[#This Row],[PIEZAS REAL]]/PLANPRODUCCION[[#This Row],[PIEZAS ACTUALIZADO]],)</f>
        <v>0.53333333333333333</v>
      </c>
      <c r="AC816" t="b">
        <f>PLANPRODUCCION[[#This Row],[INGRESO PLANEADO]]&lt;PLANPRODUCCION[[#This Row],[COSTO PLANEADO]]</f>
        <v>0</v>
      </c>
      <c r="AD816" s="46" t="s">
        <v>1213</v>
      </c>
      <c r="AF816" t="b">
        <f>IF(COUNTIF(PLANPRODUCCION[[#This Row],[OBSERVACIONES]],"NO APLICA BONO*")&gt;0,TRUE,FALSE)</f>
        <v>0</v>
      </c>
    </row>
    <row r="817" spans="1:32" x14ac:dyDescent="0.25">
      <c r="A817" s="46" t="str">
        <f>UPPER(IF(PLANPRODUCCION[[#This Row],[FECHA]]&lt;=45701,_xlfn.CONCAT(TEXT(B817,"MMM"),"-",IF(ROW(A817)&lt;11,"000"&amp;ROW(A817)-1,IF(ROW(A817)&lt;101,"00"&amp;ROW(A817)-1,IF(ROW(A817)&lt;1001,"0"&amp;ROW(A817)-1,ROW(A817)-1))),"-OLD"),_xlfn.CONCAT(TEXT(B817,"MMM"),"-",IF(ROW(A817)&lt;473,"000"&amp;ROW(A817)-463,IF(ROW(A817)&lt;563,"00"&amp;ROW(A817)-463,IF(ROW(A817)&lt;1001,"0"&amp;ROW(A817)-463,ROW(A817)-463))))))</f>
        <v>ABR-0354</v>
      </c>
      <c r="B817" s="39">
        <v>45756</v>
      </c>
      <c r="C817" s="5">
        <v>3</v>
      </c>
      <c r="D817" s="5">
        <v>5</v>
      </c>
      <c r="E817" t="s">
        <v>54</v>
      </c>
      <c r="F817" s="2">
        <v>0.375</v>
      </c>
      <c r="G817" s="2">
        <v>0.66666666666666663</v>
      </c>
      <c r="H817" s="5">
        <v>1630</v>
      </c>
      <c r="I817" t="s">
        <v>1171</v>
      </c>
      <c r="J817" t="s">
        <v>1172</v>
      </c>
      <c r="K817" s="5">
        <v>675</v>
      </c>
      <c r="L817" s="5" t="s">
        <v>57</v>
      </c>
      <c r="M817" s="4">
        <v>4.8499999999999996</v>
      </c>
      <c r="N817" s="6">
        <f>PLANPRODUCCION[[#This Row],[PIEZAS PLANEADAS]]*PLANPRODUCCION[[#This Row],[PRECIO MAQUILAS]]</f>
        <v>3273.7499999999995</v>
      </c>
      <c r="O817" s="5">
        <v>3</v>
      </c>
      <c r="P817" s="2">
        <v>0.375</v>
      </c>
      <c r="Q817" s="2">
        <v>0.66666666666666663</v>
      </c>
      <c r="R817" s="5">
        <v>400</v>
      </c>
      <c r="S817" s="7">
        <f>PLANPRODUCCION[[#This Row],[PRECIO MAQUILAS]]*PLANPRODUCCION[[#This Row],[PIEZAS REAL]]</f>
        <v>1939.9999999999998</v>
      </c>
      <c r="T81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675</v>
      </c>
      <c r="U81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1302</v>
      </c>
      <c r="V81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1302</v>
      </c>
      <c r="W81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637.99999999999977</v>
      </c>
      <c r="X817" s="8" t="s">
        <v>602</v>
      </c>
      <c r="Y817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81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817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17" s="13">
        <f>IF(PLANPRODUCCION[[#This Row],[PIEZAS REAL]]&gt;0,PLANPRODUCCION[[#This Row],[PIEZAS REAL]]/PLANPRODUCCION[[#This Row],[PIEZAS ACTUALIZADO]],)</f>
        <v>0.59259259259259256</v>
      </c>
      <c r="AC817" t="b">
        <f>PLANPRODUCCION[[#This Row],[INGRESO PLANEADO]]&lt;PLANPRODUCCION[[#This Row],[COSTO PLANEADO]]</f>
        <v>0</v>
      </c>
      <c r="AD817" s="46" t="s">
        <v>1214</v>
      </c>
      <c r="AF817" t="b">
        <f>IF(COUNTIF(PLANPRODUCCION[[#This Row],[OBSERVACIONES]],"NO APLICA BONO*")&gt;0,TRUE,FALSE)</f>
        <v>0</v>
      </c>
    </row>
    <row r="818" spans="1:32" x14ac:dyDescent="0.25">
      <c r="A818" s="46" t="str">
        <f>UPPER(IF(PLANPRODUCCION[[#This Row],[FECHA]]&lt;=45701,_xlfn.CONCAT(TEXT(B818,"MMM"),"-",IF(ROW(A818)&lt;11,"000"&amp;ROW(A818)-1,IF(ROW(A818)&lt;101,"00"&amp;ROW(A818)-1,IF(ROW(A818)&lt;1001,"0"&amp;ROW(A818)-1,ROW(A818)-1))),"-OLD"),_xlfn.CONCAT(TEXT(B818,"MMM"),"-",IF(ROW(A818)&lt;473,"000"&amp;ROW(A818)-463,IF(ROW(A818)&lt;563,"00"&amp;ROW(A818)-463,IF(ROW(A818)&lt;1001,"0"&amp;ROW(A818)-463,ROW(A818)-463))))))</f>
        <v>ABR-0355</v>
      </c>
      <c r="B818" s="39">
        <v>45756</v>
      </c>
      <c r="C818" s="5">
        <v>1</v>
      </c>
      <c r="D818" s="5" t="s">
        <v>1215</v>
      </c>
      <c r="E818" t="s">
        <v>54</v>
      </c>
      <c r="F818" s="2">
        <v>0.375</v>
      </c>
      <c r="G818" s="2">
        <v>0.66666666666666663</v>
      </c>
      <c r="H818" s="5">
        <v>1608</v>
      </c>
      <c r="I818" t="s">
        <v>1143</v>
      </c>
      <c r="J818" s="66" t="s">
        <v>1216</v>
      </c>
      <c r="K818" s="41">
        <v>420</v>
      </c>
      <c r="L818" s="41" t="s">
        <v>1217</v>
      </c>
      <c r="M818" s="67">
        <v>0</v>
      </c>
      <c r="N818" s="68">
        <f>PLANPRODUCCION[[#This Row],[PIEZAS PLANEADAS]]*PLANPRODUCCION[[#This Row],[PRECIO MAQUILAS]]</f>
        <v>0</v>
      </c>
      <c r="O818" s="5">
        <v>1</v>
      </c>
      <c r="P818" s="2">
        <v>0.375</v>
      </c>
      <c r="Q818" s="2">
        <v>0.66666666666666663</v>
      </c>
      <c r="R818" s="5">
        <v>420</v>
      </c>
      <c r="S818" s="7">
        <f>PLANPRODUCCION[[#This Row],[PRECIO MAQUILAS]]*PLANPRODUCCION[[#This Row],[PIEZAS REAL]]</f>
        <v>0</v>
      </c>
      <c r="T81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420</v>
      </c>
      <c r="U81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434</v>
      </c>
      <c r="V81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434</v>
      </c>
      <c r="W81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-434</v>
      </c>
      <c r="X818" s="8" t="s">
        <v>606</v>
      </c>
      <c r="Y818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1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18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18" s="13">
        <f>IF(PLANPRODUCCION[[#This Row],[PIEZAS REAL]]&gt;0,PLANPRODUCCION[[#This Row],[PIEZAS REAL]]/PLANPRODUCCION[[#This Row],[PIEZAS ACTUALIZADO]],)</f>
        <v>1</v>
      </c>
      <c r="AC818" t="b">
        <f>PLANPRODUCCION[[#This Row],[INGRESO PLANEADO]]&lt;PLANPRODUCCION[[#This Row],[COSTO PLANEADO]]</f>
        <v>1</v>
      </c>
      <c r="AD818" s="46" t="s">
        <v>1218</v>
      </c>
      <c r="AF818" t="b">
        <f>IF(COUNTIF(PLANPRODUCCION[[#This Row],[OBSERVACIONES]],"NO APLICA BONO*")&gt;0,TRUE,FALSE)</f>
        <v>0</v>
      </c>
    </row>
    <row r="819" spans="1:32" x14ac:dyDescent="0.25">
      <c r="A819" s="46" t="str">
        <f>UPPER(IF(PLANPRODUCCION[[#This Row],[FECHA]]&lt;=45701,_xlfn.CONCAT(TEXT(B819,"MMM"),"-",IF(ROW(A819)&lt;11,"000"&amp;ROW(A819)-1,IF(ROW(A819)&lt;101,"00"&amp;ROW(A819)-1,IF(ROW(A819)&lt;1001,"0"&amp;ROW(A819)-1,ROW(A819)-1))),"-OLD"),_xlfn.CONCAT(TEXT(B819,"MMM"),"-",IF(ROW(A819)&lt;473,"000"&amp;ROW(A819)-463,IF(ROW(A819)&lt;563,"00"&amp;ROW(A819)-463,IF(ROW(A819)&lt;1001,"0"&amp;ROW(A819)-463,ROW(A819)-463))))))</f>
        <v>ABR-0356</v>
      </c>
      <c r="B819" s="39">
        <v>45756</v>
      </c>
      <c r="C819" s="5">
        <v>4</v>
      </c>
      <c r="D819" s="5">
        <v>6</v>
      </c>
      <c r="E819" t="s">
        <v>110</v>
      </c>
      <c r="F819" s="2">
        <v>0.54166666666666663</v>
      </c>
      <c r="G819" s="2">
        <v>0.66666666666666663</v>
      </c>
      <c r="H819" s="5">
        <v>1608</v>
      </c>
      <c r="I819" t="s">
        <v>1143</v>
      </c>
      <c r="J819" t="s">
        <v>445</v>
      </c>
      <c r="K819" s="5">
        <v>1220</v>
      </c>
      <c r="L819" s="5" t="s">
        <v>57</v>
      </c>
      <c r="M819" s="4">
        <v>1.2</v>
      </c>
      <c r="N819" s="6">
        <f>PLANPRODUCCION[[#This Row],[PIEZAS PLANEADAS]]*PLANPRODUCCION[[#This Row],[PRECIO MAQUILAS]]</f>
        <v>1464</v>
      </c>
      <c r="O819" s="5">
        <v>3</v>
      </c>
      <c r="P819" s="2">
        <v>0.54166666666666663</v>
      </c>
      <c r="Q819" s="2">
        <v>0.66666666666666663</v>
      </c>
      <c r="R819" s="5">
        <v>750</v>
      </c>
      <c r="S819" s="7">
        <f>PLANPRODUCCION[[#This Row],[PRECIO MAQUILAS]]*PLANPRODUCCION[[#This Row],[PIEZAS REAL]]</f>
        <v>900</v>
      </c>
      <c r="T81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915</v>
      </c>
      <c r="U81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930</v>
      </c>
      <c r="V81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697.5</v>
      </c>
      <c r="W81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202.5</v>
      </c>
      <c r="X819" s="8" t="s">
        <v>602</v>
      </c>
      <c r="Y819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1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819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19" s="13">
        <f>IF(PLANPRODUCCION[[#This Row],[PIEZAS REAL]]&gt;0,PLANPRODUCCION[[#This Row],[PIEZAS REAL]]/PLANPRODUCCION[[#This Row],[PIEZAS ACTUALIZADO]],)</f>
        <v>0.81967213114754101</v>
      </c>
      <c r="AC819" t="b">
        <f>PLANPRODUCCION[[#This Row],[INGRESO PLANEADO]]&lt;PLANPRODUCCION[[#This Row],[COSTO PLANEADO]]</f>
        <v>0</v>
      </c>
      <c r="AD819" s="46" t="s">
        <v>1219</v>
      </c>
      <c r="AF819" t="b">
        <f>IF(COUNTIF(PLANPRODUCCION[[#This Row],[OBSERVACIONES]],"NO APLICA BONO*")&gt;0,TRUE,FALSE)</f>
        <v>0</v>
      </c>
    </row>
    <row r="820" spans="1:32" x14ac:dyDescent="0.25">
      <c r="A820" s="46" t="str">
        <f>UPPER(IF(PLANPRODUCCION[[#This Row],[FECHA]]&lt;=45701,_xlfn.CONCAT(TEXT(B820,"MMM"),"-",IF(ROW(A820)&lt;11,"000"&amp;ROW(A820)-1,IF(ROW(A820)&lt;101,"00"&amp;ROW(A820)-1,IF(ROW(A820)&lt;1001,"0"&amp;ROW(A820)-1,ROW(A820)-1))),"-OLD"),_xlfn.CONCAT(TEXT(B820,"MMM"),"-",IF(ROW(A820)&lt;473,"000"&amp;ROW(A820)-463,IF(ROW(A820)&lt;563,"00"&amp;ROW(A820)-463,IF(ROW(A820)&lt;1001,"0"&amp;ROW(A820)-463,ROW(A820)-463))))))</f>
        <v>ABR-0357</v>
      </c>
      <c r="B820" s="39">
        <v>45756</v>
      </c>
      <c r="C820" s="5">
        <v>4</v>
      </c>
      <c r="D820" s="5">
        <v>5</v>
      </c>
      <c r="E820" t="s">
        <v>110</v>
      </c>
      <c r="F820" s="2">
        <v>0.66666666666666663</v>
      </c>
      <c r="G820" s="2">
        <v>0.875</v>
      </c>
      <c r="H820" s="5">
        <v>1630</v>
      </c>
      <c r="I820" t="s">
        <v>1171</v>
      </c>
      <c r="J820" t="s">
        <v>1172</v>
      </c>
      <c r="K820" s="5">
        <v>700</v>
      </c>
      <c r="L820" s="5" t="s">
        <v>57</v>
      </c>
      <c r="M820" s="4">
        <v>4.8499999999999996</v>
      </c>
      <c r="N820" s="6">
        <f>PLANPRODUCCION[[#This Row],[PIEZAS PLANEADAS]]*PLANPRODUCCION[[#This Row],[PRECIO MAQUILAS]]</f>
        <v>3394.9999999999995</v>
      </c>
      <c r="O820" s="5">
        <v>3</v>
      </c>
      <c r="P820" s="2">
        <v>0.66666666666666663</v>
      </c>
      <c r="Q820" s="2">
        <v>0.875</v>
      </c>
      <c r="R820" s="5">
        <v>360</v>
      </c>
      <c r="S820" s="7">
        <f>PLANPRODUCCION[[#This Row],[PRECIO MAQUILAS]]*PLANPRODUCCION[[#This Row],[PIEZAS REAL]]</f>
        <v>1745.9999999999998</v>
      </c>
      <c r="T82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525</v>
      </c>
      <c r="U82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1550</v>
      </c>
      <c r="V82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1162.5</v>
      </c>
      <c r="W82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583.49999999999977</v>
      </c>
      <c r="X820" s="8" t="s">
        <v>602</v>
      </c>
      <c r="Y820" s="11" t="str">
        <f>IF(PLANPRODUCCION[[#This Row],[PERSONAS REAL]]&gt;0,IF(PLANPRODUCCION[[#This Row],[PLANEADO]]="si",IF(PLANPRODUCCION[[#This Row],[PERSONAS PLAN]]=PLANPRODUCCION[[#This Row],[PERSONAS REAL]],"P","Ñ"),"Ñ"),"X")</f>
        <v>Ñ</v>
      </c>
      <c r="Z82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P</v>
      </c>
      <c r="AA820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20" s="13">
        <f>IF(PLANPRODUCCION[[#This Row],[PIEZAS REAL]]&gt;0,PLANPRODUCCION[[#This Row],[PIEZAS REAL]]/PLANPRODUCCION[[#This Row],[PIEZAS ACTUALIZADO]],)</f>
        <v>0.68571428571428572</v>
      </c>
      <c r="AC820" t="b">
        <f>PLANPRODUCCION[[#This Row],[INGRESO PLANEADO]]&lt;PLANPRODUCCION[[#This Row],[COSTO PLANEADO]]</f>
        <v>0</v>
      </c>
      <c r="AD820" s="46" t="s">
        <v>1220</v>
      </c>
      <c r="AF820" t="b">
        <f>IF(COUNTIF(PLANPRODUCCION[[#This Row],[OBSERVACIONES]],"NO APLICA BONO*")&gt;0,TRUE,FALSE)</f>
        <v>0</v>
      </c>
    </row>
    <row r="821" spans="1:32" x14ac:dyDescent="0.25">
      <c r="A821" s="46" t="str">
        <f>UPPER(IF(PLANPRODUCCION[[#This Row],[FECHA]]&lt;=45701,_xlfn.CONCAT(TEXT(B821,"MMM"),"-",IF(ROW(A821)&lt;11,"000"&amp;ROW(A821)-1,IF(ROW(A821)&lt;101,"00"&amp;ROW(A821)-1,IF(ROW(A821)&lt;1001,"0"&amp;ROW(A821)-1,ROW(A821)-1))),"-OLD"),_xlfn.CONCAT(TEXT(B821,"MMM"),"-",IF(ROW(A821)&lt;473,"000"&amp;ROW(A821)-463,IF(ROW(A821)&lt;563,"00"&amp;ROW(A821)-463,IF(ROW(A821)&lt;1001,"0"&amp;ROW(A821)-463,ROW(A821)-463))))))</f>
        <v>ABR-0358</v>
      </c>
      <c r="B821" s="39">
        <v>45757</v>
      </c>
      <c r="C821" s="5">
        <v>4</v>
      </c>
      <c r="D821" s="5">
        <v>0</v>
      </c>
      <c r="E821" t="s">
        <v>54</v>
      </c>
      <c r="F821" s="2">
        <v>0.54166666666666663</v>
      </c>
      <c r="G821" s="2">
        <v>0.875</v>
      </c>
      <c r="H821" s="5">
        <v>1633</v>
      </c>
      <c r="I821" t="s">
        <v>894</v>
      </c>
      <c r="J821" t="s">
        <v>1173</v>
      </c>
      <c r="K821" s="5">
        <v>5000</v>
      </c>
      <c r="L821" s="5" t="s">
        <v>57</v>
      </c>
      <c r="M821" s="4"/>
      <c r="N821" s="6">
        <f>PLANPRODUCCION[[#This Row],[PIEZAS PLANEADAS]]*PLANPRODUCCION[[#This Row],[PRECIO MAQUILAS]]</f>
        <v>0</v>
      </c>
      <c r="O821" s="5">
        <v>4</v>
      </c>
      <c r="P821" s="2">
        <v>0.33333333333333331</v>
      </c>
      <c r="Q821" s="2">
        <v>0.58333333333333337</v>
      </c>
      <c r="R821" s="5">
        <v>5397</v>
      </c>
      <c r="S821" s="7">
        <f>PLANPRODUCCION[[#This Row],[PRECIO MAQUILAS]]*PLANPRODUCCION[[#This Row],[PIEZAS REAL]]</f>
        <v>0</v>
      </c>
      <c r="T82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3750</v>
      </c>
      <c r="U82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1984</v>
      </c>
      <c r="V82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1488</v>
      </c>
      <c r="W82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-1488</v>
      </c>
      <c r="X821" s="8" t="s">
        <v>602</v>
      </c>
      <c r="Y821" s="11" t="str">
        <f>IF(PLANPRODUCCION[[#This Row],[PERSONAS REAL]]&gt;0,IF(PLANPRODUCCION[[#This Row],[PLANEADO]]="si",IF(PLANPRODUCCION[[#This Row],[PERSONAS PLAN]]=PLANPRODUCCION[[#This Row],[PERSONAS REAL]],"P","Ñ"),"Ñ"),"X")</f>
        <v>P</v>
      </c>
      <c r="Z82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Ñ</v>
      </c>
      <c r="AA821" s="11" t="str">
        <f>IF(PLANPRODUCCION[[#This Row],[PIEZAS REAL]]&gt;0,IF(PLANPRODUCCION[[#This Row],[PLANEADO]]="si",IF(PLANPRODUCCION[[#This Row],[PIEZAS PLANEADAS]]=PLANPRODUCCION[[#This Row],[PIEZAS REAL]],"P","Ñ"),"Ñ"),"X")</f>
        <v>Ñ</v>
      </c>
      <c r="AB821" s="13">
        <f>IF(PLANPRODUCCION[[#This Row],[PIEZAS REAL]]&gt;0,PLANPRODUCCION[[#This Row],[PIEZAS REAL]]/PLANPRODUCCION[[#This Row],[PIEZAS ACTUALIZADO]],)</f>
        <v>1.4392</v>
      </c>
      <c r="AC821" t="b">
        <f>PLANPRODUCCION[[#This Row],[INGRESO PLANEADO]]&lt;PLANPRODUCCION[[#This Row],[COSTO PLANEADO]]</f>
        <v>1</v>
      </c>
      <c r="AD821" s="46" t="s">
        <v>1222</v>
      </c>
      <c r="AF821" t="b">
        <f>IF(COUNTIF(PLANPRODUCCION[[#This Row],[OBSERVACIONES]],"NO APLICA BONO*")&gt;0,TRUE,FALSE)</f>
        <v>0</v>
      </c>
    </row>
    <row r="822" spans="1:32" x14ac:dyDescent="0.25">
      <c r="A822" s="46" t="str">
        <f>UPPER(IF(PLANPRODUCCION[[#This Row],[FECHA]]&lt;=45701,_xlfn.CONCAT(TEXT(B822,"MMM"),"-",IF(ROW(A822)&lt;11,"000"&amp;ROW(A822)-1,IF(ROW(A822)&lt;101,"00"&amp;ROW(A822)-1,IF(ROW(A822)&lt;1001,"0"&amp;ROW(A822)-1,ROW(A822)-1))),"-OLD"),_xlfn.CONCAT(TEXT(B822,"MMM"),"-",IF(ROW(A822)&lt;473,"000"&amp;ROW(A822)-463,IF(ROW(A822)&lt;563,"00"&amp;ROW(A822)-463,IF(ROW(A822)&lt;1001,"0"&amp;ROW(A822)-463,ROW(A822)-463))))))</f>
        <v>ABR-0359</v>
      </c>
      <c r="B822" s="39">
        <v>45757</v>
      </c>
      <c r="C822" s="5">
        <v>1</v>
      </c>
      <c r="D822" s="5">
        <v>1</v>
      </c>
      <c r="E822" t="s">
        <v>54</v>
      </c>
      <c r="F822" s="2">
        <v>0.25</v>
      </c>
      <c r="G822" s="2">
        <v>0.66666666666666663</v>
      </c>
      <c r="H822" s="5">
        <v>1608</v>
      </c>
      <c r="I822" t="s">
        <v>1143</v>
      </c>
      <c r="J822" t="s">
        <v>1201</v>
      </c>
      <c r="K822" s="5">
        <v>4000</v>
      </c>
      <c r="L822" s="5" t="s">
        <v>57</v>
      </c>
      <c r="M822" s="4">
        <v>0.1</v>
      </c>
      <c r="N822" s="6">
        <f>PLANPRODUCCION[[#This Row],[PIEZAS PLANEADAS]]*PLANPRODUCCION[[#This Row],[PRECIO MAQUILAS]]</f>
        <v>400</v>
      </c>
      <c r="O822" s="5"/>
      <c r="P822" s="2"/>
      <c r="Q822" s="2"/>
      <c r="R822" s="5"/>
      <c r="S822" s="7">
        <f>PLANPRODUCCION[[#This Row],[PRECIO MAQUILAS]]*PLANPRODUCCION[[#This Row],[PIEZAS REAL]]</f>
        <v>0</v>
      </c>
      <c r="T82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2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2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2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22" s="8"/>
      <c r="Y822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2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22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22" s="13">
        <f>IF(PLANPRODUCCION[[#This Row],[PIEZAS REAL]]&gt;0,PLANPRODUCCION[[#This Row],[PIEZAS REAL]]/PLANPRODUCCION[[#This Row],[PIEZAS ACTUALIZADO]],)</f>
        <v>0</v>
      </c>
      <c r="AC822" t="b">
        <f>PLANPRODUCCION[[#This Row],[INGRESO PLANEADO]]&lt;PLANPRODUCCION[[#This Row],[COSTO PLANEADO]]</f>
        <v>0</v>
      </c>
      <c r="AD822" s="46"/>
      <c r="AF822" t="b">
        <f>IF(COUNTIF(PLANPRODUCCION[[#This Row],[OBSERVACIONES]],"NO APLICA BONO*")&gt;0,TRUE,FALSE)</f>
        <v>0</v>
      </c>
    </row>
    <row r="823" spans="1:32" x14ac:dyDescent="0.25">
      <c r="A823" s="46" t="str">
        <f>UPPER(IF(PLANPRODUCCION[[#This Row],[FECHA]]&lt;=45701,_xlfn.CONCAT(TEXT(B823,"MMM"),"-",IF(ROW(A823)&lt;11,"000"&amp;ROW(A823)-1,IF(ROW(A823)&lt;101,"00"&amp;ROW(A823)-1,IF(ROW(A823)&lt;1001,"0"&amp;ROW(A823)-1,ROW(A823)-1))),"-OLD"),_xlfn.CONCAT(TEXT(B823,"MMM"),"-",IF(ROW(A823)&lt;473,"000"&amp;ROW(A823)-463,IF(ROW(A823)&lt;563,"00"&amp;ROW(A823)-463,IF(ROW(A823)&lt;1001,"0"&amp;ROW(A823)-463,ROW(A823)-463))))))</f>
        <v>ABR-0360</v>
      </c>
      <c r="B823" s="39">
        <v>45757</v>
      </c>
      <c r="C823" s="5">
        <v>1</v>
      </c>
      <c r="D823" s="5">
        <v>2</v>
      </c>
      <c r="E823" t="s">
        <v>54</v>
      </c>
      <c r="F823" s="2">
        <v>0.25</v>
      </c>
      <c r="G823" s="2">
        <v>0.45833333333333331</v>
      </c>
      <c r="H823" s="5">
        <v>1615</v>
      </c>
      <c r="I823" t="s">
        <v>1202</v>
      </c>
      <c r="J823" t="s">
        <v>1203</v>
      </c>
      <c r="K823" s="5">
        <v>5000</v>
      </c>
      <c r="L823" s="5" t="s">
        <v>57</v>
      </c>
      <c r="M823" s="4"/>
      <c r="N823" s="6">
        <f>PLANPRODUCCION[[#This Row],[PIEZAS PLANEADAS]]*PLANPRODUCCION[[#This Row],[PRECIO MAQUILAS]]</f>
        <v>0</v>
      </c>
      <c r="O823" s="5"/>
      <c r="P823" s="2"/>
      <c r="Q823" s="2"/>
      <c r="R823" s="5"/>
      <c r="S823" s="7">
        <f>PLANPRODUCCION[[#This Row],[PRECIO MAQUILAS]]*PLANPRODUCCION[[#This Row],[PIEZAS REAL]]</f>
        <v>0</v>
      </c>
      <c r="T82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2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2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2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23" s="8"/>
      <c r="Y823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2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23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23" s="13">
        <f>IF(PLANPRODUCCION[[#This Row],[PIEZAS REAL]]&gt;0,PLANPRODUCCION[[#This Row],[PIEZAS REAL]]/PLANPRODUCCION[[#This Row],[PIEZAS ACTUALIZADO]],)</f>
        <v>0</v>
      </c>
      <c r="AC823" t="b">
        <f>PLANPRODUCCION[[#This Row],[INGRESO PLANEADO]]&lt;PLANPRODUCCION[[#This Row],[COSTO PLANEADO]]</f>
        <v>0</v>
      </c>
      <c r="AD823" s="46"/>
      <c r="AF823" t="b">
        <f>IF(COUNTIF(PLANPRODUCCION[[#This Row],[OBSERVACIONES]],"NO APLICA BONO*")&gt;0,TRUE,FALSE)</f>
        <v>0</v>
      </c>
    </row>
    <row r="824" spans="1:32" x14ac:dyDescent="0.25">
      <c r="A824" s="46" t="str">
        <f>UPPER(IF(PLANPRODUCCION[[#This Row],[FECHA]]&lt;=45701,_xlfn.CONCAT(TEXT(B824,"MMM"),"-",IF(ROW(A824)&lt;11,"000"&amp;ROW(A824)-1,IF(ROW(A824)&lt;101,"00"&amp;ROW(A824)-1,IF(ROW(A824)&lt;1001,"0"&amp;ROW(A824)-1,ROW(A824)-1))),"-OLD"),_xlfn.CONCAT(TEXT(B824,"MMM"),"-",IF(ROW(A824)&lt;473,"000"&amp;ROW(A824)-463,IF(ROW(A824)&lt;563,"00"&amp;ROW(A824)-463,IF(ROW(A824)&lt;1001,"0"&amp;ROW(A824)-463,ROW(A824)-463))))))</f>
        <v>ABR-0361</v>
      </c>
      <c r="B824" s="39">
        <v>45757</v>
      </c>
      <c r="C824" s="5">
        <v>1</v>
      </c>
      <c r="D824" s="5">
        <v>2</v>
      </c>
      <c r="E824" t="s">
        <v>54</v>
      </c>
      <c r="F824" s="2">
        <v>0.45833333333333331</v>
      </c>
      <c r="G824" s="2">
        <v>0.66666666666666663</v>
      </c>
      <c r="H824" s="5">
        <v>1621</v>
      </c>
      <c r="I824" t="s">
        <v>1204</v>
      </c>
      <c r="J824" t="s">
        <v>1203</v>
      </c>
      <c r="K824" s="5">
        <v>5000</v>
      </c>
      <c r="L824" s="5" t="s">
        <v>57</v>
      </c>
      <c r="M824" s="4"/>
      <c r="N824" s="6">
        <f>PLANPRODUCCION[[#This Row],[PIEZAS PLANEADAS]]*PLANPRODUCCION[[#This Row],[PRECIO MAQUILAS]]</f>
        <v>0</v>
      </c>
      <c r="O824" s="5"/>
      <c r="P824" s="2"/>
      <c r="Q824" s="2"/>
      <c r="R824" s="5"/>
      <c r="S824" s="7">
        <f>PLANPRODUCCION[[#This Row],[PRECIO MAQUILAS]]*PLANPRODUCCION[[#This Row],[PIEZAS REAL]]</f>
        <v>0</v>
      </c>
      <c r="T82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2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2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2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24" s="8"/>
      <c r="Y824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2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24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24" s="13">
        <f>IF(PLANPRODUCCION[[#This Row],[PIEZAS REAL]]&gt;0,PLANPRODUCCION[[#This Row],[PIEZAS REAL]]/PLANPRODUCCION[[#This Row],[PIEZAS ACTUALIZADO]],)</f>
        <v>0</v>
      </c>
      <c r="AC824" t="b">
        <f>PLANPRODUCCION[[#This Row],[INGRESO PLANEADO]]&lt;PLANPRODUCCION[[#This Row],[COSTO PLANEADO]]</f>
        <v>0</v>
      </c>
      <c r="AD824" s="46"/>
      <c r="AF824" t="b">
        <f>IF(COUNTIF(PLANPRODUCCION[[#This Row],[OBSERVACIONES]],"NO APLICA BONO*")&gt;0,TRUE,FALSE)</f>
        <v>0</v>
      </c>
    </row>
    <row r="825" spans="1:32" x14ac:dyDescent="0.25">
      <c r="A825" s="46" t="str">
        <f>UPPER(IF(PLANPRODUCCION[[#This Row],[FECHA]]&lt;=45701,_xlfn.CONCAT(TEXT(B825,"MMM"),"-",IF(ROW(A825)&lt;11,"000"&amp;ROW(A825)-1,IF(ROW(A825)&lt;101,"00"&amp;ROW(A825)-1,IF(ROW(A825)&lt;1001,"0"&amp;ROW(A825)-1,ROW(A825)-1))),"-OLD"),_xlfn.CONCAT(TEXT(B825,"MMM"),"-",IF(ROW(A825)&lt;473,"000"&amp;ROW(A825)-463,IF(ROW(A825)&lt;563,"00"&amp;ROW(A825)-463,IF(ROW(A825)&lt;1001,"0"&amp;ROW(A825)-463,ROW(A825)-463))))))</f>
        <v>ABR-0362</v>
      </c>
      <c r="B825" s="39">
        <v>45757</v>
      </c>
      <c r="C825" s="5">
        <v>3</v>
      </c>
      <c r="D825" s="5">
        <v>3</v>
      </c>
      <c r="E825" t="s">
        <v>54</v>
      </c>
      <c r="F825" s="2">
        <v>0.25</v>
      </c>
      <c r="G825" s="2">
        <v>0.66666666666666663</v>
      </c>
      <c r="H825" s="5">
        <v>1630</v>
      </c>
      <c r="I825" t="s">
        <v>1171</v>
      </c>
      <c r="J825" t="s">
        <v>1172</v>
      </c>
      <c r="K825" s="5">
        <v>1000</v>
      </c>
      <c r="L825" s="5" t="s">
        <v>57</v>
      </c>
      <c r="M825" s="4">
        <v>4.8499999999999996</v>
      </c>
      <c r="N825" s="6">
        <f>PLANPRODUCCION[[#This Row],[PIEZAS PLANEADAS]]*PLANPRODUCCION[[#This Row],[PRECIO MAQUILAS]]</f>
        <v>4850</v>
      </c>
      <c r="O825" s="5"/>
      <c r="P825" s="2"/>
      <c r="Q825" s="2"/>
      <c r="R825" s="5"/>
      <c r="S825" s="7">
        <f>PLANPRODUCCION[[#This Row],[PRECIO MAQUILAS]]*PLANPRODUCCION[[#This Row],[PIEZAS REAL]]</f>
        <v>0</v>
      </c>
      <c r="T82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2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2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2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25" s="8"/>
      <c r="Y825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2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25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25" s="13">
        <f>IF(PLANPRODUCCION[[#This Row],[PIEZAS REAL]]&gt;0,PLANPRODUCCION[[#This Row],[PIEZAS REAL]]/PLANPRODUCCION[[#This Row],[PIEZAS ACTUALIZADO]],)</f>
        <v>0</v>
      </c>
      <c r="AC825" t="b">
        <f>PLANPRODUCCION[[#This Row],[INGRESO PLANEADO]]&lt;PLANPRODUCCION[[#This Row],[COSTO PLANEADO]]</f>
        <v>0</v>
      </c>
      <c r="AD825" s="46"/>
      <c r="AF825" t="b">
        <f>IF(COUNTIF(PLANPRODUCCION[[#This Row],[OBSERVACIONES]],"NO APLICA BONO*")&gt;0,TRUE,FALSE)</f>
        <v>0</v>
      </c>
    </row>
    <row r="826" spans="1:32" x14ac:dyDescent="0.25">
      <c r="A826" s="46" t="str">
        <f>UPPER(IF(PLANPRODUCCION[[#This Row],[FECHA]]&lt;=45701,_xlfn.CONCAT(TEXT(B826,"MMM"),"-",IF(ROW(A826)&lt;11,"000"&amp;ROW(A826)-1,IF(ROW(A826)&lt;101,"00"&amp;ROW(A826)-1,IF(ROW(A826)&lt;1001,"0"&amp;ROW(A826)-1,ROW(A826)-1))),"-OLD"),_xlfn.CONCAT(TEXT(B826,"MMM"),"-",IF(ROW(A826)&lt;473,"000"&amp;ROW(A826)-463,IF(ROW(A826)&lt;563,"00"&amp;ROW(A826)-463,IF(ROW(A826)&lt;1001,"0"&amp;ROW(A826)-463,ROW(A826)-463))))))</f>
        <v>ABR-0363</v>
      </c>
      <c r="B826" s="39">
        <v>45757</v>
      </c>
      <c r="C826" s="5">
        <v>3</v>
      </c>
      <c r="D826" s="5">
        <v>4</v>
      </c>
      <c r="E826" t="s">
        <v>54</v>
      </c>
      <c r="F826" s="2">
        <v>0.25</v>
      </c>
      <c r="G826" s="2">
        <v>0.66666666666666663</v>
      </c>
      <c r="H826" s="5">
        <v>1630</v>
      </c>
      <c r="I826" t="s">
        <v>1171</v>
      </c>
      <c r="J826" t="s">
        <v>1172</v>
      </c>
      <c r="K826" s="5">
        <v>1000</v>
      </c>
      <c r="L826" s="5" t="s">
        <v>57</v>
      </c>
      <c r="M826" s="4">
        <v>4.8499999999999996</v>
      </c>
      <c r="N826" s="6">
        <f>PLANPRODUCCION[[#This Row],[PIEZAS PLANEADAS]]*PLANPRODUCCION[[#This Row],[PRECIO MAQUILAS]]</f>
        <v>4850</v>
      </c>
      <c r="O826" s="5"/>
      <c r="P826" s="2"/>
      <c r="Q826" s="2"/>
      <c r="R826" s="5"/>
      <c r="S826" s="7">
        <f>PLANPRODUCCION[[#This Row],[PRECIO MAQUILAS]]*PLANPRODUCCION[[#This Row],[PIEZAS REAL]]</f>
        <v>0</v>
      </c>
      <c r="T82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2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2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2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26" s="8"/>
      <c r="Y826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2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26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26" s="13">
        <f>IF(PLANPRODUCCION[[#This Row],[PIEZAS REAL]]&gt;0,PLANPRODUCCION[[#This Row],[PIEZAS REAL]]/PLANPRODUCCION[[#This Row],[PIEZAS ACTUALIZADO]],)</f>
        <v>0</v>
      </c>
      <c r="AC826" t="b">
        <f>PLANPRODUCCION[[#This Row],[INGRESO PLANEADO]]&lt;PLANPRODUCCION[[#This Row],[COSTO PLANEADO]]</f>
        <v>0</v>
      </c>
      <c r="AD826" s="46"/>
      <c r="AF826" t="b">
        <f>IF(COUNTIF(PLANPRODUCCION[[#This Row],[OBSERVACIONES]],"NO APLICA BONO*")&gt;0,TRUE,FALSE)</f>
        <v>0</v>
      </c>
    </row>
    <row r="827" spans="1:32" x14ac:dyDescent="0.25">
      <c r="A827" s="46" t="str">
        <f>UPPER(IF(PLANPRODUCCION[[#This Row],[FECHA]]&lt;=45701,_xlfn.CONCAT(TEXT(B827,"MMM"),"-",IF(ROW(A827)&lt;11,"000"&amp;ROW(A827)-1,IF(ROW(A827)&lt;101,"00"&amp;ROW(A827)-1,IF(ROW(A827)&lt;1001,"0"&amp;ROW(A827)-1,ROW(A827)-1))),"-OLD"),_xlfn.CONCAT(TEXT(B827,"MMM"),"-",IF(ROW(A827)&lt;473,"000"&amp;ROW(A827)-463,IF(ROW(A827)&lt;563,"00"&amp;ROW(A827)-463,IF(ROW(A827)&lt;1001,"0"&amp;ROW(A827)-463,ROW(A827)-463))))))</f>
        <v>ABR-0364</v>
      </c>
      <c r="B827" s="39">
        <v>45757</v>
      </c>
      <c r="C827" s="5">
        <v>2</v>
      </c>
      <c r="D827" s="5">
        <v>5</v>
      </c>
      <c r="E827" t="s">
        <v>54</v>
      </c>
      <c r="F827" s="2">
        <v>0.25</v>
      </c>
      <c r="G827" s="2">
        <v>0.66666666666666663</v>
      </c>
      <c r="H827" s="5">
        <v>1630</v>
      </c>
      <c r="I827" t="s">
        <v>1171</v>
      </c>
      <c r="J827" t="s">
        <v>1172</v>
      </c>
      <c r="K827" s="5">
        <v>670</v>
      </c>
      <c r="L827" s="5" t="s">
        <v>57</v>
      </c>
      <c r="M827" s="4">
        <v>4.8499999999999996</v>
      </c>
      <c r="N827" s="6">
        <f>PLANPRODUCCION[[#This Row],[PIEZAS PLANEADAS]]*PLANPRODUCCION[[#This Row],[PRECIO MAQUILAS]]</f>
        <v>3249.4999999999995</v>
      </c>
      <c r="O827" s="5"/>
      <c r="P827" s="2"/>
      <c r="Q827" s="2"/>
      <c r="R827" s="5"/>
      <c r="S827" s="7">
        <f>PLANPRODUCCION[[#This Row],[PRECIO MAQUILAS]]*PLANPRODUCCION[[#This Row],[PIEZAS REAL]]</f>
        <v>0</v>
      </c>
      <c r="T82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2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2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2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27" s="8"/>
      <c r="Y827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2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27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27" s="13">
        <f>IF(PLANPRODUCCION[[#This Row],[PIEZAS REAL]]&gt;0,PLANPRODUCCION[[#This Row],[PIEZAS REAL]]/PLANPRODUCCION[[#This Row],[PIEZAS ACTUALIZADO]],)</f>
        <v>0</v>
      </c>
      <c r="AC827" t="b">
        <f>PLANPRODUCCION[[#This Row],[INGRESO PLANEADO]]&lt;PLANPRODUCCION[[#This Row],[COSTO PLANEADO]]</f>
        <v>0</v>
      </c>
      <c r="AD827" s="46"/>
      <c r="AF827" t="b">
        <f>IF(COUNTIF(PLANPRODUCCION[[#This Row],[OBSERVACIONES]],"NO APLICA BONO*")&gt;0,TRUE,FALSE)</f>
        <v>0</v>
      </c>
    </row>
    <row r="828" spans="1:32" x14ac:dyDescent="0.25">
      <c r="A828" s="46" t="str">
        <f>UPPER(IF(PLANPRODUCCION[[#This Row],[FECHA]]&lt;=45701,_xlfn.CONCAT(TEXT(B828,"MMM"),"-",IF(ROW(A828)&lt;11,"000"&amp;ROW(A828)-1,IF(ROW(A828)&lt;101,"00"&amp;ROW(A828)-1,IF(ROW(A828)&lt;1001,"0"&amp;ROW(A828)-1,ROW(A828)-1))),"-OLD"),_xlfn.CONCAT(TEXT(B828,"MMM"),"-",IF(ROW(A828)&lt;473,"000"&amp;ROW(A828)-463,IF(ROW(A828)&lt;563,"00"&amp;ROW(A828)-463,IF(ROW(A828)&lt;1001,"0"&amp;ROW(A828)-463,ROW(A828)-463))))))</f>
        <v>ABR-0365</v>
      </c>
      <c r="B828" s="39">
        <v>45757</v>
      </c>
      <c r="C828" s="5">
        <v>2</v>
      </c>
      <c r="D828" s="5">
        <v>6</v>
      </c>
      <c r="E828" t="s">
        <v>110</v>
      </c>
      <c r="F828" s="2">
        <v>0.29166666666666669</v>
      </c>
      <c r="G828" s="2">
        <v>0.45833333333333331</v>
      </c>
      <c r="H828" s="5">
        <v>1634</v>
      </c>
      <c r="I828" t="s">
        <v>1199</v>
      </c>
      <c r="J828" t="s">
        <v>1200</v>
      </c>
      <c r="K828" s="5">
        <v>1</v>
      </c>
      <c r="L828" s="5" t="s">
        <v>57</v>
      </c>
      <c r="M828" s="4">
        <v>3500</v>
      </c>
      <c r="N828" s="6">
        <f>PLANPRODUCCION[[#This Row],[PIEZAS PLANEADAS]]*PLANPRODUCCION[[#This Row],[PRECIO MAQUILAS]]</f>
        <v>3500</v>
      </c>
      <c r="O828" s="5"/>
      <c r="P828" s="2"/>
      <c r="Q828" s="2"/>
      <c r="R828" s="5"/>
      <c r="S828" s="7">
        <f>PLANPRODUCCION[[#This Row],[PRECIO MAQUILAS]]*PLANPRODUCCION[[#This Row],[PIEZAS REAL]]</f>
        <v>0</v>
      </c>
      <c r="T828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28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28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28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28" s="8"/>
      <c r="Y828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28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28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28" s="13">
        <f>IF(PLANPRODUCCION[[#This Row],[PIEZAS REAL]]&gt;0,PLANPRODUCCION[[#This Row],[PIEZAS REAL]]/PLANPRODUCCION[[#This Row],[PIEZAS ACTUALIZADO]],)</f>
        <v>0</v>
      </c>
      <c r="AC828" t="b">
        <f>PLANPRODUCCION[[#This Row],[INGRESO PLANEADO]]&lt;PLANPRODUCCION[[#This Row],[COSTO PLANEADO]]</f>
        <v>0</v>
      </c>
      <c r="AD828" s="46"/>
      <c r="AF828" t="b">
        <f>IF(COUNTIF(PLANPRODUCCION[[#This Row],[OBSERVACIONES]],"NO APLICA BONO*")&gt;0,TRUE,FALSE)</f>
        <v>0</v>
      </c>
    </row>
    <row r="829" spans="1:32" x14ac:dyDescent="0.25">
      <c r="A829" s="46" t="str">
        <f>UPPER(IF(PLANPRODUCCION[[#This Row],[FECHA]]&lt;=45701,_xlfn.CONCAT(TEXT(B829,"MMM"),"-",IF(ROW(A829)&lt;11,"000"&amp;ROW(A829)-1,IF(ROW(A829)&lt;101,"00"&amp;ROW(A829)-1,IF(ROW(A829)&lt;1001,"0"&amp;ROW(A829)-1,ROW(A829)-1))),"-OLD"),_xlfn.CONCAT(TEXT(B829,"MMM"),"-",IF(ROW(A829)&lt;473,"000"&amp;ROW(A829)-463,IF(ROW(A829)&lt;563,"00"&amp;ROW(A829)-463,IF(ROW(A829)&lt;1001,"0"&amp;ROW(A829)-463,ROW(A829)-463))))))</f>
        <v>ABR-0366</v>
      </c>
      <c r="B829" s="39">
        <v>45757</v>
      </c>
      <c r="C829" s="5">
        <v>2</v>
      </c>
      <c r="D829" s="5">
        <v>6</v>
      </c>
      <c r="E829" t="s">
        <v>110</v>
      </c>
      <c r="F829" s="2">
        <v>0.45833333333333331</v>
      </c>
      <c r="G829" s="2">
        <v>0.79166666666666663</v>
      </c>
      <c r="H829" s="5">
        <v>1630</v>
      </c>
      <c r="I829" t="s">
        <v>1171</v>
      </c>
      <c r="J829" t="s">
        <v>1172</v>
      </c>
      <c r="K829" s="5">
        <v>670</v>
      </c>
      <c r="L829" s="5" t="s">
        <v>57</v>
      </c>
      <c r="M829" s="4">
        <v>4.8499999999999996</v>
      </c>
      <c r="N829" s="6">
        <f>PLANPRODUCCION[[#This Row],[PIEZAS PLANEADAS]]*PLANPRODUCCION[[#This Row],[PRECIO MAQUILAS]]</f>
        <v>3249.4999999999995</v>
      </c>
      <c r="O829" s="5"/>
      <c r="P829" s="2"/>
      <c r="Q829" s="2"/>
      <c r="R829" s="5"/>
      <c r="S829" s="7">
        <f>PLANPRODUCCION[[#This Row],[PRECIO MAQUILAS]]*PLANPRODUCCION[[#This Row],[PIEZAS REAL]]</f>
        <v>0</v>
      </c>
      <c r="T829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29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29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29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29" s="8"/>
      <c r="Y829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29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29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29" s="13">
        <f>IF(PLANPRODUCCION[[#This Row],[PIEZAS REAL]]&gt;0,PLANPRODUCCION[[#This Row],[PIEZAS REAL]]/PLANPRODUCCION[[#This Row],[PIEZAS ACTUALIZADO]],)</f>
        <v>0</v>
      </c>
      <c r="AC829" t="b">
        <f>PLANPRODUCCION[[#This Row],[INGRESO PLANEADO]]&lt;PLANPRODUCCION[[#This Row],[COSTO PLANEADO]]</f>
        <v>0</v>
      </c>
      <c r="AD829" s="46"/>
      <c r="AF829" t="b">
        <f>IF(COUNTIF(PLANPRODUCCION[[#This Row],[OBSERVACIONES]],"NO APLICA BONO*")&gt;0,TRUE,FALSE)</f>
        <v>0</v>
      </c>
    </row>
    <row r="830" spans="1:32" x14ac:dyDescent="0.25">
      <c r="A830" s="46" t="str">
        <f>UPPER(IF(PLANPRODUCCION[[#This Row],[FECHA]]&lt;=45701,_xlfn.CONCAT(TEXT(B830,"MMM"),"-",IF(ROW(A830)&lt;11,"000"&amp;ROW(A830)-1,IF(ROW(A830)&lt;101,"00"&amp;ROW(A830)-1,IF(ROW(A830)&lt;1001,"0"&amp;ROW(A830)-1,ROW(A830)-1))),"-OLD"),_xlfn.CONCAT(TEXT(B830,"MMM"),"-",IF(ROW(A830)&lt;473,"000"&amp;ROW(A830)-463,IF(ROW(A830)&lt;563,"00"&amp;ROW(A830)-463,IF(ROW(A830)&lt;1001,"0"&amp;ROW(A830)-463,ROW(A830)-463))))))</f>
        <v>ABR-0367</v>
      </c>
      <c r="B830" s="39">
        <v>45757</v>
      </c>
      <c r="C830" s="5">
        <v>1</v>
      </c>
      <c r="D830" s="5">
        <v>7</v>
      </c>
      <c r="E830" t="s">
        <v>110</v>
      </c>
      <c r="F830" s="2">
        <v>0.54166666666666663</v>
      </c>
      <c r="G830" s="2">
        <v>0.875</v>
      </c>
      <c r="H830" s="5">
        <v>1630</v>
      </c>
      <c r="I830" t="s">
        <v>1171</v>
      </c>
      <c r="J830" t="s">
        <v>1172</v>
      </c>
      <c r="K830" s="5">
        <v>335</v>
      </c>
      <c r="L830" s="5" t="s">
        <v>57</v>
      </c>
      <c r="M830" s="4">
        <v>4.8499999999999996</v>
      </c>
      <c r="N830" s="6">
        <f>PLANPRODUCCION[[#This Row],[PIEZAS PLANEADAS]]*PLANPRODUCCION[[#This Row],[PRECIO MAQUILAS]]</f>
        <v>1624.7499999999998</v>
      </c>
      <c r="O830" s="5"/>
      <c r="P830" s="2"/>
      <c r="Q830" s="2"/>
      <c r="R830" s="5"/>
      <c r="S830" s="7">
        <f>PLANPRODUCCION[[#This Row],[PRECIO MAQUILAS]]*PLANPRODUCCION[[#This Row],[PIEZAS REAL]]</f>
        <v>0</v>
      </c>
      <c r="T830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30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30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30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30" s="8"/>
      <c r="Y830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30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30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30" s="13">
        <f>IF(PLANPRODUCCION[[#This Row],[PIEZAS REAL]]&gt;0,PLANPRODUCCION[[#This Row],[PIEZAS REAL]]/PLANPRODUCCION[[#This Row],[PIEZAS ACTUALIZADO]],)</f>
        <v>0</v>
      </c>
      <c r="AC830" t="b">
        <f>PLANPRODUCCION[[#This Row],[INGRESO PLANEADO]]&lt;PLANPRODUCCION[[#This Row],[COSTO PLANEADO]]</f>
        <v>0</v>
      </c>
      <c r="AD830" s="46"/>
      <c r="AF830" t="b">
        <f>IF(COUNTIF(PLANPRODUCCION[[#This Row],[OBSERVACIONES]],"NO APLICA BONO*")&gt;0,TRUE,FALSE)</f>
        <v>0</v>
      </c>
    </row>
    <row r="831" spans="1:32" x14ac:dyDescent="0.25">
      <c r="A831" s="46" t="str">
        <f>UPPER(IF(PLANPRODUCCION[[#This Row],[FECHA]]&lt;=45701,_xlfn.CONCAT(TEXT(B831,"MMM"),"-",IF(ROW(A831)&lt;11,"000"&amp;ROW(A831)-1,IF(ROW(A831)&lt;101,"00"&amp;ROW(A831)-1,IF(ROW(A831)&lt;1001,"0"&amp;ROW(A831)-1,ROW(A831)-1))),"-OLD"),_xlfn.CONCAT(TEXT(B831,"MMM"),"-",IF(ROW(A831)&lt;473,"000"&amp;ROW(A831)-463,IF(ROW(A831)&lt;563,"00"&amp;ROW(A831)-463,IF(ROW(A831)&lt;1001,"0"&amp;ROW(A831)-463,ROW(A831)-463))))))</f>
        <v>ABR-0368</v>
      </c>
      <c r="B831" s="39">
        <v>45758</v>
      </c>
      <c r="C831" s="5">
        <v>3</v>
      </c>
      <c r="D831" s="5">
        <v>0</v>
      </c>
      <c r="E831" t="s">
        <v>54</v>
      </c>
      <c r="F831" s="2">
        <v>0.33333333333333331</v>
      </c>
      <c r="G831" s="2">
        <v>0.66666666666666663</v>
      </c>
      <c r="H831" s="5">
        <v>1633</v>
      </c>
      <c r="I831" t="s">
        <v>894</v>
      </c>
      <c r="J831" t="s">
        <v>1173</v>
      </c>
      <c r="K831" s="5">
        <v>3750</v>
      </c>
      <c r="L831" s="5" t="s">
        <v>57</v>
      </c>
      <c r="M831" s="4"/>
      <c r="N831" s="6">
        <f>PLANPRODUCCION[[#This Row],[PIEZAS PLANEADAS]]*PLANPRODUCCION[[#This Row],[PRECIO MAQUILAS]]</f>
        <v>0</v>
      </c>
      <c r="O831" s="5"/>
      <c r="P831" s="2"/>
      <c r="Q831" s="2"/>
      <c r="R831" s="5"/>
      <c r="S831" s="7">
        <f>PLANPRODUCCION[[#This Row],[PRECIO MAQUILAS]]*PLANPRODUCCION[[#This Row],[PIEZAS REAL]]</f>
        <v>0</v>
      </c>
      <c r="T831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31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31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31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31" s="8"/>
      <c r="Y831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31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31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31" s="13">
        <f>IF(PLANPRODUCCION[[#This Row],[PIEZAS REAL]]&gt;0,PLANPRODUCCION[[#This Row],[PIEZAS REAL]]/PLANPRODUCCION[[#This Row],[PIEZAS ACTUALIZADO]],)</f>
        <v>0</v>
      </c>
      <c r="AC831" t="b">
        <f>PLANPRODUCCION[[#This Row],[INGRESO PLANEADO]]&lt;PLANPRODUCCION[[#This Row],[COSTO PLANEADO]]</f>
        <v>0</v>
      </c>
      <c r="AD831" s="46"/>
      <c r="AF831" t="b">
        <f>IF(COUNTIF(PLANPRODUCCION[[#This Row],[OBSERVACIONES]],"NO APLICA BONO*")&gt;0,TRUE,FALSE)</f>
        <v>0</v>
      </c>
    </row>
    <row r="832" spans="1:32" x14ac:dyDescent="0.25">
      <c r="A832" s="46" t="str">
        <f>UPPER(IF(PLANPRODUCCION[[#This Row],[FECHA]]&lt;=45701,_xlfn.CONCAT(TEXT(B832,"MMM"),"-",IF(ROW(A832)&lt;11,"000"&amp;ROW(A832)-1,IF(ROW(A832)&lt;101,"00"&amp;ROW(A832)-1,IF(ROW(A832)&lt;1001,"0"&amp;ROW(A832)-1,ROW(A832)-1))),"-OLD"),_xlfn.CONCAT(TEXT(B832,"MMM"),"-",IF(ROW(A832)&lt;473,"000"&amp;ROW(A832)-463,IF(ROW(A832)&lt;563,"00"&amp;ROW(A832)-463,IF(ROW(A832)&lt;1001,"0"&amp;ROW(A832)-463,ROW(A832)-463))))))</f>
        <v>ABR-0369</v>
      </c>
      <c r="B832" s="39">
        <v>45758</v>
      </c>
      <c r="C832" s="5">
        <v>16</v>
      </c>
      <c r="D832" s="5">
        <v>1</v>
      </c>
      <c r="E832" t="s">
        <v>54</v>
      </c>
      <c r="F832" s="2">
        <v>0.25</v>
      </c>
      <c r="G832" s="2">
        <v>0.375</v>
      </c>
      <c r="H832" s="5">
        <v>1637</v>
      </c>
      <c r="I832" t="s">
        <v>1174</v>
      </c>
      <c r="J832" t="s">
        <v>1175</v>
      </c>
      <c r="K832" s="5">
        <v>1920</v>
      </c>
      <c r="L832" s="5" t="s">
        <v>83</v>
      </c>
      <c r="M832" s="4">
        <v>4</v>
      </c>
      <c r="N832" s="6">
        <f>PLANPRODUCCION[[#This Row],[PIEZAS PLANEADAS]]*PLANPRODUCCION[[#This Row],[PRECIO MAQUILAS]]</f>
        <v>7680</v>
      </c>
      <c r="O832" s="5"/>
      <c r="P832" s="2"/>
      <c r="Q832" s="2"/>
      <c r="R832" s="5"/>
      <c r="S832" s="7">
        <f>PLANPRODUCCION[[#This Row],[PRECIO MAQUILAS]]*PLANPRODUCCION[[#This Row],[PIEZAS REAL]]</f>
        <v>0</v>
      </c>
      <c r="T832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32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32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32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32" s="8"/>
      <c r="Y832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32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32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32" s="13">
        <f>IF(PLANPRODUCCION[[#This Row],[PIEZAS REAL]]&gt;0,PLANPRODUCCION[[#This Row],[PIEZAS REAL]]/PLANPRODUCCION[[#This Row],[PIEZAS ACTUALIZADO]],)</f>
        <v>0</v>
      </c>
      <c r="AC832" t="b">
        <f>PLANPRODUCCION[[#This Row],[INGRESO PLANEADO]]&lt;PLANPRODUCCION[[#This Row],[COSTO PLANEADO]]</f>
        <v>0</v>
      </c>
      <c r="AD832" s="46"/>
      <c r="AF832" t="b">
        <f>IF(COUNTIF(PLANPRODUCCION[[#This Row],[OBSERVACIONES]],"NO APLICA BONO*")&gt;0,TRUE,FALSE)</f>
        <v>0</v>
      </c>
    </row>
    <row r="833" spans="1:32" x14ac:dyDescent="0.25">
      <c r="A833" s="46" t="str">
        <f>UPPER(IF(PLANPRODUCCION[[#This Row],[FECHA]]&lt;=45701,_xlfn.CONCAT(TEXT(B833,"MMM"),"-",IF(ROW(A833)&lt;11,"000"&amp;ROW(A833)-1,IF(ROW(A833)&lt;101,"00"&amp;ROW(A833)-1,IF(ROW(A833)&lt;1001,"0"&amp;ROW(A833)-1,ROW(A833)-1))),"-OLD"),_xlfn.CONCAT(TEXT(B833,"MMM"),"-",IF(ROW(A833)&lt;473,"000"&amp;ROW(A833)-463,IF(ROW(A833)&lt;563,"00"&amp;ROW(A833)-463,IF(ROW(A833)&lt;1001,"0"&amp;ROW(A833)-463,ROW(A833)-463))))))</f>
        <v>ABR-0370</v>
      </c>
      <c r="B833" s="39">
        <v>45758</v>
      </c>
      <c r="C833" s="5">
        <v>6</v>
      </c>
      <c r="D833" s="5" t="s">
        <v>666</v>
      </c>
      <c r="E833" t="s">
        <v>54</v>
      </c>
      <c r="F833" s="2">
        <v>0.375</v>
      </c>
      <c r="G833" s="2">
        <v>0.66666666666666663</v>
      </c>
      <c r="H833" s="5">
        <v>1620</v>
      </c>
      <c r="I833" t="s">
        <v>1223</v>
      </c>
      <c r="J833" t="s">
        <v>441</v>
      </c>
      <c r="K833" s="5">
        <v>252</v>
      </c>
      <c r="L833" s="5" t="s">
        <v>283</v>
      </c>
      <c r="M833" s="4">
        <v>15</v>
      </c>
      <c r="N833" s="6">
        <f>PLANPRODUCCION[[#This Row],[PIEZAS PLANEADAS]]*PLANPRODUCCION[[#This Row],[PRECIO MAQUILAS]]</f>
        <v>3780</v>
      </c>
      <c r="O833" s="5"/>
      <c r="P833" s="2"/>
      <c r="Q833" s="2"/>
      <c r="R833" s="5"/>
      <c r="S833" s="7">
        <f>PLANPRODUCCION[[#This Row],[PRECIO MAQUILAS]]*PLANPRODUCCION[[#This Row],[PIEZAS REAL]]</f>
        <v>0</v>
      </c>
      <c r="T833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33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33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33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33" s="8"/>
      <c r="Y833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33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33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33" s="13">
        <f>IF(PLANPRODUCCION[[#This Row],[PIEZAS REAL]]&gt;0,PLANPRODUCCION[[#This Row],[PIEZAS REAL]]/PLANPRODUCCION[[#This Row],[PIEZAS ACTUALIZADO]],)</f>
        <v>0</v>
      </c>
      <c r="AC833" t="b">
        <f>PLANPRODUCCION[[#This Row],[INGRESO PLANEADO]]&lt;PLANPRODUCCION[[#This Row],[COSTO PLANEADO]]</f>
        <v>0</v>
      </c>
      <c r="AD833" s="46"/>
      <c r="AF833" t="b">
        <f>IF(COUNTIF(PLANPRODUCCION[[#This Row],[OBSERVACIONES]],"NO APLICA BONO*")&gt;0,TRUE,FALSE)</f>
        <v>0</v>
      </c>
    </row>
    <row r="834" spans="1:32" x14ac:dyDescent="0.25">
      <c r="A834" s="46" t="str">
        <f>UPPER(IF(PLANPRODUCCION[[#This Row],[FECHA]]&lt;=45701,_xlfn.CONCAT(TEXT(B834,"MMM"),"-",IF(ROW(A834)&lt;11,"000"&amp;ROW(A834)-1,IF(ROW(A834)&lt;101,"00"&amp;ROW(A834)-1,IF(ROW(A834)&lt;1001,"0"&amp;ROW(A834)-1,ROW(A834)-1))),"-OLD"),_xlfn.CONCAT(TEXT(B834,"MMM"),"-",IF(ROW(A834)&lt;473,"000"&amp;ROW(A834)-463,IF(ROW(A834)&lt;563,"00"&amp;ROW(A834)-463,IF(ROW(A834)&lt;1001,"0"&amp;ROW(A834)-463,ROW(A834)-463))))))</f>
        <v>ABR-0371</v>
      </c>
      <c r="B834" s="39">
        <v>45758</v>
      </c>
      <c r="C834" s="5">
        <v>1</v>
      </c>
      <c r="D834" s="5">
        <v>1</v>
      </c>
      <c r="E834" t="s">
        <v>54</v>
      </c>
      <c r="F834" s="2">
        <v>0.375</v>
      </c>
      <c r="G834" s="2">
        <v>0.66666666666666663</v>
      </c>
      <c r="H834" s="5">
        <v>1620</v>
      </c>
      <c r="I834" t="s">
        <v>1223</v>
      </c>
      <c r="J834" t="s">
        <v>1224</v>
      </c>
      <c r="K834" s="5">
        <v>1008</v>
      </c>
      <c r="L834" s="5" t="s">
        <v>57</v>
      </c>
      <c r="M834" s="4">
        <v>0.25</v>
      </c>
      <c r="N834" s="6">
        <f>PLANPRODUCCION[[#This Row],[PIEZAS PLANEADAS]]*PLANPRODUCCION[[#This Row],[PRECIO MAQUILAS]]</f>
        <v>252</v>
      </c>
      <c r="O834" s="5"/>
      <c r="P834" s="2"/>
      <c r="Q834" s="2"/>
      <c r="R834" s="5"/>
      <c r="S834" s="7">
        <f>PLANPRODUCCION[[#This Row],[PRECIO MAQUILAS]]*PLANPRODUCCION[[#This Row],[PIEZAS REAL]]</f>
        <v>0</v>
      </c>
      <c r="T834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34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34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34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34" s="8"/>
      <c r="Y834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34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34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34" s="13">
        <f>IF(PLANPRODUCCION[[#This Row],[PIEZAS REAL]]&gt;0,PLANPRODUCCION[[#This Row],[PIEZAS REAL]]/PLANPRODUCCION[[#This Row],[PIEZAS ACTUALIZADO]],)</f>
        <v>0</v>
      </c>
      <c r="AC834" t="b">
        <f>PLANPRODUCCION[[#This Row],[INGRESO PLANEADO]]&lt;PLANPRODUCCION[[#This Row],[COSTO PLANEADO]]</f>
        <v>0</v>
      </c>
      <c r="AD834" s="46"/>
      <c r="AF834" t="b">
        <f>IF(COUNTIF(PLANPRODUCCION[[#This Row],[OBSERVACIONES]],"NO APLICA BONO*")&gt;0,TRUE,FALSE)</f>
        <v>0</v>
      </c>
    </row>
    <row r="835" spans="1:32" x14ac:dyDescent="0.25">
      <c r="A835" s="46" t="str">
        <f>UPPER(IF(PLANPRODUCCION[[#This Row],[FECHA]]&lt;=45701,_xlfn.CONCAT(TEXT(B835,"MMM"),"-",IF(ROW(A835)&lt;11,"000"&amp;ROW(A835)-1,IF(ROW(A835)&lt;101,"00"&amp;ROW(A835)-1,IF(ROW(A835)&lt;1001,"0"&amp;ROW(A835)-1,ROW(A835)-1))),"-OLD"),_xlfn.CONCAT(TEXT(B835,"MMM"),"-",IF(ROW(A835)&lt;473,"000"&amp;ROW(A835)-463,IF(ROW(A835)&lt;563,"00"&amp;ROW(A835)-463,IF(ROW(A835)&lt;1001,"0"&amp;ROW(A835)-463,ROW(A835)-463))))))</f>
        <v>ABR-0372</v>
      </c>
      <c r="B835" s="39">
        <v>45758</v>
      </c>
      <c r="C835" s="5">
        <v>2</v>
      </c>
      <c r="D835" s="5">
        <v>2</v>
      </c>
      <c r="E835" t="s">
        <v>54</v>
      </c>
      <c r="F835" s="2">
        <v>0.375</v>
      </c>
      <c r="G835" s="2">
        <v>0.66666666666666663</v>
      </c>
      <c r="H835" s="5">
        <v>1630</v>
      </c>
      <c r="I835" t="s">
        <v>1171</v>
      </c>
      <c r="J835" t="s">
        <v>1225</v>
      </c>
      <c r="K835" s="5">
        <v>1100</v>
      </c>
      <c r="L835" s="5" t="s">
        <v>57</v>
      </c>
      <c r="M835" s="4"/>
      <c r="N835" s="6">
        <f>PLANPRODUCCION[[#This Row],[PIEZAS PLANEADAS]]*PLANPRODUCCION[[#This Row],[PRECIO MAQUILAS]]</f>
        <v>0</v>
      </c>
      <c r="O835" s="5"/>
      <c r="P835" s="2"/>
      <c r="Q835" s="2"/>
      <c r="R835" s="5"/>
      <c r="S835" s="7">
        <f>PLANPRODUCCION[[#This Row],[PRECIO MAQUILAS]]*PLANPRODUCCION[[#This Row],[PIEZAS REAL]]</f>
        <v>0</v>
      </c>
      <c r="T835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35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35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35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35" s="8"/>
      <c r="Y835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35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35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35" s="13">
        <f>IF(PLANPRODUCCION[[#This Row],[PIEZAS REAL]]&gt;0,PLANPRODUCCION[[#This Row],[PIEZAS REAL]]/PLANPRODUCCION[[#This Row],[PIEZAS ACTUALIZADO]],)</f>
        <v>0</v>
      </c>
      <c r="AC835" t="b">
        <f>PLANPRODUCCION[[#This Row],[INGRESO PLANEADO]]&lt;PLANPRODUCCION[[#This Row],[COSTO PLANEADO]]</f>
        <v>0</v>
      </c>
      <c r="AD835" s="46"/>
      <c r="AF835" t="b">
        <f>IF(COUNTIF(PLANPRODUCCION[[#This Row],[OBSERVACIONES]],"NO APLICA BONO*")&gt;0,TRUE,FALSE)</f>
        <v>0</v>
      </c>
    </row>
    <row r="836" spans="1:32" x14ac:dyDescent="0.25">
      <c r="A836" s="46" t="str">
        <f>UPPER(IF(PLANPRODUCCION[[#This Row],[FECHA]]&lt;=45701,_xlfn.CONCAT(TEXT(B836,"MMM"),"-",IF(ROW(A836)&lt;11,"000"&amp;ROW(A836)-1,IF(ROW(A836)&lt;101,"00"&amp;ROW(A836)-1,IF(ROW(A836)&lt;1001,"0"&amp;ROW(A836)-1,ROW(A836)-1))),"-OLD"),_xlfn.CONCAT(TEXT(B836,"MMM"),"-",IF(ROW(A836)&lt;473,"000"&amp;ROW(A836)-463,IF(ROW(A836)&lt;563,"00"&amp;ROW(A836)-463,IF(ROW(A836)&lt;1001,"0"&amp;ROW(A836)-463,ROW(A836)-463))))))</f>
        <v>ABR-0373</v>
      </c>
      <c r="B836" s="39">
        <v>45758</v>
      </c>
      <c r="C836" s="5">
        <v>3</v>
      </c>
      <c r="D836" s="5">
        <v>3</v>
      </c>
      <c r="E836" t="s">
        <v>54</v>
      </c>
      <c r="F836" s="2">
        <v>0.375</v>
      </c>
      <c r="G836" s="2">
        <v>0.66666666666666663</v>
      </c>
      <c r="H836" s="5">
        <v>1630</v>
      </c>
      <c r="I836" t="s">
        <v>1171</v>
      </c>
      <c r="J836" t="s">
        <v>1172</v>
      </c>
      <c r="K836" s="5">
        <v>1000</v>
      </c>
      <c r="L836" s="5" t="s">
        <v>57</v>
      </c>
      <c r="M836" s="4">
        <v>4.8499999999999996</v>
      </c>
      <c r="N836" s="6">
        <f>PLANPRODUCCION[[#This Row],[PIEZAS PLANEADAS]]*PLANPRODUCCION[[#This Row],[PRECIO MAQUILAS]]</f>
        <v>4850</v>
      </c>
      <c r="O836" s="5"/>
      <c r="P836" s="2"/>
      <c r="Q836" s="2"/>
      <c r="R836" s="5"/>
      <c r="S836" s="7">
        <f>PLANPRODUCCION[[#This Row],[PRECIO MAQUILAS]]*PLANPRODUCCION[[#This Row],[PIEZAS REAL]]</f>
        <v>0</v>
      </c>
      <c r="T836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36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36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36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36" s="8"/>
      <c r="Y836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36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36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36" s="13">
        <f>IF(PLANPRODUCCION[[#This Row],[PIEZAS REAL]]&gt;0,PLANPRODUCCION[[#This Row],[PIEZAS REAL]]/PLANPRODUCCION[[#This Row],[PIEZAS ACTUALIZADO]],)</f>
        <v>0</v>
      </c>
      <c r="AC836" t="b">
        <f>PLANPRODUCCION[[#This Row],[INGRESO PLANEADO]]&lt;PLANPRODUCCION[[#This Row],[COSTO PLANEADO]]</f>
        <v>0</v>
      </c>
      <c r="AD836" s="46"/>
      <c r="AF836" t="b">
        <f>IF(COUNTIF(PLANPRODUCCION[[#This Row],[OBSERVACIONES]],"NO APLICA BONO*")&gt;0,TRUE,FALSE)</f>
        <v>0</v>
      </c>
    </row>
    <row r="837" spans="1:32" x14ac:dyDescent="0.25">
      <c r="A837" s="46" t="str">
        <f>UPPER(IF(PLANPRODUCCION[[#This Row],[FECHA]]&lt;=45701,_xlfn.CONCAT(TEXT(B837,"MMM"),"-",IF(ROW(A837)&lt;11,"000"&amp;ROW(A837)-1,IF(ROW(A837)&lt;101,"00"&amp;ROW(A837)-1,IF(ROW(A837)&lt;1001,"0"&amp;ROW(A837)-1,ROW(A837)-1))),"-OLD"),_xlfn.CONCAT(TEXT(B837,"MMM"),"-",IF(ROW(A837)&lt;473,"000"&amp;ROW(A837)-463,IF(ROW(A837)&lt;563,"00"&amp;ROW(A837)-463,IF(ROW(A837)&lt;1001,"0"&amp;ROW(A837)-463,ROW(A837)-463))))))</f>
        <v>ABR-0374</v>
      </c>
      <c r="B837" s="39">
        <v>45758</v>
      </c>
      <c r="C837" s="5">
        <v>4</v>
      </c>
      <c r="D837" s="5">
        <v>4</v>
      </c>
      <c r="E837" t="s">
        <v>54</v>
      </c>
      <c r="F837" s="2">
        <v>0.375</v>
      </c>
      <c r="G837" s="2">
        <v>0.66666666666666663</v>
      </c>
      <c r="H837" s="5">
        <v>1630</v>
      </c>
      <c r="I837" t="s">
        <v>1171</v>
      </c>
      <c r="J837" t="s">
        <v>1172</v>
      </c>
      <c r="K837" s="5">
        <v>1340</v>
      </c>
      <c r="L837" s="5" t="s">
        <v>57</v>
      </c>
      <c r="M837" s="4">
        <v>4.8499999999999996</v>
      </c>
      <c r="N837" s="6">
        <f>PLANPRODUCCION[[#This Row],[PIEZAS PLANEADAS]]*PLANPRODUCCION[[#This Row],[PRECIO MAQUILAS]]</f>
        <v>6498.9999999999991</v>
      </c>
      <c r="O837" s="5"/>
      <c r="P837" s="2"/>
      <c r="Q837" s="2"/>
      <c r="R837" s="5"/>
      <c r="S837" s="7">
        <f>PLANPRODUCCION[[#This Row],[PRECIO MAQUILAS]]*PLANPRODUCCION[[#This Row],[PIEZAS REAL]]</f>
        <v>0</v>
      </c>
      <c r="T837" s="5">
        <f>ROUNDUP((PLANPRODUCCION[[#This Row],[PIEZAS PLANEADAS]]/IF(PLANPRODUCCION[[#This Row],[HORA FIN]]&lt;PLANPRODUCCION[[#This Row],[HORA INICIO]],((24-HOUR(PLANPRODUCCION[[#This Row],[HORA INICIO]]))*60-MINUTE(PLANPRODUCCION[[#This Row],[HORA INICIO]]))+(HOUR(PLANPRODUCCION[[#This Row],[HORA FIN]])*60+MINUTE(PLANPRODUCCION[[#This Row],[HORA FIN]])),(HOUR(PLANPRODUCCION[[#This Row],[HORA FIN]])-HOUR(PLANPRODUCCION[[#This Row],[HORA INICIO]]))*60+MINUTE(PLANPRODUCCION[[#This Row],[HORA FIN]])-MINUTE(PLANPRODUCCION[[#This Row],[HORA INICIO]]))/PLANPRODUCCION[[#This Row],[PERSONAS PLAN]])*(IF(PLANPRODUCCION[[#This Row],[HORA FIN REAL]]&lt;PLANPRODUCCION[[#This Row],[HORA INICIO REAL]],((24-HOUR(PLANPRODUCCION[[#This Row],[HORA INICIO REAL]]))*60-MINUTE(PLANPRODUCCION[[#This Row],[HORA INICIO REAL]]))+(HOUR(PLANPRODUCCION[[#This Row],[HORA FIN REAL]])*60+MINUTE(PLANPRODUCCION[[#This Row],[HORA FIN REAL]])),(HOUR(PLANPRODUCCION[[#This Row],[HORA FIN REAL]])-HOUR(PLANPRODUCCION[[#This Row],[HORA INICIO REAL]]))*60+MINUTE(PLANPRODUCCION[[#This Row],[HORA FIN REAL]])-MINUTE(PLANPRODUCCION[[#This Row],[HORA INICIO REAL]]))*PLANPRODUCCION[[#This Row],[PERSONAS REAL]]),0)</f>
        <v>0</v>
      </c>
      <c r="U837" s="4">
        <f>IF(PLANPRODUCCION[[#This Row],[PERSONAS REAL]]=0,0,(VLOOKUP(PLANPRODUCCION[[#This Row],[TURNO]],TURNOS[#Data],7,FALSE)*IF(PLANPRODUCCION[[#This Row],[HORA FIN]]&lt;PLANPRODUCCION[[#This Row],[HORA INICIO]],24-HOUR(PLANPRODUCCION[[#This Row],[HORA INICIO]])+HOUR(PLANPRODUCCION[[#This Row],[HORA FIN]]),HOUR(PLANPRODUCCION[[#This Row],[HORA FIN]])-HOUR(PLANPRODUCCION[[#This Row],[HORA INICIO]]))-IF(MINUTE(PLANPRODUCCION[[#This Row],[HORA INICIO]])&lt;&gt;0,MINUTE(PLANPRODUCCION[[#This Row],[HORA INICIO]])*VLOOKUP(PLANPRODUCCION[[#This Row],[TURNO]],TURNOS[#Data],7,FALSE)/60,0)+IF(MINUTE(PLANPRODUCCION[[#This Row],[HORA FIN]])&lt;&gt;0,MINUTE(PLANPRODUCCION[[#This Row],[HORA FIN]])*VLOOKUP(PLANPRODUCCION[[#This Row],[TURNO]],TURNOS[#Data],7,FALSE)/60,0))*PLANPRODUCCION[[#This Row],[PERSONAS PLAN]])</f>
        <v>0</v>
      </c>
      <c r="V837" s="15">
        <f>(VLOOKUP(PLANPRODUCCION[[#This Row],[TURNO]],TURNOS[#Data],7,FALSE)*IF(PLANPRODUCCION[[#This Row],[HORA FIN REAL]]&lt;PLANPRODUCCION[[#This Row],[HORA INICIO REAL]],24-HOUR(PLANPRODUCCION[[#This Row],[HORA INICIO REAL]])+HOUR(PLANPRODUCCION[[#This Row],[HORA FIN REAL]]),HOUR(PLANPRODUCCION[[#This Row],[HORA FIN REAL]])-HOUR(PLANPRODUCCION[[#This Row],[HORA INICIO REAL]]))-IF(MINUTE(PLANPRODUCCION[[#This Row],[HORA INICIO REAL]])&lt;&gt;0,MINUTE(PLANPRODUCCION[[#This Row],[HORA INICIO REAL]])*VLOOKUP(PLANPRODUCCION[[#This Row],[TURNO]],TURNOS[#Data],7,FALSE)/60,0)+IF(MINUTE(PLANPRODUCCION[[#This Row],[HORA FIN REAL]])&lt;&gt;0,MINUTE(PLANPRODUCCION[[#This Row],[HORA FIN REAL]])*VLOOKUP(PLANPRODUCCION[[#This Row],[TURNO]],TURNOS[#Data],7,FALSE)/60,0))*PLANPRODUCCION[[#This Row],[PERSONAS REAL]]</f>
        <v>0</v>
      </c>
      <c r="W837" s="9">
        <f>IF(PLANPRODUCCION[[#This Row],[PRECIO MAQUILAS]]&lt;0,IF((PLANPRODUCCION[[#This Row],[COSTO REAL]]*-1)&lt;PLANPRODUCCION[[#This Row],[INGRESO REAL]],PLANPRODUCCION[[#This Row],[COSTO REAL]]*-1,PLANPRODUCCION[[#This Row],[INGRESO REAL]]),PLANPRODUCCION[[#This Row],[INGRESO REAL]]-PLANPRODUCCION[[#This Row],[COSTO REAL]])</f>
        <v>0</v>
      </c>
      <c r="X837" s="8"/>
      <c r="Y837" s="11" t="str">
        <f>IF(PLANPRODUCCION[[#This Row],[PERSONAS REAL]]&gt;0,IF(PLANPRODUCCION[[#This Row],[PLANEADO]]="si",IF(PLANPRODUCCION[[#This Row],[PERSONAS PLAN]]=PLANPRODUCCION[[#This Row],[PERSONAS REAL]],"P","Ñ"),"Ñ"),"X")</f>
        <v>X</v>
      </c>
      <c r="Z837" s="11" t="str">
        <f>IF(PLANPRODUCCION[[#This Row],[HORA INICIO REAL]]&gt;0,IF(PLANPRODUCCION[[#This Row],[PLANEADO]]="si",IF(AND(PLANPRODUCCION[[#This Row],[HORA INICIO]]=PLANPRODUCCION[[#This Row],[HORA INICIO REAL]],PLANPRODUCCION[[#This Row],[HORA FIN]]=PLANPRODUCCION[[#This Row],[HORA FIN REAL]]),"P","Ñ"),"Ñ"),"X")</f>
        <v>X</v>
      </c>
      <c r="AA837" s="11" t="str">
        <f>IF(PLANPRODUCCION[[#This Row],[PIEZAS REAL]]&gt;0,IF(PLANPRODUCCION[[#This Row],[PLANEADO]]="si",IF(PLANPRODUCCION[[#This Row],[PIEZAS PLANEADAS]]=PLANPRODUCCION[[#This Row],[PIEZAS REAL]],"P","Ñ"),"Ñ"),"X")</f>
        <v>X</v>
      </c>
      <c r="AB837" s="13">
        <f>IF(PLANPRODUCCION[[#This Row],[PIEZAS REAL]]&gt;0,PLANPRODUCCION[[#This Row],[PIEZAS REAL]]/PLANPRODUCCION[[#This Row],[PIEZAS ACTUALIZADO]],)</f>
        <v>0</v>
      </c>
      <c r="AC837" t="b">
        <f>PLANPRODUCCION[[#This Row],[INGRESO PLANEADO]]&lt;PLANPRODUCCION[[#This Row],[COSTO PLANEADO]]</f>
        <v>0</v>
      </c>
      <c r="AD837" s="46"/>
      <c r="AF837" t="b">
        <f>IF(COUNTIF(PLANPRODUCCION[[#This Row],[OBSERVACIONES]],"NO APLICA BONO*")&gt;0,TRUE,FALSE)</f>
        <v>0</v>
      </c>
    </row>
  </sheetData>
  <dataConsolidate/>
  <phoneticPr fontId="3" type="noConversion"/>
  <conditionalFormatting sqref="N719 M719:M720 M105:M463 M2:M101 M464:N718 S2:S837 U2:W837">
    <cfRule type="cellIs" dxfId="79" priority="15" operator="lessThan">
      <formula>0</formula>
    </cfRule>
  </conditionalFormatting>
  <conditionalFormatting sqref="N2:N837">
    <cfRule type="expression" dxfId="78" priority="16">
      <formula>AC2</formula>
    </cfRule>
  </conditionalFormatting>
  <conditionalFormatting sqref="AB2:AB837">
    <cfRule type="cellIs" dxfId="77" priority="7" operator="lessThan">
      <formula>0.8</formula>
    </cfRule>
    <cfRule type="cellIs" dxfId="76" priority="13" operator="greaterThanOrEqual">
      <formula>1</formula>
    </cfRule>
  </conditionalFormatting>
  <conditionalFormatting sqref="Y2:AA837">
    <cfRule type="cellIs" dxfId="75" priority="8" operator="equal">
      <formula>"X"</formula>
    </cfRule>
    <cfRule type="cellIs" dxfId="74" priority="11" operator="equal">
      <formula>"Ñ"</formula>
    </cfRule>
    <cfRule type="cellIs" dxfId="73" priority="12" operator="equal">
      <formula>"P"</formula>
    </cfRule>
  </conditionalFormatting>
  <conditionalFormatting sqref="X2:X837">
    <cfRule type="cellIs" dxfId="72" priority="9" operator="equal">
      <formula>"NO"</formula>
    </cfRule>
    <cfRule type="cellIs" dxfId="71" priority="10" operator="equal">
      <formula>"SI"</formula>
    </cfRule>
  </conditionalFormatting>
  <conditionalFormatting sqref="AE2:AE837">
    <cfRule type="expression" dxfId="70" priority="5">
      <formula>AF2</formula>
    </cfRule>
  </conditionalFormatting>
  <conditionalFormatting sqref="M723">
    <cfRule type="cellIs" dxfId="69" priority="3" operator="lessThan">
      <formula>0</formula>
    </cfRule>
  </conditionalFormatting>
  <conditionalFormatting sqref="M743">
    <cfRule type="cellIs" dxfId="68" priority="2" operator="lessThan">
      <formula>0</formula>
    </cfRule>
  </conditionalFormatting>
  <dataValidations count="4">
    <dataValidation type="list" allowBlank="1" showInputMessage="1" showErrorMessage="1" sqref="B464:B731" xr:uid="{75F682CA-A64D-4D61-B349-930ACD4ED2B1}">
      <formula1>INDIRECT("FEC_2025[FECHAS]")</formula1>
    </dataValidation>
    <dataValidation type="list" allowBlank="1" showInputMessage="1" showErrorMessage="1" sqref="E2:E837" xr:uid="{9B0E2105-28B2-44D5-8CDF-3E5F100802EA}">
      <formula1>INDIRECT("TURNOS[TURNO]")</formula1>
    </dataValidation>
    <dataValidation type="list" allowBlank="1" showInputMessage="1" showErrorMessage="1" sqref="X2:X837" xr:uid="{C8AFD4AE-F6EB-438B-B88E-B125F50AA8D1}">
      <formula1>"SI,NO"</formula1>
    </dataValidation>
    <dataValidation type="list" allowBlank="1" showInputMessage="1" showErrorMessage="1" sqref="L2:L837" xr:uid="{DA6DB47E-43DF-4A45-B4CF-92C17C11EEF9}">
      <formula1>INDIRECT("UDM[UNIDAD_MEDIDA]")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AAFF5-259D-4ACC-AA9A-E50BE79D29A9}">
  <sheetPr codeName="Hoja8"/>
  <dimension ref="A1:Q2485"/>
  <sheetViews>
    <sheetView topLeftCell="A79" zoomScaleNormal="100" workbookViewId="0">
      <selection activeCell="B158" sqref="B158"/>
    </sheetView>
  </sheetViews>
  <sheetFormatPr baseColWidth="10" defaultColWidth="11.42578125" defaultRowHeight="15" x14ac:dyDescent="0.25"/>
  <cols>
    <col min="1" max="1" width="14.85546875" bestFit="1" customWidth="1"/>
    <col min="2" max="2" width="41.42578125" bestFit="1" customWidth="1"/>
    <col min="3" max="4" width="13.5703125" customWidth="1"/>
    <col min="5" max="5" width="4.7109375" customWidth="1"/>
    <col min="6" max="6" width="41.42578125" bestFit="1" customWidth="1"/>
    <col min="7" max="7" width="13.85546875" customWidth="1"/>
    <col min="8" max="8" width="12.5703125" customWidth="1"/>
    <col min="9" max="9" width="14.28515625" customWidth="1"/>
    <col min="10" max="10" width="14.42578125" customWidth="1"/>
    <col min="11" max="11" width="4.7109375" customWidth="1"/>
    <col min="12" max="12" width="51.140625" bestFit="1" customWidth="1"/>
    <col min="13" max="13" width="29.85546875" hidden="1" customWidth="1"/>
    <col min="14" max="14" width="5.7109375" bestFit="1" customWidth="1"/>
    <col min="15" max="15" width="4.7109375" customWidth="1"/>
    <col min="16" max="16" width="22.28515625" customWidth="1"/>
    <col min="17" max="17" width="13.28515625" customWidth="1"/>
  </cols>
  <sheetData>
    <row r="1" spans="1:17" ht="30" customHeight="1" x14ac:dyDescent="0.25">
      <c r="A1" s="22" t="s">
        <v>25</v>
      </c>
      <c r="B1" s="22" t="s">
        <v>966</v>
      </c>
      <c r="C1" s="22" t="s">
        <v>967</v>
      </c>
      <c r="D1" s="22" t="s">
        <v>968</v>
      </c>
      <c r="F1" s="20" t="s">
        <v>966</v>
      </c>
      <c r="G1" s="20" t="s">
        <v>969</v>
      </c>
      <c r="H1" s="20" t="s">
        <v>970</v>
      </c>
      <c r="I1" s="20" t="s">
        <v>971</v>
      </c>
      <c r="J1" s="20" t="s">
        <v>972</v>
      </c>
      <c r="L1" s="25" t="s">
        <v>973</v>
      </c>
      <c r="M1" s="25"/>
      <c r="N1" s="25"/>
      <c r="O1" s="25"/>
      <c r="P1" s="25" t="s">
        <v>34</v>
      </c>
      <c r="Q1" s="25" t="s">
        <v>764</v>
      </c>
    </row>
    <row r="2" spans="1:17" x14ac:dyDescent="0.25">
      <c r="A2" s="46" t="s">
        <v>1145</v>
      </c>
      <c r="B2" t="s">
        <v>973</v>
      </c>
      <c r="C2" s="19">
        <v>1.2</v>
      </c>
      <c r="D2" s="19"/>
      <c r="F2" t="s">
        <v>975</v>
      </c>
      <c r="G2" s="21">
        <f>SUMIF(RENDIMIENTO[MAQUILADOR],F2,RENDIMIENTO[RENDIMIENTO])/COUNTIF(RENDIMIENTO[MAQUILADOR],F2)</f>
        <v>1.2786450872919042</v>
      </c>
      <c r="H2" s="5">
        <f>COUNTIF(RENDIMIENTO[MAQUILADOR],F2)</f>
        <v>21</v>
      </c>
      <c r="I2" s="21" cm="1">
        <f t="array" ref="I2">MIN(_xlfn._xlws.FILTER(RENDIMIENTO[[MAQUILADOR]:[RENDIMIENTO]],RENDIMIENTO[MAQUILADOR]=F2,"N/A"))</f>
        <v>0.375</v>
      </c>
      <c r="J2" s="21" cm="1">
        <f t="array" ref="J2">MAX(_xlfn._xlws.FILTER(RENDIMIENTO[[MAQUILADOR]:[RENDIMIENTO]],RENDIMIENTO[MAQUILADOR]=F2,"N/A"))</f>
        <v>3.13</v>
      </c>
      <c r="L2" t="str" cm="1">
        <f t="array" ref="L2:N91">_xlfn._xlws.SORT(_xlfn._xlws.FILTER(RENDIMIENTO[[ID]:[RENDIMIENTO]],RENDIMIENTO[MAQUILADOR]=$L$1,"SIN RESULTADO"),3,1)</f>
        <v>FEB-0133</v>
      </c>
      <c r="M2" t="str">
        <v>YESENIA ROJAS AVILA</v>
      </c>
      <c r="N2" s="26">
        <v>0.15384615384615385</v>
      </c>
      <c r="P2" s="23" t="s">
        <v>32</v>
      </c>
      <c r="Q2">
        <f>VLOOKUP($Q$1,PLANPRODUCCION[#Data],8,FALSE)</f>
        <v>1590</v>
      </c>
    </row>
    <row r="3" spans="1:17" x14ac:dyDescent="0.25">
      <c r="A3" s="46" t="s">
        <v>1145</v>
      </c>
      <c r="B3" t="s">
        <v>987</v>
      </c>
      <c r="C3" s="19">
        <v>1.2</v>
      </c>
      <c r="D3" s="19"/>
      <c r="F3" t="s">
        <v>977</v>
      </c>
      <c r="G3" s="21">
        <f>SUMIF(RENDIMIENTO[MAQUILADOR],F3,RENDIMIENTO[RENDIMIENTO])/COUNTIF(RENDIMIENTO[MAQUILADOR],F3)</f>
        <v>0.45768316797285608</v>
      </c>
      <c r="H3" s="5">
        <f>COUNTIF(RENDIMIENTO[MAQUILADOR],F3)</f>
        <v>67</v>
      </c>
      <c r="I3" s="21" cm="1">
        <f t="array" ref="I3">MIN(_xlfn._xlws.FILTER(RENDIMIENTO[[MAQUILADOR]:[RENDIMIENTO]],RENDIMIENTO[MAQUILADOR]=F3,"N/A"))</f>
        <v>0</v>
      </c>
      <c r="J3" s="21" cm="1">
        <f t="array" ref="J3">MAX(_xlfn._xlws.FILTER(RENDIMIENTO[[MAQUILADOR]:[RENDIMIENTO]],RENDIMIENTO[MAQUILADOR]=F3,"N/A"))</f>
        <v>2.3502304147465436</v>
      </c>
      <c r="L3" t="str">
        <v>FEB-0004</v>
      </c>
      <c r="M3" t="str">
        <v>YESENIA ROJAS AVILA</v>
      </c>
      <c r="N3" s="26">
        <v>0.38333333333333336</v>
      </c>
      <c r="P3" s="23" t="s">
        <v>33</v>
      </c>
      <c r="Q3" t="str">
        <f>VLOOKUP($Q$1,PLANPRODUCCION[#Data],9,FALSE)</f>
        <v>FLOOR STAND CUARESMA TAJIN</v>
      </c>
    </row>
    <row r="4" spans="1:17" x14ac:dyDescent="0.25">
      <c r="A4" s="46" t="s">
        <v>1146</v>
      </c>
      <c r="B4" t="s">
        <v>976</v>
      </c>
      <c r="C4" s="19">
        <v>1.1000000000000001</v>
      </c>
      <c r="D4" s="19"/>
      <c r="F4" t="s">
        <v>979</v>
      </c>
      <c r="G4" s="21">
        <f>SUMIF(RENDIMIENTO[MAQUILADOR],F4,RENDIMIENTO[RENDIMIENTO])/COUNTIF(RENDIMIENTO[MAQUILADOR],F4)</f>
        <v>0.44570213193968977</v>
      </c>
      <c r="H4" s="5">
        <f>COUNTIF(RENDIMIENTO[MAQUILADOR],F4)</f>
        <v>79</v>
      </c>
      <c r="I4" s="21" cm="1">
        <f t="array" ref="I4">MIN(_xlfn._xlws.FILTER(RENDIMIENTO[[MAQUILADOR]:[RENDIMIENTO]],RENDIMIENTO[MAQUILADOR]=F4,"N/A"))</f>
        <v>0.54157782515991471</v>
      </c>
      <c r="J4" s="21" cm="1">
        <f t="array" ref="J4">MAX(_xlfn._xlws.FILTER(RENDIMIENTO[[MAQUILADOR]:[RENDIMIENTO]],RENDIMIENTO[MAQUILADOR]=F4,"N/A"))</f>
        <v>2.3502304147465436</v>
      </c>
      <c r="L4" t="str">
        <v>ABR-0317</v>
      </c>
      <c r="M4" t="str">
        <v>YESENIA ROJAS AVILA</v>
      </c>
      <c r="N4" s="26">
        <v>0.45850000000000002</v>
      </c>
      <c r="P4" s="23" t="s">
        <v>34</v>
      </c>
      <c r="Q4" t="str">
        <f>VLOOKUP($Q$1,PLANPRODUCCION[#Data],10,FALSE)</f>
        <v>PEGUE MUEBLE</v>
      </c>
    </row>
    <row r="5" spans="1:17" x14ac:dyDescent="0.25">
      <c r="A5" s="46" t="s">
        <v>1146</v>
      </c>
      <c r="B5" t="s">
        <v>1008</v>
      </c>
      <c r="C5" s="19">
        <v>1.1000000000000001</v>
      </c>
      <c r="D5" s="19"/>
      <c r="F5" t="s">
        <v>981</v>
      </c>
      <c r="G5" s="21">
        <f>SUMIF(RENDIMIENTO[MAQUILADOR],F5,RENDIMIENTO[RENDIMIENTO])/COUNTIF(RENDIMIENTO[MAQUILADOR],F5)</f>
        <v>0.66671317124648488</v>
      </c>
      <c r="H5" s="5">
        <f>COUNTIF(RENDIMIENTO[MAQUILADOR],F5)</f>
        <v>58</v>
      </c>
      <c r="I5" s="21" cm="1">
        <f t="array" ref="I5">MIN(_xlfn._xlws.FILTER(RENDIMIENTO[[MAQUILADOR]:[RENDIMIENTO]],RENDIMIENTO[MAQUILADOR]=F5,"N/A"))</f>
        <v>0.375</v>
      </c>
      <c r="J5" s="21" cm="1">
        <f t="array" ref="J5">MAX(_xlfn._xlws.FILTER(RENDIMIENTO[[MAQUILADOR]:[RENDIMIENTO]],RENDIMIENTO[MAQUILADOR]=F5,"N/A"))</f>
        <v>3.13</v>
      </c>
      <c r="L5" t="str">
        <v>ABR-0337</v>
      </c>
      <c r="M5" t="str">
        <v>YESENIA ROJAS AVILA</v>
      </c>
      <c r="N5" s="26">
        <v>0.47930283224400871</v>
      </c>
      <c r="P5" s="23" t="s">
        <v>982</v>
      </c>
      <c r="Q5" s="24">
        <f>VLOOKUP($Q$1,PLANPRODUCCION[#Data],20,FALSE)</f>
        <v>130</v>
      </c>
    </row>
    <row r="6" spans="1:17" x14ac:dyDescent="0.25">
      <c r="A6" s="46" t="s">
        <v>1146</v>
      </c>
      <c r="B6" t="s">
        <v>1029</v>
      </c>
      <c r="C6" s="19">
        <v>1.1000000000000001</v>
      </c>
      <c r="D6" s="19"/>
      <c r="F6" t="s">
        <v>983</v>
      </c>
      <c r="G6" s="21">
        <f>SUMIF(RENDIMIENTO[MAQUILADOR],F6,RENDIMIENTO[RENDIMIENTO])/COUNTIF(RENDIMIENTO[MAQUILADOR],F6)</f>
        <v>0.21826125628757209</v>
      </c>
      <c r="H6" s="5">
        <f>COUNTIF(RENDIMIENTO[MAQUILADOR],F6)</f>
        <v>26</v>
      </c>
      <c r="I6" s="21" cm="1">
        <f t="array" ref="I6">MIN(_xlfn._xlws.FILTER(RENDIMIENTO[[MAQUILADOR]:[RENDIMIENTO]],RENDIMIENTO[MAQUILADOR]=F6,"N/A"))</f>
        <v>0.76333333333333331</v>
      </c>
      <c r="J6" s="21" cm="1">
        <f t="array" ref="J6">MAX(_xlfn._xlws.FILTER(RENDIMIENTO[[MAQUILADOR]:[RENDIMIENTO]],RENDIMIENTO[MAQUILADOR]=F6,"N/A"))</f>
        <v>1.2</v>
      </c>
      <c r="L6" t="str">
        <v>MAR-0223</v>
      </c>
      <c r="M6" t="str">
        <v>YESENIA ROJAS AVILA</v>
      </c>
      <c r="N6" s="26">
        <v>0.59803043867502237</v>
      </c>
      <c r="P6" s="23" t="s">
        <v>984</v>
      </c>
      <c r="Q6" s="24">
        <f>VLOOKUP($Q$1,PLANPRODUCCION[#Data],18,FALSE)</f>
        <v>20</v>
      </c>
    </row>
    <row r="7" spans="1:17" x14ac:dyDescent="0.25">
      <c r="A7" s="46" t="s">
        <v>1148</v>
      </c>
      <c r="B7" t="s">
        <v>976</v>
      </c>
      <c r="C7" s="19">
        <v>0.34166666666666667</v>
      </c>
      <c r="D7" s="19"/>
      <c r="F7" t="s">
        <v>986</v>
      </c>
      <c r="G7" s="21">
        <f>SUMIF(RENDIMIENTO[MAQUILADOR],F7,RENDIMIENTO[RENDIMIENTO])/COUNTIF(RENDIMIENTO[MAQUILADOR],F7)</f>
        <v>0.51047401579665364</v>
      </c>
      <c r="H7" s="5">
        <f>COUNTIF(RENDIMIENTO[MAQUILADOR],F7)</f>
        <v>55</v>
      </c>
      <c r="I7" s="21" cm="1">
        <f t="array" ref="I7">MIN(_xlfn._xlws.FILTER(RENDIMIENTO[[MAQUILADOR]:[RENDIMIENTO]],RENDIMIENTO[MAQUILADOR]=F7,"N/A"))</f>
        <v>0</v>
      </c>
      <c r="J7" s="21" cm="1">
        <f t="array" ref="J7">MAX(_xlfn._xlws.FILTER(RENDIMIENTO[[MAQUILADOR]:[RENDIMIENTO]],RENDIMIENTO[MAQUILADOR]=F7,"N/A"))</f>
        <v>2.8452380952380953</v>
      </c>
      <c r="L7" t="str">
        <v>FEB-0080</v>
      </c>
      <c r="M7" t="str">
        <v>YESENIA ROJAS AVILA</v>
      </c>
      <c r="N7" s="26">
        <v>0.6</v>
      </c>
      <c r="P7" s="23" t="s">
        <v>14</v>
      </c>
      <c r="Q7" s="4">
        <f>VLOOKUP($Q$1,PLANPRODUCCION[#Data],19,FALSE)</f>
        <v>642.79999999999995</v>
      </c>
    </row>
    <row r="8" spans="1:17" x14ac:dyDescent="0.25">
      <c r="A8" s="46" t="s">
        <v>1148</v>
      </c>
      <c r="B8" t="s">
        <v>1008</v>
      </c>
      <c r="C8" s="19">
        <v>0.34166666666666667</v>
      </c>
      <c r="D8" s="19"/>
      <c r="F8" t="s">
        <v>988</v>
      </c>
      <c r="G8" s="21">
        <f>SUMIF(RENDIMIENTO[MAQUILADOR],F8,RENDIMIENTO[RENDIMIENTO])/COUNTIF(RENDIMIENTO[MAQUILADOR],F8)</f>
        <v>0.44797350847797102</v>
      </c>
      <c r="H8" s="5">
        <f>COUNTIF(RENDIMIENTO[MAQUILADOR],F8)</f>
        <v>41</v>
      </c>
      <c r="I8" s="21" cm="1">
        <f t="array" ref="I8">MIN(_xlfn._xlws.FILTER(RENDIMIENTO[[MAQUILADOR]:[RENDIMIENTO]],RENDIMIENTO[MAQUILADOR]=F8,"N/A"))</f>
        <v>0.31346749226006193</v>
      </c>
      <c r="J8" s="21" cm="1">
        <f t="array" ref="J8">MAX(_xlfn._xlws.FILTER(RENDIMIENTO[[MAQUILADOR]:[RENDIMIENTO]],RENDIMIENTO[MAQUILADOR]=F8,"N/A"))</f>
        <v>1.5720524017467248</v>
      </c>
      <c r="L8" t="str">
        <v>ABR-0321</v>
      </c>
      <c r="M8" t="str">
        <v>YESENIA ROJAS AVILA</v>
      </c>
      <c r="N8" s="26">
        <v>0.61140000000000005</v>
      </c>
      <c r="P8" s="23" t="s">
        <v>15</v>
      </c>
      <c r="Q8" s="4">
        <f>VLOOKUP($Q$1,PLANPRODUCCION[#Data],22,FALSE)</f>
        <v>6200</v>
      </c>
    </row>
    <row r="9" spans="1:17" x14ac:dyDescent="0.25">
      <c r="A9" s="46" t="s">
        <v>1148</v>
      </c>
      <c r="B9" t="s">
        <v>1029</v>
      </c>
      <c r="C9" s="19">
        <v>0.34166666666666667</v>
      </c>
      <c r="D9" s="19"/>
      <c r="F9" t="s">
        <v>990</v>
      </c>
      <c r="G9" s="21">
        <f>SUMIF(RENDIMIENTO[MAQUILADOR],F9,RENDIMIENTO[RENDIMIENTO])/COUNTIF(RENDIMIENTO[MAQUILADOR],F9)</f>
        <v>0.85979341121729103</v>
      </c>
      <c r="H9" s="5">
        <f>COUNTIF(RENDIMIENTO[MAQUILADOR],F9)</f>
        <v>38</v>
      </c>
      <c r="I9" s="21" cm="1">
        <f t="array" ref="I9">MIN(_xlfn._xlws.FILTER(RENDIMIENTO[[MAQUILADOR]:[RENDIMIENTO]],RENDIMIENTO[MAQUILADOR]=F9,"N/A"))</f>
        <v>0.31346749226006193</v>
      </c>
      <c r="J9" s="21" cm="1">
        <f t="array" ref="J9">MAX(_xlfn._xlws.FILTER(RENDIMIENTO[[MAQUILADOR]:[RENDIMIENTO]],RENDIMIENTO[MAQUILADOR]=F9,"N/A"))</f>
        <v>2.8452380952380953</v>
      </c>
      <c r="L9" t="str">
        <v>ABR-0345</v>
      </c>
      <c r="M9" t="str">
        <v>YESENIA ROJAS AVILA</v>
      </c>
      <c r="N9" s="26">
        <v>0.62812500000000004</v>
      </c>
      <c r="P9" s="23" t="s">
        <v>991</v>
      </c>
      <c r="Q9" s="4">
        <f>VLOOKUP($Q$1,PLANPRODUCCION[#Data],23,FALSE)</f>
        <v>-5557.2</v>
      </c>
    </row>
    <row r="10" spans="1:17" x14ac:dyDescent="0.25">
      <c r="A10" s="46" t="s">
        <v>1149</v>
      </c>
      <c r="B10" t="s">
        <v>974</v>
      </c>
      <c r="C10" s="19">
        <v>0.66333333333333333</v>
      </c>
      <c r="D10" s="19"/>
      <c r="F10" t="s">
        <v>976</v>
      </c>
      <c r="G10" s="21">
        <f>SUMIF(RENDIMIENTO[MAQUILADOR],F10,RENDIMIENTO[RENDIMIENTO])/COUNTIF(RENDIMIENTO[MAQUILADOR],F10)</f>
        <v>0.46835136495733554</v>
      </c>
      <c r="H10" s="5">
        <f>COUNTIF(RENDIMIENTO[MAQUILADOR],F10)</f>
        <v>78</v>
      </c>
      <c r="I10" s="21" cm="1">
        <f t="array" ref="I10">MIN(_xlfn._xlws.FILTER(RENDIMIENTO[[MAQUILADOR]:[RENDIMIENTO]],RENDIMIENTO[MAQUILADOR]=F10,"N/A"))</f>
        <v>0.15384615384615385</v>
      </c>
      <c r="J10" s="21" cm="1">
        <f t="array" ref="J10">MAX(_xlfn._xlws.FILTER(RENDIMIENTO[[MAQUILADOR]:[RENDIMIENTO]],RENDIMIENTO[MAQUILADOR]=F10,"N/A"))</f>
        <v>1.6746153846153846</v>
      </c>
      <c r="L10" t="str">
        <v>ABR-0318</v>
      </c>
      <c r="M10" t="str">
        <v>YESENIA ROJAS AVILA</v>
      </c>
      <c r="N10" s="26">
        <v>0.64222222222222225</v>
      </c>
      <c r="P10" s="23" t="s">
        <v>44</v>
      </c>
      <c r="Q10" s="5" t="str">
        <f>VLOOKUP($Q$1,PLANPRODUCCION[#Data],24,FALSE)</f>
        <v>SI</v>
      </c>
    </row>
    <row r="11" spans="1:17" x14ac:dyDescent="0.25">
      <c r="A11" s="46" t="s">
        <v>1149</v>
      </c>
      <c r="B11" t="s">
        <v>989</v>
      </c>
      <c r="C11" s="19">
        <v>0.66333333333333333</v>
      </c>
      <c r="D11" s="19"/>
      <c r="F11" t="s">
        <v>994</v>
      </c>
      <c r="G11" s="21">
        <f>SUMIF(RENDIMIENTO[MAQUILADOR],F11,RENDIMIENTO[RENDIMIENTO])/COUNTIF(RENDIMIENTO[MAQUILADOR],F11)</f>
        <v>1.017719723263218</v>
      </c>
      <c r="H11" s="5">
        <f>COUNTIF(RENDIMIENTO[MAQUILADOR],F11)</f>
        <v>23</v>
      </c>
      <c r="I11" s="21" cm="1">
        <f t="array" ref="I11">MIN(_xlfn._xlws.FILTER(RENDIMIENTO[[MAQUILADOR]:[RENDIMIENTO]],RENDIMIENTO[MAQUILADOR]=F11,"N/A"))</f>
        <v>0.36733333333333335</v>
      </c>
      <c r="J11" s="21" cm="1">
        <f t="array" ref="J11">MAX(_xlfn._xlws.FILTER(RENDIMIENTO[[MAQUILADOR]:[RENDIMIENTO]],RENDIMIENTO[MAQUILADOR]=F11,"N/A"))</f>
        <v>3.5172413793103448</v>
      </c>
      <c r="L11" t="str">
        <v>ABR-0336</v>
      </c>
      <c r="M11" t="str">
        <v>YESENIA ROJAS AVILA</v>
      </c>
      <c r="N11" s="26">
        <v>0.65068493150684936</v>
      </c>
    </row>
    <row r="12" spans="1:17" x14ac:dyDescent="0.25">
      <c r="A12" s="46" t="s">
        <v>1149</v>
      </c>
      <c r="B12" t="s">
        <v>978</v>
      </c>
      <c r="C12" s="19">
        <v>0.66333333333333333</v>
      </c>
      <c r="D12" s="19"/>
      <c r="F12" t="s">
        <v>995</v>
      </c>
      <c r="G12" s="21">
        <f>SUMIF(RENDIMIENTO[MAQUILADOR],F12,RENDIMIENTO[RENDIMIENTO])/COUNTIF(RENDIMIENTO[MAQUILADOR],F12)</f>
        <v>0.25289590323107025</v>
      </c>
      <c r="H12" s="5">
        <f>COUNTIF(RENDIMIENTO[MAQUILADOR],F12)</f>
        <v>27</v>
      </c>
      <c r="I12" s="21" cm="1">
        <f t="array" ref="I12">MIN(_xlfn._xlws.FILTER(RENDIMIENTO[[MAQUILADOR]:[RENDIMIENTO]],RENDIMIENTO[MAQUILADOR]=F12,"N/A"))</f>
        <v>0.31346749226006193</v>
      </c>
      <c r="J12" s="21" cm="1">
        <f t="array" ref="J12">MAX(_xlfn._xlws.FILTER(RENDIMIENTO[[MAQUILADOR]:[RENDIMIENTO]],RENDIMIENTO[MAQUILADOR]=F12,"N/A"))</f>
        <v>1.6319999999999999</v>
      </c>
      <c r="L12" t="str">
        <v>MAR-0244</v>
      </c>
      <c r="M12" t="str">
        <v>YESENIA ROJAS AVILA</v>
      </c>
      <c r="N12" s="26">
        <v>0.69230769230769229</v>
      </c>
    </row>
    <row r="13" spans="1:17" x14ac:dyDescent="0.25">
      <c r="A13" s="46" t="s">
        <v>1150</v>
      </c>
      <c r="B13" t="s">
        <v>986</v>
      </c>
      <c r="C13" s="19">
        <v>0.65349999999999997</v>
      </c>
      <c r="D13" s="19"/>
      <c r="F13" t="s">
        <v>997</v>
      </c>
      <c r="G13" s="21">
        <f>SUMIF(RENDIMIENTO[MAQUILADOR],F13,RENDIMIENTO[RENDIMIENTO])/COUNTIF(RENDIMIENTO[MAQUILADOR],F13)</f>
        <v>0.37940093333603292</v>
      </c>
      <c r="H13" s="5">
        <f>COUNTIF(RENDIMIENTO[MAQUILADOR],F13)</f>
        <v>56</v>
      </c>
      <c r="I13" s="21" cm="1">
        <f t="array" ref="I13">MIN(_xlfn._xlws.FILTER(RENDIMIENTO[[MAQUILADOR]:[RENDIMIENTO]],RENDIMIENTO[MAQUILADOR]=F13,"N/A"))</f>
        <v>0.32666666666666666</v>
      </c>
      <c r="J13" s="21" cm="1">
        <f t="array" ref="J13">MAX(_xlfn._xlws.FILTER(RENDIMIENTO[[MAQUILADOR]:[RENDIMIENTO]],RENDIMIENTO[MAQUILADOR]=F13,"N/A"))</f>
        <v>1.5714285714285714</v>
      </c>
      <c r="L13" t="str">
        <v>FEB-0097</v>
      </c>
      <c r="M13" t="str">
        <v>YESENIA ROJAS AVILA</v>
      </c>
      <c r="N13" s="26">
        <v>0.7533333333333333</v>
      </c>
    </row>
    <row r="14" spans="1:17" x14ac:dyDescent="0.25">
      <c r="A14" s="46" t="s">
        <v>1150</v>
      </c>
      <c r="B14" t="s">
        <v>977</v>
      </c>
      <c r="C14" s="19">
        <v>0.65349999999999997</v>
      </c>
      <c r="D14" s="19"/>
      <c r="F14" t="s">
        <v>999</v>
      </c>
      <c r="G14" s="21">
        <f>SUMIF(RENDIMIENTO[MAQUILADOR],F14,RENDIMIENTO[RENDIMIENTO])/COUNTIF(RENDIMIENTO[MAQUILADOR],F14)</f>
        <v>0.34289936693082346</v>
      </c>
      <c r="H14" s="5">
        <f>COUNTIF(RENDIMIENTO[MAQUILADOR],F14)</f>
        <v>49</v>
      </c>
      <c r="I14" s="21" cm="1">
        <f t="array" ref="I14">MIN(_xlfn._xlws.FILTER(RENDIMIENTO[[MAQUILADOR]:[RENDIMIENTO]],RENDIMIENTO[MAQUILADOR]=F14,"N/A"))</f>
        <v>0.31346749226006193</v>
      </c>
      <c r="J14" s="21" cm="1">
        <f t="array" ref="J14">MAX(_xlfn._xlws.FILTER(RENDIMIENTO[[MAQUILADOR]:[RENDIMIENTO]],RENDIMIENTO[MAQUILADOR]=F14,"N/A"))</f>
        <v>1.5714285714285714</v>
      </c>
      <c r="L14" t="str">
        <v>MAR-0185</v>
      </c>
      <c r="M14" t="str">
        <v>YESENIA ROJAS AVILA</v>
      </c>
      <c r="N14" s="26">
        <v>0.7615384615384615</v>
      </c>
    </row>
    <row r="15" spans="1:17" x14ac:dyDescent="0.25">
      <c r="A15" s="46" t="s">
        <v>1150</v>
      </c>
      <c r="B15" t="s">
        <v>1016</v>
      </c>
      <c r="C15" s="19">
        <v>0.65349999999999997</v>
      </c>
      <c r="D15" s="19"/>
      <c r="F15" t="s">
        <v>1001</v>
      </c>
      <c r="G15" s="21">
        <f>SUMIF(RENDIMIENTO[MAQUILADOR],F15,RENDIMIENTO[RENDIMIENTO])/COUNTIF(RENDIMIENTO[MAQUILADOR],F15)</f>
        <v>0.48628293994474636</v>
      </c>
      <c r="H15" s="5">
        <f>COUNTIF(RENDIMIENTO[MAQUILADOR],F15)</f>
        <v>47</v>
      </c>
      <c r="I15" s="21" cm="1">
        <f t="array" ref="I15">MIN(_xlfn._xlws.FILTER(RENDIMIENTO[[MAQUILADOR]:[RENDIMIENTO]],RENDIMIENTO[MAQUILADOR]=F15,"N/A"))</f>
        <v>0.32666666666666666</v>
      </c>
      <c r="J15" s="21" cm="1">
        <f t="array" ref="J15">MAX(_xlfn._xlws.FILTER(RENDIMIENTO[[MAQUILADOR]:[RENDIMIENTO]],RENDIMIENTO[MAQUILADOR]=F15,"N/A"))</f>
        <v>2.2779369627507164</v>
      </c>
      <c r="L15" t="str">
        <v>FEB-0067</v>
      </c>
      <c r="M15" t="str">
        <v>YESENIA ROJAS AVILA</v>
      </c>
      <c r="N15" s="26">
        <v>0.77</v>
      </c>
    </row>
    <row r="16" spans="1:17" x14ac:dyDescent="0.25">
      <c r="A16" s="46" t="s">
        <v>1150</v>
      </c>
      <c r="B16" t="s">
        <v>990</v>
      </c>
      <c r="C16" s="19">
        <v>0.65349999999999997</v>
      </c>
      <c r="D16" s="19"/>
      <c r="F16" t="s">
        <v>993</v>
      </c>
      <c r="G16" s="21">
        <f>SUMIF(RENDIMIENTO[MAQUILADOR],F16,RENDIMIENTO[RENDIMIENTO])/COUNTIF(RENDIMIENTO[MAQUILADOR],F16)</f>
        <v>6.4729174470090231E-2</v>
      </c>
      <c r="H16" s="5">
        <f>COUNTIF(RENDIMIENTO[MAQUILADOR],F16)</f>
        <v>38</v>
      </c>
      <c r="I16" s="21" cm="1">
        <f t="array" ref="I16">MIN(_xlfn._xlws.FILTER(RENDIMIENTO[[MAQUILADOR]:[RENDIMIENTO]],RENDIMIENTO[MAQUILADOR]=F16,"N/A"))</f>
        <v>0.78991596638655459</v>
      </c>
      <c r="J16" s="21" cm="1">
        <f t="array" ref="J16">MAX(_xlfn._xlws.FILTER(RENDIMIENTO[[MAQUILADOR]:[RENDIMIENTO]],RENDIMIENTO[MAQUILADOR]=F16,"N/A"))</f>
        <v>0.8564593301435407</v>
      </c>
      <c r="L16" t="str">
        <v>MAR-0222</v>
      </c>
      <c r="M16" t="str">
        <v>YESENIA ROJAS AVILA</v>
      </c>
      <c r="N16" s="21">
        <v>0.78341013824884798</v>
      </c>
    </row>
    <row r="17" spans="1:14" x14ac:dyDescent="0.25">
      <c r="A17" s="46" t="s">
        <v>1151</v>
      </c>
      <c r="B17" t="s">
        <v>975</v>
      </c>
      <c r="C17" s="19">
        <v>2.8450704225352115</v>
      </c>
      <c r="D17" s="19"/>
      <c r="F17" t="s">
        <v>973</v>
      </c>
      <c r="G17" s="21">
        <f>SUMIF(RENDIMIENTO[MAQUILADOR],F17,RENDIMIENTO[RENDIMIENTO])/COUNTIF(RENDIMIENTO[MAQUILADOR],F17)</f>
        <v>0.42247216293185397</v>
      </c>
      <c r="H17" s="5">
        <f>COUNTIF(RENDIMIENTO[MAQUILADOR],F17)</f>
        <v>90</v>
      </c>
      <c r="I17" s="21" cm="1">
        <f t="array" ref="I17">MIN(_xlfn._xlws.FILTER(RENDIMIENTO[[MAQUILADOR]:[RENDIMIENTO]],RENDIMIENTO[MAQUILADOR]=F17,"N/A"))</f>
        <v>0.15384615384615385</v>
      </c>
      <c r="J17" s="21" cm="1">
        <f t="array" ref="J17">MAX(_xlfn._xlws.FILTER(RENDIMIENTO[[MAQUILADOR]:[RENDIMIENTO]],RENDIMIENTO[MAQUILADOR]=F17,"N/A"))</f>
        <v>2.0164917541229386</v>
      </c>
      <c r="L17" t="str">
        <v>FEB-0019</v>
      </c>
      <c r="M17" t="str">
        <v>YESENIA ROJAS AVILA</v>
      </c>
      <c r="N17" s="21">
        <v>0.78991596638655459</v>
      </c>
    </row>
    <row r="18" spans="1:14" x14ac:dyDescent="0.25">
      <c r="A18" s="46" t="s">
        <v>1151</v>
      </c>
      <c r="B18" t="s">
        <v>981</v>
      </c>
      <c r="C18" s="19">
        <v>2.8450704225352115</v>
      </c>
      <c r="D18" s="19"/>
      <c r="F18" t="s">
        <v>1004</v>
      </c>
      <c r="G18" s="21">
        <f>SUMIF(RENDIMIENTO[MAQUILADOR],F18,RENDIMIENTO[RENDIMIENTO])/COUNTIF(RENDIMIENTO[MAQUILADOR],F18)</f>
        <v>0.29842143879808086</v>
      </c>
      <c r="H18" s="5">
        <f>COUNTIF(RENDIMIENTO[MAQUILADOR],F18)</f>
        <v>42</v>
      </c>
      <c r="I18" s="21" cm="1">
        <f t="array" ref="I18">MIN(_xlfn._xlws.FILTER(RENDIMIENTO[[MAQUILADOR]:[RENDIMIENTO]],RENDIMIENTO[MAQUILADOR]=F18,"N/A"))</f>
        <v>0.3968253968253968</v>
      </c>
      <c r="J18" s="21" cm="1">
        <f t="array" ref="J18">MAX(_xlfn._xlws.FILTER(RENDIMIENTO[[MAQUILADOR]:[RENDIMIENTO]],RENDIMIENTO[MAQUILADOR]=F18,"N/A"))</f>
        <v>3.5172413793103448</v>
      </c>
      <c r="L18" t="str">
        <v>MAR-0184</v>
      </c>
      <c r="M18" t="str">
        <v>YESENIA ROJAS AVILA</v>
      </c>
      <c r="N18" s="21">
        <v>0.88183421516754845</v>
      </c>
    </row>
    <row r="19" spans="1:14" x14ac:dyDescent="0.25">
      <c r="A19" s="46" t="s">
        <v>1153</v>
      </c>
      <c r="B19" t="s">
        <v>1013</v>
      </c>
      <c r="C19" s="19">
        <v>1.2837837837837838</v>
      </c>
      <c r="D19" s="19"/>
      <c r="F19" t="s">
        <v>1005</v>
      </c>
      <c r="G19" s="21">
        <f>SUMIF(RENDIMIENTO[MAQUILADOR],F19,RENDIMIENTO[RENDIMIENTO])/COUNTIF(RENDIMIENTO[MAQUILADOR],F19)</f>
        <v>0.44798011099687973</v>
      </c>
      <c r="H19" s="5">
        <f>COUNTIF(RENDIMIENTO[MAQUILADOR],F19)</f>
        <v>25</v>
      </c>
      <c r="I19" s="21" cm="1">
        <f t="array" ref="I19">MIN(_xlfn._xlws.FILTER(RENDIMIENTO[[MAQUILADOR]:[RENDIMIENTO]],RENDIMIENTO[MAQUILADOR]=F19,"N/A"))</f>
        <v>0.31346749226006193</v>
      </c>
      <c r="J19" s="21" cm="1">
        <f t="array" ref="J19">MAX(_xlfn._xlws.FILTER(RENDIMIENTO[[MAQUILADOR]:[RENDIMIENTO]],RENDIMIENTO[MAQUILADOR]=F19,"N/A"))</f>
        <v>1.25</v>
      </c>
      <c r="L19" t="str">
        <v>FEB-0118</v>
      </c>
      <c r="M19" t="str">
        <v>YESENIA ROJAS AVILA</v>
      </c>
      <c r="N19" s="21">
        <v>0.9</v>
      </c>
    </row>
    <row r="20" spans="1:14" x14ac:dyDescent="0.25">
      <c r="A20" s="46" t="s">
        <v>1153</v>
      </c>
      <c r="B20" t="s">
        <v>1011</v>
      </c>
      <c r="C20" s="19">
        <v>1.2837837837837838</v>
      </c>
      <c r="D20" s="19"/>
      <c r="F20" t="s">
        <v>1007</v>
      </c>
      <c r="G20" s="21">
        <f>SUMIF(RENDIMIENTO[MAQUILADOR],F20,RENDIMIENTO[RENDIMIENTO])/COUNTIF(RENDIMIENTO[MAQUILADOR],F20)</f>
        <v>0.30666759434357227</v>
      </c>
      <c r="H20" s="5">
        <f>COUNTIF(RENDIMIENTO[MAQUILADOR],F20)</f>
        <v>61</v>
      </c>
      <c r="I20" s="21" cm="1">
        <f t="array" ref="I20">MIN(_xlfn._xlws.FILTER(RENDIMIENTO[[MAQUILADOR]:[RENDIMIENTO]],RENDIMIENTO[MAQUILADOR]=F20,"N/A"))</f>
        <v>0.32666666666666666</v>
      </c>
      <c r="J20" s="21" cm="1">
        <f t="array" ref="J20">MAX(_xlfn._xlws.FILTER(RENDIMIENTO[[MAQUILADOR]:[RENDIMIENTO]],RENDIMIENTO[MAQUILADOR]=F20,"N/A"))</f>
        <v>1.5714285714285714</v>
      </c>
      <c r="L20" t="str">
        <v>FEB-0158</v>
      </c>
      <c r="M20" t="str">
        <v>YESENIA ROJAS AVILA</v>
      </c>
      <c r="N20" s="21">
        <v>0.96153846153846156</v>
      </c>
    </row>
    <row r="21" spans="1:14" x14ac:dyDescent="0.25">
      <c r="A21" s="46" t="s">
        <v>1152</v>
      </c>
      <c r="B21" t="s">
        <v>1013</v>
      </c>
      <c r="C21" s="19">
        <v>0.20242914979757085</v>
      </c>
      <c r="D21" s="19"/>
      <c r="F21" t="s">
        <v>978</v>
      </c>
      <c r="G21" s="21">
        <f>SUMIF(RENDIMIENTO[MAQUILADOR],F21,RENDIMIENTO[RENDIMIENTO])/COUNTIF(RENDIMIENTO[MAQUILADOR],F21)</f>
        <v>0.38984003272844525</v>
      </c>
      <c r="H21" s="5">
        <f>COUNTIF(RENDIMIENTO[MAQUILADOR],F21)</f>
        <v>77</v>
      </c>
      <c r="I21" s="21" cm="1">
        <f t="array" ref="I21">MIN(_xlfn._xlws.FILTER(RENDIMIENTO[[MAQUILADOR]:[RENDIMIENTO]],RENDIMIENTO[MAQUILADOR]=F21,"N/A"))</f>
        <v>0</v>
      </c>
      <c r="J21" s="21" cm="1">
        <f t="array" ref="J21">MAX(_xlfn._xlws.FILTER(RENDIMIENTO[[MAQUILADOR]:[RENDIMIENTO]],RENDIMIENTO[MAQUILADOR]=F21,"N/A"))</f>
        <v>2.093230403800475</v>
      </c>
      <c r="L21" t="str">
        <v>ABR-0355</v>
      </c>
      <c r="M21" t="str">
        <v>YESENIA ROJAS AVILA</v>
      </c>
      <c r="N21" s="21">
        <v>1</v>
      </c>
    </row>
    <row r="22" spans="1:14" x14ac:dyDescent="0.25">
      <c r="A22" s="46" t="s">
        <v>1152</v>
      </c>
      <c r="B22" t="s">
        <v>1011</v>
      </c>
      <c r="C22" s="19">
        <v>0.20242914979757085</v>
      </c>
      <c r="D22" s="19"/>
      <c r="F22" t="s">
        <v>1008</v>
      </c>
      <c r="G22" s="21">
        <f>SUMIF(RENDIMIENTO[MAQUILADOR],F22,RENDIMIENTO[RENDIMIENTO])/COUNTIF(RENDIMIENTO[MAQUILADOR],F22)</f>
        <v>0.44686120625748887</v>
      </c>
      <c r="H22" s="5">
        <f>COUNTIF(RENDIMIENTO[MAQUILADOR],F22)</f>
        <v>60</v>
      </c>
      <c r="I22" s="21" cm="1">
        <f t="array" ref="I22">MIN(_xlfn._xlws.FILTER(RENDIMIENTO[[MAQUILADOR]:[RENDIMIENTO]],RENDIMIENTO[MAQUILADOR]=F22,"N/A"))</f>
        <v>0.34166666666666667</v>
      </c>
      <c r="J22" s="21" cm="1">
        <f t="array" ref="J22">MAX(_xlfn._xlws.FILTER(RENDIMIENTO[[MAQUILADOR]:[RENDIMIENTO]],RENDIMIENTO[MAQUILADOR]=F22,"N/A"))</f>
        <v>2.0787878787878786</v>
      </c>
      <c r="L22" t="str">
        <v>FEB-0041</v>
      </c>
      <c r="M22" t="str">
        <v>YESENIA ROJAS AVILA</v>
      </c>
      <c r="N22" s="21">
        <v>1</v>
      </c>
    </row>
    <row r="23" spans="1:14" x14ac:dyDescent="0.25">
      <c r="A23" s="46" t="s">
        <v>1156</v>
      </c>
      <c r="B23" t="s">
        <v>987</v>
      </c>
      <c r="C23" s="19">
        <v>0.73347107438016534</v>
      </c>
      <c r="D23" s="19"/>
      <c r="F23" t="s">
        <v>1009</v>
      </c>
      <c r="G23" s="21">
        <f>SUMIF(RENDIMIENTO[MAQUILADOR],F23,RENDIMIENTO[RENDIMIENTO])/COUNTIF(RENDIMIENTO[MAQUILADOR],F23)</f>
        <v>0.35131119490893165</v>
      </c>
      <c r="H23" s="5">
        <f>COUNTIF(RENDIMIENTO[MAQUILADOR],F23)</f>
        <v>40</v>
      </c>
      <c r="I23" s="21" cm="1">
        <f t="array" ref="I23">MIN(_xlfn._xlws.FILTER(RENDIMIENTO[[MAQUILADOR]:[RENDIMIENTO]],RENDIMIENTO[MAQUILADOR]=F23,"N/A"))</f>
        <v>6.6666666666666666E-2</v>
      </c>
      <c r="J23" s="21" cm="1">
        <f t="array" ref="J23">MAX(_xlfn._xlws.FILTER(RENDIMIENTO[[MAQUILADOR]:[RENDIMIENTO]],RENDIMIENTO[MAQUILADOR]=F23,"N/A"))</f>
        <v>1.8613636363636363</v>
      </c>
      <c r="L23" t="str">
        <v>FEB-0116</v>
      </c>
      <c r="M23" t="str">
        <v>YESENIA ROJAS AVILA</v>
      </c>
      <c r="N23" s="21">
        <v>1</v>
      </c>
    </row>
    <row r="24" spans="1:14" x14ac:dyDescent="0.25">
      <c r="A24" s="46" t="s">
        <v>1156</v>
      </c>
      <c r="B24" t="s">
        <v>976</v>
      </c>
      <c r="C24" s="19">
        <v>0.73347107438016534</v>
      </c>
      <c r="D24" s="19"/>
      <c r="F24" t="s">
        <v>985</v>
      </c>
      <c r="G24" s="21">
        <f>SUMIF(RENDIMIENTO[MAQUILADOR],F24,RENDIMIENTO[RENDIMIENTO])/COUNTIF(RENDIMIENTO[MAQUILADOR],F24)</f>
        <v>0.21213046872369171</v>
      </c>
      <c r="H24" s="5">
        <f>COUNTIF(RENDIMIENTO[MAQUILADOR],F24)</f>
        <v>58</v>
      </c>
      <c r="I24" s="21" cm="1">
        <f t="array" ref="I24">MIN(_xlfn._xlws.FILTER(RENDIMIENTO[[MAQUILADOR]:[RENDIMIENTO]],RENDIMIENTO[MAQUILADOR]=F24,"N/A"))</f>
        <v>0.15384615384615385</v>
      </c>
      <c r="J24" s="21" cm="1">
        <f t="array" ref="J24">MAX(_xlfn._xlws.FILTER(RENDIMIENTO[[MAQUILADOR]:[RENDIMIENTO]],RENDIMIENTO[MAQUILADOR]=F24,"N/A"))</f>
        <v>1.1516129032258065</v>
      </c>
      <c r="L24" t="str">
        <v>MAR-0299</v>
      </c>
      <c r="M24" t="str">
        <v>YESENIA ROJAS AVILA</v>
      </c>
      <c r="N24" s="21">
        <v>1</v>
      </c>
    </row>
    <row r="25" spans="1:14" x14ac:dyDescent="0.25">
      <c r="A25" s="46" t="s">
        <v>1156</v>
      </c>
      <c r="B25" t="s">
        <v>974</v>
      </c>
      <c r="C25" s="19">
        <v>0.73347107438016534</v>
      </c>
      <c r="D25" s="19"/>
      <c r="F25" t="s">
        <v>1012</v>
      </c>
      <c r="G25" s="21">
        <f>SUMIF(RENDIMIENTO[MAQUILADOR],F25,RENDIMIENTO[RENDIMIENTO])/COUNTIF(RENDIMIENTO[MAQUILADOR],F25)</f>
        <v>0.31473776463563741</v>
      </c>
      <c r="H25" s="5">
        <f>COUNTIF(RENDIMIENTO[MAQUILADOR],F25)</f>
        <v>17</v>
      </c>
      <c r="I25" s="21" cm="1">
        <f t="array" ref="I25">MIN(_xlfn._xlws.FILTER(RENDIMIENTO[[MAQUILADOR]:[RENDIMIENTO]],RENDIMIENTO[MAQUILADOR]=F25,"N/A"))</f>
        <v>0.31346749226006193</v>
      </c>
      <c r="J25" s="21" cm="1">
        <f t="array" ref="J25">MAX(_xlfn._xlws.FILTER(RENDIMIENTO[[MAQUILADOR]:[RENDIMIENTO]],RENDIMIENTO[MAQUILADOR]=F25,"N/A"))</f>
        <v>0.92506459948320419</v>
      </c>
      <c r="L25" t="str">
        <v>FEB-0112</v>
      </c>
      <c r="M25" t="str">
        <v>YESENIA ROJAS AVILA</v>
      </c>
      <c r="N25" s="21">
        <v>1.0311493018259936</v>
      </c>
    </row>
    <row r="26" spans="1:14" x14ac:dyDescent="0.25">
      <c r="A26" s="46" t="s">
        <v>1157</v>
      </c>
      <c r="B26" t="s">
        <v>987</v>
      </c>
      <c r="C26" s="19">
        <v>0.37617554858934171</v>
      </c>
      <c r="D26" s="19"/>
      <c r="F26" t="s">
        <v>1014</v>
      </c>
      <c r="G26" s="21">
        <f>SUMIF(RENDIMIENTO[MAQUILADOR],F26,RENDIMIENTO[RENDIMIENTO])/COUNTIF(RENDIMIENTO[MAQUILADOR],F26)</f>
        <v>0.49729097312890325</v>
      </c>
      <c r="H26" s="5">
        <f>COUNTIF(RENDIMIENTO[MAQUILADOR],F26)</f>
        <v>15</v>
      </c>
      <c r="I26" s="21" cm="1">
        <f t="array" ref="I26">MIN(_xlfn._xlws.FILTER(RENDIMIENTO[[MAQUILADOR]:[RENDIMIENTO]],RENDIMIENTO[MAQUILADOR]=F26,"N/A"))</f>
        <v>0.41540020263424521</v>
      </c>
      <c r="J26" s="21" cm="1">
        <f t="array" ref="J26">MAX(_xlfn._xlws.FILTER(RENDIMIENTO[[MAQUILADOR]:[RENDIMIENTO]],RENDIMIENTO[MAQUILADOR]=F26,"N/A"))</f>
        <v>1.0631578947368421</v>
      </c>
      <c r="L26" t="str">
        <v>FEB-0040</v>
      </c>
      <c r="M26" t="str">
        <v>YESENIA ROJAS AVILA</v>
      </c>
      <c r="N26" s="21">
        <v>1.0526315789473684</v>
      </c>
    </row>
    <row r="27" spans="1:14" x14ac:dyDescent="0.25">
      <c r="A27" s="46" t="s">
        <v>1157</v>
      </c>
      <c r="B27" t="s">
        <v>976</v>
      </c>
      <c r="C27" s="19">
        <v>0.37617554858934171</v>
      </c>
      <c r="D27" s="19"/>
      <c r="F27" t="s">
        <v>1016</v>
      </c>
      <c r="G27" s="21">
        <f>SUMIF(RENDIMIENTO[MAQUILADOR],F27,RENDIMIENTO[RENDIMIENTO])/COUNTIF(RENDIMIENTO[MAQUILADOR],F27)</f>
        <v>0.43701535680697717</v>
      </c>
      <c r="H27" s="5">
        <f>COUNTIF(RENDIMIENTO[MAQUILADOR],F27)</f>
        <v>61</v>
      </c>
      <c r="I27" s="21" cm="1">
        <f t="array" ref="I27">MIN(_xlfn._xlws.FILTER(RENDIMIENTO[[MAQUILADOR]:[RENDIMIENTO]],RENDIMIENTO[MAQUILADOR]=F27,"N/A"))</f>
        <v>0.17222222222222222</v>
      </c>
      <c r="J27" s="21" cm="1">
        <f t="array" ref="J27">MAX(_xlfn._xlws.FILTER(RENDIMIENTO[[MAQUILADOR]:[RENDIMIENTO]],RENDIMIENTO[MAQUILADOR]=F27,"N/A"))</f>
        <v>1.8613636363636363</v>
      </c>
      <c r="L27" t="str">
        <v>ABR-0351</v>
      </c>
      <c r="M27" t="str">
        <v>YESENIA ROJAS AVILA</v>
      </c>
      <c r="N27" s="21">
        <v>1.0996563573883162</v>
      </c>
    </row>
    <row r="28" spans="1:14" x14ac:dyDescent="0.25">
      <c r="A28" s="46" t="s">
        <v>1157</v>
      </c>
      <c r="B28" t="s">
        <v>974</v>
      </c>
      <c r="C28" s="19">
        <v>0.37617554858934171</v>
      </c>
      <c r="D28" s="19"/>
      <c r="F28" t="s">
        <v>1018</v>
      </c>
      <c r="G28" s="21">
        <f>SUMIF(RENDIMIENTO[MAQUILADOR],F28,RENDIMIENTO[RENDIMIENTO])/COUNTIF(RENDIMIENTO[MAQUILADOR],F28)</f>
        <v>0.62465417319348704</v>
      </c>
      <c r="H28" s="5">
        <f>COUNTIF(RENDIMIENTO[MAQUILADOR],F28)</f>
        <v>18</v>
      </c>
      <c r="I28" s="21" cm="1">
        <f t="array" ref="I28">MIN(_xlfn._xlws.FILTER(RENDIMIENTO[[MAQUILADOR]:[RENDIMIENTO]],RENDIMIENTO[MAQUILADOR]=F28,"N/A"))</f>
        <v>0.75</v>
      </c>
      <c r="J28" s="21" cm="1">
        <f t="array" ref="J28">MAX(_xlfn._xlws.FILTER(RENDIMIENTO[[MAQUILADOR]:[RENDIMIENTO]],RENDIMIENTO[MAQUILADOR]=F28,"N/A"))</f>
        <v>2.96</v>
      </c>
      <c r="L28" t="str">
        <v>ABR-0338</v>
      </c>
      <c r="M28" t="str">
        <v>YESENIA ROJAS AVILA</v>
      </c>
      <c r="N28" s="21">
        <v>1.1403508771929824</v>
      </c>
    </row>
    <row r="29" spans="1:14" x14ac:dyDescent="0.25">
      <c r="A29" s="46" t="s">
        <v>1158</v>
      </c>
      <c r="B29" t="s">
        <v>1016</v>
      </c>
      <c r="C29" s="19">
        <v>0.71700507614213194</v>
      </c>
      <c r="D29" s="19"/>
      <c r="F29" t="s">
        <v>1006</v>
      </c>
      <c r="G29" s="21">
        <f>SUMIF(RENDIMIENTO[MAQUILADOR],F29,RENDIMIENTO[RENDIMIENTO])/COUNTIF(RENDIMIENTO[MAQUILADOR],F29)</f>
        <v>0.78259030075800784</v>
      </c>
      <c r="H29" s="5">
        <f>COUNTIF(RENDIMIENTO[MAQUILADOR],F29)</f>
        <v>24</v>
      </c>
      <c r="I29" s="21" cm="1">
        <f t="array" ref="I29">MIN(_xlfn._xlws.FILTER(RENDIMIENTO[[MAQUILADOR]:[RENDIMIENTO]],RENDIMIENTO[MAQUILADOR]=F29,"N/A"))</f>
        <v>0.36733333333333335</v>
      </c>
      <c r="J29" s="21" cm="1">
        <f t="array" ref="J29">MAX(_xlfn._xlws.FILTER(RENDIMIENTO[[MAQUILADOR]:[RENDIMIENTO]],RENDIMIENTO[MAQUILADOR]=F29,"N/A"))</f>
        <v>3.5172413793103448</v>
      </c>
      <c r="L29" t="str">
        <v>ABR-0331</v>
      </c>
      <c r="M29" t="str">
        <v>YESENIA ROJAS AVILA</v>
      </c>
      <c r="N29" s="21">
        <v>1.1432500000000001</v>
      </c>
    </row>
    <row r="30" spans="1:14" x14ac:dyDescent="0.25">
      <c r="A30" s="46" t="s">
        <v>1158</v>
      </c>
      <c r="B30" t="s">
        <v>990</v>
      </c>
      <c r="C30" s="19">
        <v>0.71700507614213194</v>
      </c>
      <c r="D30" s="19"/>
      <c r="F30" t="s">
        <v>1019</v>
      </c>
      <c r="G30" s="21">
        <f>SUMIF(RENDIMIENTO[MAQUILADOR],F30,RENDIMIENTO[RENDIMIENTO])/COUNTIF(RENDIMIENTO[MAQUILADOR],F30)</f>
        <v>0.13887587000914403</v>
      </c>
      <c r="H30" s="5">
        <f>COUNTIF(RENDIMIENTO[MAQUILADOR],F30)</f>
        <v>32</v>
      </c>
      <c r="I30" s="21" cm="1">
        <f t="array" ref="I30">MIN(_xlfn._xlws.FILTER(RENDIMIENTO[[MAQUILADOR]:[RENDIMIENTO]],RENDIMIENTO[MAQUILADOR]=F30,"N/A"))</f>
        <v>0.31346749226006193</v>
      </c>
      <c r="J30" s="21" cm="1">
        <f t="array" ref="J30">MAX(_xlfn._xlws.FILTER(RENDIMIENTO[[MAQUILADOR]:[RENDIMIENTO]],RENDIMIENTO[MAQUILADOR]=F30,"N/A"))</f>
        <v>0.92506459948320419</v>
      </c>
      <c r="L30" t="str">
        <v>MAR-0206</v>
      </c>
      <c r="M30" t="str">
        <v>YESENIA ROJAS AVILA</v>
      </c>
      <c r="N30" s="21">
        <v>1.1516129032258065</v>
      </c>
    </row>
    <row r="31" spans="1:14" x14ac:dyDescent="0.25">
      <c r="A31" s="46" t="s">
        <v>1158</v>
      </c>
      <c r="B31" t="s">
        <v>979</v>
      </c>
      <c r="C31" s="19">
        <v>0.71700507614213194</v>
      </c>
      <c r="D31" s="19"/>
      <c r="F31" t="s">
        <v>1021</v>
      </c>
      <c r="G31" s="21">
        <f>SUMIF(RENDIMIENTO[MAQUILADOR],F31,RENDIMIENTO[RENDIMIENTO])/COUNTIF(RENDIMIENTO[MAQUILADOR],F31)</f>
        <v>0.14666666666666667</v>
      </c>
      <c r="H31" s="5">
        <f>COUNTIF(RENDIMIENTO[MAQUILADOR],F31)</f>
        <v>5</v>
      </c>
      <c r="I31" s="21" cm="1">
        <f t="array" ref="I31">MIN(_xlfn._xlws.FILTER(RENDIMIENTO[[MAQUILADOR]:[RENDIMIENTO]],RENDIMIENTO[MAQUILADOR]=F31,"N/A"))</f>
        <v>0.73333333333333328</v>
      </c>
      <c r="J31" s="21" cm="1">
        <f t="array" ref="J31">MAX(_xlfn._xlws.FILTER(RENDIMIENTO[[MAQUILADOR]:[RENDIMIENTO]],RENDIMIENTO[MAQUILADOR]=F31,"N/A"))</f>
        <v>0.73333333333333328</v>
      </c>
      <c r="L31" t="str">
        <v>MAR-0253</v>
      </c>
      <c r="M31" t="str">
        <v>YESENIA ROJAS AVILA</v>
      </c>
      <c r="N31" s="21">
        <v>1.1759999999999999</v>
      </c>
    </row>
    <row r="32" spans="1:14" x14ac:dyDescent="0.25">
      <c r="A32" s="46" t="s">
        <v>1159</v>
      </c>
      <c r="B32" t="s">
        <v>1016</v>
      </c>
      <c r="C32" s="19">
        <v>0.54157782515991471</v>
      </c>
      <c r="D32" s="19"/>
      <c r="F32" t="s">
        <v>1023</v>
      </c>
      <c r="G32" s="21">
        <f>SUMIF(RENDIMIENTO[MAQUILADOR],F32,RENDIMIENTO[RENDIMIENTO])/COUNTIF(RENDIMIENTO[MAQUILADOR],F32)</f>
        <v>0.31693950697107953</v>
      </c>
      <c r="H32" s="5">
        <f>COUNTIF(RENDIMIENTO[MAQUILADOR],F32)</f>
        <v>50</v>
      </c>
      <c r="I32" s="21" cm="1">
        <f t="array" ref="I32">MIN(_xlfn._xlws.FILTER(RENDIMIENTO[[MAQUILADOR]:[RENDIMIENTO]],RENDIMIENTO[MAQUILADOR]=F32,"N/A"))</f>
        <v>0.19182948490230906</v>
      </c>
      <c r="J32" s="21" cm="1">
        <f t="array" ref="J32">MAX(_xlfn._xlws.FILTER(RENDIMIENTO[[MAQUILADOR]:[RENDIMIENTO]],RENDIMIENTO[MAQUILADOR]=F32,"N/A"))</f>
        <v>2.1702127659574466</v>
      </c>
      <c r="L32" t="str">
        <v>FEB-0003</v>
      </c>
      <c r="M32" t="str">
        <v>YESENIA ROJAS AVILA</v>
      </c>
      <c r="N32" s="21">
        <v>1.177142857142857</v>
      </c>
    </row>
    <row r="33" spans="1:14" x14ac:dyDescent="0.25">
      <c r="A33" s="46" t="s">
        <v>1159</v>
      </c>
      <c r="B33" t="s">
        <v>990</v>
      </c>
      <c r="C33" s="19">
        <v>0.54157782515991471</v>
      </c>
      <c r="D33" s="19"/>
      <c r="F33" t="s">
        <v>1013</v>
      </c>
      <c r="G33" s="21">
        <f>SUMIF(RENDIMIENTO[MAQUILADOR],F33,RENDIMIENTO[RENDIMIENTO])/COUNTIF(RENDIMIENTO[MAQUILADOR],F33)</f>
        <v>0.44606035621818391</v>
      </c>
      <c r="H33" s="5">
        <f>COUNTIF(RENDIMIENTO[MAQUILADOR],F33)</f>
        <v>63</v>
      </c>
      <c r="I33" s="21" cm="1">
        <f t="array" ref="I33">MIN(_xlfn._xlws.FILTER(RENDIMIENTO[[MAQUILADOR]:[RENDIMIENTO]],RENDIMIENTO[MAQUILADOR]=F33,"N/A"))</f>
        <v>0.19182948490230906</v>
      </c>
      <c r="J33" s="21" cm="1">
        <f t="array" ref="J33">MAX(_xlfn._xlws.FILTER(RENDIMIENTO[[MAQUILADOR]:[RENDIMIENTO]],RENDIMIENTO[MAQUILADOR]=F33,"N/A"))</f>
        <v>2.1702127659574466</v>
      </c>
      <c r="L33" t="str">
        <v>ABR-0303</v>
      </c>
      <c r="M33" t="str">
        <v>YESENIA ROJAS AVILA</v>
      </c>
      <c r="N33" s="21">
        <v>1.2</v>
      </c>
    </row>
    <row r="34" spans="1:14" x14ac:dyDescent="0.25">
      <c r="A34" s="46" t="s">
        <v>1159</v>
      </c>
      <c r="B34" t="s">
        <v>979</v>
      </c>
      <c r="C34" s="19">
        <v>0.54157782515991471</v>
      </c>
      <c r="D34" s="19"/>
      <c r="F34" t="s">
        <v>1025</v>
      </c>
      <c r="G34" s="21">
        <f>SUMIF(RENDIMIENTO[MAQUILADOR],F34,RENDIMIENTO[RENDIMIENTO])/COUNTIF(RENDIMIENTO[MAQUILADOR],F34)</f>
        <v>0.49315322913788862</v>
      </c>
      <c r="H34" s="5">
        <f>COUNTIF(RENDIMIENTO[MAQUILADOR],F34)</f>
        <v>30</v>
      </c>
      <c r="I34" s="21" cm="1">
        <f t="array" ref="I34">MIN(_xlfn._xlws.FILTER(RENDIMIENTO[[MAQUILADOR]:[RENDIMIENTO]],RENDIMIENTO[MAQUILADOR]=F34,"N/A"))</f>
        <v>0.19182948490230906</v>
      </c>
      <c r="J34" s="21" cm="1">
        <f t="array" ref="J34">MAX(_xlfn._xlws.FILTER(RENDIMIENTO[[MAQUILADOR]:[RENDIMIENTO]],RENDIMIENTO[MAQUILADOR]=F34,"N/A"))</f>
        <v>2.1702127659574466</v>
      </c>
      <c r="L34" t="str">
        <v>MAR-0261</v>
      </c>
      <c r="M34" t="str">
        <v>YESENIA ROJAS AVILA</v>
      </c>
      <c r="N34" s="21">
        <v>1.2619047619047619</v>
      </c>
    </row>
    <row r="35" spans="1:14" x14ac:dyDescent="0.25">
      <c r="A35" s="46" t="s">
        <v>1160</v>
      </c>
      <c r="B35" t="s">
        <v>986</v>
      </c>
      <c r="C35" s="19">
        <v>0.76616915422885568</v>
      </c>
      <c r="D35" s="19"/>
      <c r="F35" t="s">
        <v>987</v>
      </c>
      <c r="G35" s="21">
        <f>SUMIF(RENDIMIENTO[MAQUILADOR],F35,RENDIMIENTO[RENDIMIENTO])/COUNTIF(RENDIMIENTO[MAQUILADOR],F35)</f>
        <v>0.39611999506412804</v>
      </c>
      <c r="H35" s="5">
        <f>COUNTIF(RENDIMIENTO[MAQUILADOR],F35)</f>
        <v>82</v>
      </c>
      <c r="I35" s="21" cm="1">
        <f t="array" ref="I35">MIN(_xlfn._xlws.FILTER(RENDIMIENTO[[MAQUILADOR]:[RENDIMIENTO]],RENDIMIENTO[MAQUILADOR]=F35,"N/A"))</f>
        <v>0.15384615384615385</v>
      </c>
      <c r="J35" s="21" cm="1">
        <f t="array" ref="J35">MAX(_xlfn._xlws.FILTER(RENDIMIENTO[[MAQUILADOR]:[RENDIMIENTO]],RENDIMIENTO[MAQUILADOR]=F35,"N/A"))</f>
        <v>1.8531468531468531</v>
      </c>
      <c r="L35" t="str">
        <v>MAR-0261</v>
      </c>
      <c r="M35" t="str">
        <v>YESENIA ROJAS AVILA</v>
      </c>
      <c r="N35" s="21">
        <v>1.2619047619047619</v>
      </c>
    </row>
    <row r="36" spans="1:14" x14ac:dyDescent="0.25">
      <c r="A36" s="46" t="s">
        <v>1160</v>
      </c>
      <c r="B36" t="s">
        <v>977</v>
      </c>
      <c r="C36" s="19">
        <v>0.76616915422885568</v>
      </c>
      <c r="D36" s="19"/>
      <c r="F36" t="s">
        <v>1026</v>
      </c>
      <c r="G36" s="21">
        <f>SUMIF(RENDIMIENTO[MAQUILADOR],F36,RENDIMIENTO[RENDIMIENTO])/COUNTIF(RENDIMIENTO[MAQUILADOR],F36)</f>
        <v>0.28474165251704614</v>
      </c>
      <c r="H36" s="5">
        <f>COUNTIF(RENDIMIENTO[MAQUILADOR],F36)</f>
        <v>15</v>
      </c>
      <c r="I36" s="21" cm="1">
        <f t="array" ref="I36">MIN(_xlfn._xlws.FILTER(RENDIMIENTO[[MAQUILADOR]:[RENDIMIENTO]],RENDIMIENTO[MAQUILADOR]=F36,"N/A"))</f>
        <v>0.31346749226006193</v>
      </c>
      <c r="J36" s="21" cm="1">
        <f t="array" ref="J36">MAX(_xlfn._xlws.FILTER(RENDIMIENTO[[MAQUILADOR]:[RENDIMIENTO]],RENDIMIENTO[MAQUILADOR]=F36,"N/A"))</f>
        <v>0.88520055325034575</v>
      </c>
      <c r="L36" t="str">
        <v>MAR-0241</v>
      </c>
      <c r="M36" t="str">
        <v>YESENIA ROJAS AVILA</v>
      </c>
      <c r="N36" s="21">
        <v>1.3229166666666667</v>
      </c>
    </row>
    <row r="37" spans="1:14" x14ac:dyDescent="0.25">
      <c r="A37" s="46" t="s">
        <v>1160</v>
      </c>
      <c r="B37" t="s">
        <v>989</v>
      </c>
      <c r="C37" s="19">
        <v>0.76616915422885568</v>
      </c>
      <c r="D37" s="19"/>
      <c r="F37" t="s">
        <v>989</v>
      </c>
      <c r="G37" s="21">
        <f>SUMIF(RENDIMIENTO[MAQUILADOR],F37,RENDIMIENTO[RENDIMIENTO])/COUNTIF(RENDIMIENTO[MAQUILADOR],F37)</f>
        <v>0.42392177821776711</v>
      </c>
      <c r="H37" s="5">
        <f>COUNTIF(RENDIMIENTO[MAQUILADOR],F37)</f>
        <v>72</v>
      </c>
      <c r="I37" s="21" cm="1">
        <f t="array" ref="I37">MIN(_xlfn._xlws.FILTER(RENDIMIENTO[[MAQUILADOR]:[RENDIMIENTO]],RENDIMIENTO[MAQUILADOR]=F37,"N/A"))</f>
        <v>0.15384615384615385</v>
      </c>
      <c r="J37" s="21" cm="1">
        <f t="array" ref="J37">MAX(_xlfn._xlws.FILTER(RENDIMIENTO[[MAQUILADOR]:[RENDIMIENTO]],RENDIMIENTO[MAQUILADOR]=F37,"N/A"))</f>
        <v>2.96</v>
      </c>
      <c r="L37" t="str">
        <v>MAR-0262</v>
      </c>
      <c r="M37" t="str">
        <v>YESENIA ROJAS AVILA</v>
      </c>
      <c r="N37" s="21">
        <v>1.3259668508287292</v>
      </c>
    </row>
    <row r="38" spans="1:14" x14ac:dyDescent="0.25">
      <c r="A38" s="46" t="s">
        <v>1160</v>
      </c>
      <c r="B38" t="s">
        <v>978</v>
      </c>
      <c r="C38" s="19">
        <v>0.76616915422885568</v>
      </c>
      <c r="D38" s="19"/>
      <c r="F38" t="s">
        <v>1011</v>
      </c>
      <c r="G38" s="21">
        <f>SUMIF(RENDIMIENTO[MAQUILADOR],F38,RENDIMIENTO[RENDIMIENTO])/COUNTIF(RENDIMIENTO[MAQUILADOR],F38)</f>
        <v>0.40656614825416759</v>
      </c>
      <c r="H38" s="5">
        <f>COUNTIF(RENDIMIENTO[MAQUILADOR],F38)</f>
        <v>59</v>
      </c>
      <c r="I38" s="21" cm="1">
        <f t="array" ref="I38">MIN(_xlfn._xlws.FILTER(RENDIMIENTO[[MAQUILADOR]:[RENDIMIENTO]],RENDIMIENTO[MAQUILADOR]=F38,"N/A"))</f>
        <v>0.19182948490230906</v>
      </c>
      <c r="J38" s="21" cm="1">
        <f t="array" ref="J38">MAX(_xlfn._xlws.FILTER(RENDIMIENTO[[MAQUILADOR]:[RENDIMIENTO]],RENDIMIENTO[MAQUILADOR]=F38,"N/A"))</f>
        <v>2.1702127659574466</v>
      </c>
      <c r="L38" t="str">
        <v>MAR-0262</v>
      </c>
      <c r="M38" t="str">
        <v>YESENIA ROJAS AVILA</v>
      </c>
      <c r="N38" s="21">
        <v>1.3259668508287292</v>
      </c>
    </row>
    <row r="39" spans="1:14" x14ac:dyDescent="0.25">
      <c r="A39" s="46" t="s">
        <v>1161</v>
      </c>
      <c r="B39" t="s">
        <v>986</v>
      </c>
      <c r="C39" s="19">
        <v>0.71945701357466063</v>
      </c>
      <c r="D39" s="19"/>
      <c r="F39" t="s">
        <v>1028</v>
      </c>
      <c r="G39" s="21">
        <f>SUMIF(RENDIMIENTO[MAQUILADOR],F39,RENDIMIENTO[RENDIMIENTO])/COUNTIF(RENDIMIENTO[MAQUILADOR],F39)</f>
        <v>0.17340472423626946</v>
      </c>
      <c r="H39" s="5">
        <f>COUNTIF(RENDIMIENTO[MAQUILADOR],F39)</f>
        <v>20</v>
      </c>
      <c r="I39" s="21" cm="1">
        <f t="array" ref="I39">MIN(_xlfn._xlws.FILTER(RENDIMIENTO[[MAQUILADOR]:[RENDIMIENTO]],RENDIMIENTO[MAQUILADOR]=F39,"N/A"))</f>
        <v>0.31346749226006193</v>
      </c>
      <c r="J39" s="21" cm="1">
        <f t="array" ref="J39">MAX(_xlfn._xlws.FILTER(RENDIMIENTO[[MAQUILADOR]:[RENDIMIENTO]],RENDIMIENTO[MAQUILADOR]=F39,"N/A"))</f>
        <v>0.88520055325034575</v>
      </c>
      <c r="L39" t="str">
        <v>MAR-0287</v>
      </c>
      <c r="M39" t="str">
        <v>YESENIA ROJAS AVILA</v>
      </c>
      <c r="N39" s="21">
        <v>1.3815384615384616</v>
      </c>
    </row>
    <row r="40" spans="1:14" x14ac:dyDescent="0.25">
      <c r="A40" s="46" t="s">
        <v>1161</v>
      </c>
      <c r="B40" t="s">
        <v>977</v>
      </c>
      <c r="C40" s="19">
        <v>0.71945701357466063</v>
      </c>
      <c r="D40" s="19"/>
      <c r="F40" t="s">
        <v>1027</v>
      </c>
      <c r="G40" s="21">
        <f>SUMIF(RENDIMIENTO[MAQUILADOR],F40,RENDIMIENTO[RENDIMIENTO])/COUNTIF(RENDIMIENTO[MAQUILADOR],F40)</f>
        <v>0.18894300580260354</v>
      </c>
      <c r="H40" s="5">
        <f>COUNTIF(RENDIMIENTO[MAQUILADOR],F40)</f>
        <v>52</v>
      </c>
      <c r="I40" s="21" cm="1">
        <f t="array" ref="I40">MIN(_xlfn._xlws.FILTER(RENDIMIENTO[[MAQUILADOR]:[RENDIMIENTO]],RENDIMIENTO[MAQUILADOR]=F40,"N/A"))</f>
        <v>0.15384615384615385</v>
      </c>
      <c r="J40" s="21" cm="1">
        <f t="array" ref="J40">MAX(_xlfn._xlws.FILTER(RENDIMIENTO[[MAQUILADOR]:[RENDIMIENTO]],RENDIMIENTO[MAQUILADOR]=F40,"N/A"))</f>
        <v>1.1458333333333333</v>
      </c>
      <c r="L40" t="str">
        <v>MAR-0281</v>
      </c>
      <c r="M40" t="str">
        <v>YESENIA ROJAS AVILA</v>
      </c>
      <c r="N40" s="21">
        <v>1.4546874999999999</v>
      </c>
    </row>
    <row r="41" spans="1:14" x14ac:dyDescent="0.25">
      <c r="A41" s="46" t="s">
        <v>1161</v>
      </c>
      <c r="B41" t="s">
        <v>989</v>
      </c>
      <c r="C41" s="19">
        <v>0.71945701357466063</v>
      </c>
      <c r="D41" s="19"/>
      <c r="F41" t="s">
        <v>1029</v>
      </c>
      <c r="G41" s="21">
        <f>SUMIF(RENDIMIENTO[MAQUILADOR],F41,RENDIMIENTO[RENDIMIENTO])/COUNTIF(RENDIMIENTO[MAQUILADOR],F41)</f>
        <v>0.34756542158835058</v>
      </c>
      <c r="H41" s="5">
        <f>COUNTIF(RENDIMIENTO[MAQUILADOR],F41)</f>
        <v>55</v>
      </c>
      <c r="I41" s="21" cm="1">
        <f t="array" ref="I41">MIN(_xlfn._xlws.FILTER(RENDIMIENTO[[MAQUILADOR]:[RENDIMIENTO]],RENDIMIENTO[MAQUILADOR]=F41,"N/A"))</f>
        <v>0.34166666666666667</v>
      </c>
      <c r="J41" s="21" cm="1">
        <f t="array" ref="J41">MAX(_xlfn._xlws.FILTER(RENDIMIENTO[[MAQUILADOR]:[RENDIMIENTO]],RENDIMIENTO[MAQUILADOR]=F41,"N/A"))</f>
        <v>2.3502304147465436</v>
      </c>
      <c r="L41" t="str">
        <v>ABR-0335</v>
      </c>
      <c r="M41" t="str">
        <v>YESENIA ROJAS AVILA</v>
      </c>
      <c r="N41" s="21">
        <v>2.0164917541229386</v>
      </c>
    </row>
    <row r="42" spans="1:14" x14ac:dyDescent="0.25">
      <c r="A42" s="46" t="s">
        <v>1161</v>
      </c>
      <c r="B42" t="s">
        <v>978</v>
      </c>
      <c r="C42" s="19">
        <v>0.71945701357466063</v>
      </c>
      <c r="D42" s="19"/>
      <c r="F42" t="s">
        <v>1030</v>
      </c>
      <c r="G42" s="21">
        <f>SUMIF(RENDIMIENTO[MAQUILADOR],F42,RENDIMIENTO[RENDIMIENTO])/COUNTIF(RENDIMIENTO[MAQUILADOR],F42)</f>
        <v>0.20060836540003205</v>
      </c>
      <c r="H42" s="5">
        <f>COUNTIF(RENDIMIENTO[MAQUILADOR],F42)</f>
        <v>24</v>
      </c>
      <c r="I42" s="21" cm="1">
        <f t="array" ref="I42">MIN(_xlfn._xlws.FILTER(RENDIMIENTO[[MAQUILADOR]:[RENDIMIENTO]],RENDIMIENTO[MAQUILADOR]=F42,"N/A"))</f>
        <v>0.3968253968253968</v>
      </c>
      <c r="J42" s="21" cm="1">
        <f t="array" ref="J42">MAX(_xlfn._xlws.FILTER(RENDIMIENTO[[MAQUILADOR]:[RENDIMIENTO]],RENDIMIENTO[MAQUILADOR]=F42,"N/A"))</f>
        <v>1</v>
      </c>
      <c r="L42" t="str">
        <v>ENE-0012-12733</v>
      </c>
      <c r="M42" t="str">
        <v>YESENIA ROJAS AVILA</v>
      </c>
      <c r="N42" s="21">
        <v>0</v>
      </c>
    </row>
    <row r="43" spans="1:14" x14ac:dyDescent="0.25">
      <c r="A43" s="46" t="s">
        <v>1162</v>
      </c>
      <c r="B43" t="s">
        <v>973</v>
      </c>
      <c r="C43" s="19">
        <v>0.45850000000000002</v>
      </c>
      <c r="D43" s="19"/>
      <c r="F43" t="s">
        <v>974</v>
      </c>
      <c r="G43" s="21">
        <f>SUMIF(RENDIMIENTO[MAQUILADOR],F43,RENDIMIENTO[RENDIMIENTO])/COUNTIF(RENDIMIENTO[MAQUILADOR],F43)</f>
        <v>0.47180430017530695</v>
      </c>
      <c r="H43" s="5">
        <f>COUNTIF(RENDIMIENTO[MAQUILADOR],F43)</f>
        <v>76</v>
      </c>
      <c r="I43" s="21" cm="1">
        <f t="array" ref="I43">MIN(_xlfn._xlws.FILTER(RENDIMIENTO[[MAQUILADOR]:[RENDIMIENTO]],RENDIMIENTO[MAQUILADOR]=F43,"N/A"))</f>
        <v>0</v>
      </c>
      <c r="J43" s="21" cm="1">
        <f t="array" ref="J43">MAX(_xlfn._xlws.FILTER(RENDIMIENTO[[MAQUILADOR]:[RENDIMIENTO]],RENDIMIENTO[MAQUILADOR]=F43,"N/A"))</f>
        <v>2.0787878787878786</v>
      </c>
      <c r="L43" t="str">
        <v>ENE-0014-12734</v>
      </c>
      <c r="M43" t="str">
        <v>YESENIA ROJAS AVILA</v>
      </c>
      <c r="N43" s="21">
        <v>0</v>
      </c>
    </row>
    <row r="44" spans="1:14" x14ac:dyDescent="0.25">
      <c r="A44" s="46" t="s">
        <v>1162</v>
      </c>
      <c r="B44" t="s">
        <v>1008</v>
      </c>
      <c r="C44" s="19">
        <v>0.45850000000000002</v>
      </c>
      <c r="D44" s="19"/>
      <c r="F44" t="s">
        <v>1031</v>
      </c>
      <c r="G44" s="21">
        <f>SUMIF(RENDIMIENTO[MAQUILADOR],F44,RENDIMIENTO[RENDIMIENTO])/COUNTIF(RENDIMIENTO[MAQUILADOR],F44)</f>
        <v>0.30567115577646625</v>
      </c>
      <c r="H44" s="5">
        <f>COUNTIF(RENDIMIENTO[MAQUILADOR],F44)</f>
        <v>37</v>
      </c>
      <c r="I44" s="21" cm="1">
        <f t="array" ref="I44">MIN(_xlfn._xlws.FILTER(RENDIMIENTO[[MAQUILADOR]:[RENDIMIENTO]],RENDIMIENTO[MAQUILADOR]=F44,"N/A"))</f>
        <v>0.15384615384615385</v>
      </c>
      <c r="J44" s="21" cm="1">
        <f t="array" ref="J44">MAX(_xlfn._xlws.FILTER(RENDIMIENTO[[MAQUILADOR]:[RENDIMIENTO]],RENDIMIENTO[MAQUILADOR]=F44,"N/A"))</f>
        <v>1.1516129032258065</v>
      </c>
      <c r="L44" t="str">
        <v>ENE-0024-12744</v>
      </c>
      <c r="M44" t="str">
        <v>YESENIA ROJAS AVILA</v>
      </c>
      <c r="N44" s="21">
        <v>0</v>
      </c>
    </row>
    <row r="45" spans="1:14" x14ac:dyDescent="0.25">
      <c r="A45" s="46" t="s">
        <v>1163</v>
      </c>
      <c r="B45" t="s">
        <v>973</v>
      </c>
      <c r="C45" s="19">
        <v>0.64222222222222225</v>
      </c>
      <c r="D45" s="19"/>
      <c r="F45" t="s">
        <v>1032</v>
      </c>
      <c r="G45" s="21">
        <f>SUMIF(RENDIMIENTO[MAQUILADOR],F45,RENDIMIENTO[RENDIMIENTO])/COUNTIF(RENDIMIENTO[MAQUILADOR],F45)</f>
        <v>0.43009152550743901</v>
      </c>
      <c r="H45" s="5">
        <f>COUNTIF(RENDIMIENTO[MAQUILADOR],F45)</f>
        <v>31</v>
      </c>
      <c r="I45" s="21" cm="1">
        <f t="array" ref="I45">MIN(_xlfn._xlws.FILTER(RENDIMIENTO[[MAQUILADOR]:[RENDIMIENTO]],RENDIMIENTO[MAQUILADOR]=F45,"N/A"))</f>
        <v>0.15384615384615385</v>
      </c>
      <c r="J45" s="21" cm="1">
        <f t="array" ref="J45">MAX(_xlfn._xlws.FILTER(RENDIMIENTO[[MAQUILADOR]:[RENDIMIENTO]],RENDIMIENTO[MAQUILADOR]=F45,"N/A"))</f>
        <v>2.0787878787878786</v>
      </c>
      <c r="L45" t="str">
        <v>ENE-0039-12769</v>
      </c>
      <c r="M45" t="str">
        <v>YESENIA ROJAS AVILA</v>
      </c>
      <c r="N45" s="21">
        <v>0</v>
      </c>
    </row>
    <row r="46" spans="1:14" x14ac:dyDescent="0.25">
      <c r="A46" s="46" t="s">
        <v>1163</v>
      </c>
      <c r="B46" t="s">
        <v>1008</v>
      </c>
      <c r="C46" s="19">
        <v>0.64222222222222225</v>
      </c>
      <c r="D46" s="19"/>
      <c r="F46" t="s">
        <v>1033</v>
      </c>
      <c r="G46" s="21">
        <f>SUMIF(RENDIMIENTO[MAQUILADOR],F46,RENDIMIENTO[RENDIMIENTO])/COUNTIF(RENDIMIENTO[MAQUILADOR],F46)</f>
        <v>0.31341098231252928</v>
      </c>
      <c r="H46" s="5">
        <f>COUNTIF(RENDIMIENTO[MAQUILADOR],F46)</f>
        <v>42</v>
      </c>
      <c r="I46" s="21" cm="1">
        <f t="array" ref="I46">MIN(_xlfn._xlws.FILTER(RENDIMIENTO[[MAQUILADOR]:[RENDIMIENTO]],RENDIMIENTO[MAQUILADOR]=F46,"N/A"))</f>
        <v>0.17222222222222222</v>
      </c>
      <c r="J46" s="21" cm="1">
        <f t="array" ref="J46">MAX(_xlfn._xlws.FILTER(RENDIMIENTO[[MAQUILADOR]:[RENDIMIENTO]],RENDIMIENTO[MAQUILADOR]=F46,"N/A"))</f>
        <v>1.0533617929562433</v>
      </c>
      <c r="L46" t="str">
        <v>ENE-0047-12770</v>
      </c>
      <c r="M46" t="str">
        <v>YESENIA ROJAS AVILA</v>
      </c>
      <c r="N46" s="21">
        <v>0</v>
      </c>
    </row>
    <row r="47" spans="1:14" x14ac:dyDescent="0.25">
      <c r="A47" s="46" t="s">
        <v>1166</v>
      </c>
      <c r="B47" t="s">
        <v>973</v>
      </c>
      <c r="C47" s="19">
        <v>0.61140000000000005</v>
      </c>
      <c r="D47" s="19"/>
      <c r="F47" t="s">
        <v>1034</v>
      </c>
      <c r="G47" s="21">
        <f>SUMIF(RENDIMIENTO[MAQUILADOR],F47,RENDIMIENTO[RENDIMIENTO])/COUNTIF(RENDIMIENTO[MAQUILADOR],F47)</f>
        <v>0.48565912733119865</v>
      </c>
      <c r="H47" s="5">
        <f>COUNTIF(RENDIMIENTO[MAQUILADOR],F47)</f>
        <v>25</v>
      </c>
      <c r="I47" s="21" cm="1">
        <f t="array" ref="I47">MIN(_xlfn._xlws.FILTER(RENDIMIENTO[[MAQUILADOR]:[RENDIMIENTO]],RENDIMIENTO[MAQUILADOR]=F47,"N/A"))</f>
        <v>6.6666666666666666E-2</v>
      </c>
      <c r="J47" s="21" cm="1">
        <f t="array" ref="J47">MAX(_xlfn._xlws.FILTER(RENDIMIENTO[[MAQUILADOR]:[RENDIMIENTO]],RENDIMIENTO[MAQUILADOR]=F47,"N/A"))</f>
        <v>1.0311493018259936</v>
      </c>
      <c r="L47" t="str">
        <v>ENE-0052-12773</v>
      </c>
      <c r="M47" t="str">
        <v>YESENIA ROJAS AVILA</v>
      </c>
      <c r="N47" s="21">
        <v>0</v>
      </c>
    </row>
    <row r="48" spans="1:14" x14ac:dyDescent="0.25">
      <c r="A48" s="46" t="s">
        <v>1166</v>
      </c>
      <c r="B48" t="s">
        <v>979</v>
      </c>
      <c r="C48" s="19">
        <v>0.61140000000000005</v>
      </c>
      <c r="D48" s="19"/>
      <c r="F48" t="s">
        <v>1035</v>
      </c>
      <c r="G48" s="21">
        <f>SUMIF(RENDIMIENTO[MAQUILADOR],F48,RENDIMIENTO[RENDIMIENTO])/COUNTIF(RENDIMIENTO[MAQUILADOR],F48)</f>
        <v>0.4363201018654056</v>
      </c>
      <c r="H48" s="5">
        <f>COUNTIF(RENDIMIENTO[MAQUILADOR],F48)</f>
        <v>28</v>
      </c>
      <c r="I48" s="21" cm="1">
        <f t="array" ref="I48">MIN(_xlfn._xlws.FILTER(RENDIMIENTO[[MAQUILADOR]:[RENDIMIENTO]],RENDIMIENTO[MAQUILADOR]=F48,"N/A"))</f>
        <v>0.17222222222222222</v>
      </c>
      <c r="J48" s="21" cm="1">
        <f t="array" ref="J48">MAX(_xlfn._xlws.FILTER(RENDIMIENTO[[MAQUILADOR]:[RENDIMIENTO]],RENDIMIENTO[MAQUILADOR]=F48,"N/A"))</f>
        <v>1.0311493018259936</v>
      </c>
      <c r="L48" t="str">
        <v>ENE-0064-12783</v>
      </c>
      <c r="M48" t="str">
        <v>YESENIA ROJAS AVILA</v>
      </c>
      <c r="N48" s="21">
        <v>0</v>
      </c>
    </row>
    <row r="49" spans="1:14" x14ac:dyDescent="0.25">
      <c r="A49" s="46" t="s">
        <v>1167</v>
      </c>
      <c r="B49" t="s">
        <v>981</v>
      </c>
      <c r="C49" s="19">
        <v>1.036</v>
      </c>
      <c r="D49" s="19"/>
      <c r="F49" t="s">
        <v>1036</v>
      </c>
      <c r="G49" s="21">
        <f>SUMIF(RENDIMIENTO[MAQUILADOR],F49,RENDIMIENTO[RENDIMIENTO])/COUNTIF(RENDIMIENTO[MAQUILADOR],F49)</f>
        <v>5.1256613756613757E-2</v>
      </c>
      <c r="H49" s="5">
        <f>COUNTIF(RENDIMIENTO[MAQUILADOR],F49)</f>
        <v>6</v>
      </c>
      <c r="I49" s="21" cm="1">
        <f t="array" ref="I49">MIN(_xlfn._xlws.FILTER(RENDIMIENTO[[MAQUILADOR]:[RENDIMIENTO]],RENDIMIENTO[MAQUILADOR]=F49,"N/A"))</f>
        <v>0.30753968253968256</v>
      </c>
      <c r="J49" s="21" cm="1">
        <f t="array" ref="J49">MAX(_xlfn._xlws.FILTER(RENDIMIENTO[[MAQUILADOR]:[RENDIMIENTO]],RENDIMIENTO[MAQUILADOR]=F49,"N/A"))</f>
        <v>0.30753968253968256</v>
      </c>
      <c r="L49" t="str">
        <v>ENE-0079-12843</v>
      </c>
      <c r="M49" t="str">
        <v>YESENIA ROJAS AVILA</v>
      </c>
      <c r="N49">
        <v>0</v>
      </c>
    </row>
    <row r="50" spans="1:14" x14ac:dyDescent="0.25">
      <c r="A50" s="46" t="s">
        <v>1167</v>
      </c>
      <c r="B50" t="s">
        <v>990</v>
      </c>
      <c r="C50" s="19">
        <v>1.036</v>
      </c>
      <c r="D50" s="19"/>
      <c r="L50" t="str">
        <v>ENE-0096-12884</v>
      </c>
      <c r="M50" t="str">
        <v>YESENIA ROJAS AVILA</v>
      </c>
      <c r="N50">
        <v>0</v>
      </c>
    </row>
    <row r="51" spans="1:14" x14ac:dyDescent="0.25">
      <c r="A51" s="46" t="s">
        <v>1167</v>
      </c>
      <c r="B51" t="s">
        <v>1016</v>
      </c>
      <c r="C51" s="19">
        <v>1.036</v>
      </c>
      <c r="D51" s="19"/>
      <c r="L51" t="str">
        <v>ENE-0105-12885</v>
      </c>
      <c r="M51" t="str">
        <v>YESENIA ROJAS AVILA</v>
      </c>
      <c r="N51">
        <v>0</v>
      </c>
    </row>
    <row r="52" spans="1:14" x14ac:dyDescent="0.25">
      <c r="A52" s="46" t="s">
        <v>1167</v>
      </c>
      <c r="B52" t="s">
        <v>986</v>
      </c>
      <c r="C52" s="19">
        <v>1.036</v>
      </c>
      <c r="D52" s="19"/>
      <c r="L52" t="str">
        <v>ENE-0109-12889</v>
      </c>
      <c r="M52" t="str">
        <v>YESENIA ROJAS AVILA</v>
      </c>
      <c r="N52">
        <v>0</v>
      </c>
    </row>
    <row r="53" spans="1:14" x14ac:dyDescent="0.25">
      <c r="A53" s="46" t="s">
        <v>1168</v>
      </c>
      <c r="B53" t="s">
        <v>981</v>
      </c>
      <c r="C53" s="19">
        <v>0.85635359116022103</v>
      </c>
      <c r="D53" s="19"/>
      <c r="L53" t="str">
        <v>ENE-0124-12930</v>
      </c>
      <c r="M53" t="str">
        <v>YESENIA ROJAS AVILA</v>
      </c>
      <c r="N53">
        <v>0</v>
      </c>
    </row>
    <row r="54" spans="1:14" x14ac:dyDescent="0.25">
      <c r="A54" s="46" t="s">
        <v>1168</v>
      </c>
      <c r="B54" t="s">
        <v>990</v>
      </c>
      <c r="C54" s="19">
        <v>0.85635359116022103</v>
      </c>
      <c r="D54" s="19"/>
      <c r="L54" t="str">
        <v>ENE-0125-12932</v>
      </c>
      <c r="M54" t="str">
        <v>YESENIA ROJAS AVILA</v>
      </c>
      <c r="N54">
        <v>0</v>
      </c>
    </row>
    <row r="55" spans="1:14" x14ac:dyDescent="0.25">
      <c r="A55" s="46" t="s">
        <v>1168</v>
      </c>
      <c r="B55" t="s">
        <v>1016</v>
      </c>
      <c r="C55" s="19">
        <v>0.85635359116022103</v>
      </c>
      <c r="D55" s="19"/>
      <c r="L55" t="str">
        <v>ENE-0132-12934</v>
      </c>
      <c r="M55" t="str">
        <v>YESENIA ROJAS AVILA</v>
      </c>
      <c r="N55">
        <v>0</v>
      </c>
    </row>
    <row r="56" spans="1:14" x14ac:dyDescent="0.25">
      <c r="A56" s="46" t="s">
        <v>1168</v>
      </c>
      <c r="B56" t="s">
        <v>986</v>
      </c>
      <c r="C56" s="19">
        <v>0.85635359116022103</v>
      </c>
      <c r="D56" s="19"/>
      <c r="L56" t="str">
        <v>ENE-0139-12951</v>
      </c>
      <c r="M56" t="str">
        <v>YESENIA ROJAS AVILA</v>
      </c>
      <c r="N56">
        <v>0</v>
      </c>
    </row>
    <row r="57" spans="1:14" x14ac:dyDescent="0.25">
      <c r="A57" s="46" t="s">
        <v>1169</v>
      </c>
      <c r="B57" t="s">
        <v>978</v>
      </c>
      <c r="C57" s="19">
        <v>0.75438596491228072</v>
      </c>
      <c r="D57" s="19"/>
      <c r="L57" t="str">
        <v>ENE-0167-12989</v>
      </c>
      <c r="M57" t="str">
        <v>YESENIA ROJAS AVILA</v>
      </c>
      <c r="N57">
        <v>0</v>
      </c>
    </row>
    <row r="58" spans="1:14" x14ac:dyDescent="0.25">
      <c r="A58" s="46" t="s">
        <v>1169</v>
      </c>
      <c r="B58" t="s">
        <v>989</v>
      </c>
      <c r="C58" s="19">
        <v>0.75438596491228072</v>
      </c>
      <c r="D58" s="19"/>
      <c r="L58" t="str">
        <v>ENE-0168-12991</v>
      </c>
      <c r="M58" t="str">
        <v>YESENIA ROJAS AVILA</v>
      </c>
      <c r="N58">
        <v>0</v>
      </c>
    </row>
    <row r="59" spans="1:14" x14ac:dyDescent="0.25">
      <c r="A59" s="46" t="s">
        <v>1169</v>
      </c>
      <c r="B59" t="s">
        <v>987</v>
      </c>
      <c r="C59" s="19">
        <v>0.75438596491228072</v>
      </c>
      <c r="D59" s="19"/>
      <c r="L59" t="str">
        <v>ENE-0170-12992</v>
      </c>
      <c r="M59" t="str">
        <v>YESENIA ROJAS AVILA</v>
      </c>
      <c r="N59">
        <v>0</v>
      </c>
    </row>
    <row r="60" spans="1:14" x14ac:dyDescent="0.25">
      <c r="A60" s="46" t="s">
        <v>1170</v>
      </c>
      <c r="B60" t="s">
        <v>974</v>
      </c>
      <c r="C60" s="19">
        <v>0.73684210526315785</v>
      </c>
      <c r="D60" s="19"/>
      <c r="L60" t="str">
        <v>ENE-0177-13012</v>
      </c>
      <c r="M60" t="str">
        <v>YESENIA ROJAS AVILA</v>
      </c>
      <c r="N60">
        <v>0</v>
      </c>
    </row>
    <row r="61" spans="1:14" x14ac:dyDescent="0.25">
      <c r="A61" s="46" t="s">
        <v>1170</v>
      </c>
      <c r="B61" t="s">
        <v>1008</v>
      </c>
      <c r="C61" s="19">
        <v>0.73684210526315785</v>
      </c>
      <c r="D61" s="19"/>
      <c r="L61" t="str">
        <v>ENE-0179-13017</v>
      </c>
      <c r="M61" t="str">
        <v>YESENIA ROJAS AVILA</v>
      </c>
      <c r="N61">
        <v>0</v>
      </c>
    </row>
    <row r="62" spans="1:14" x14ac:dyDescent="0.25">
      <c r="A62" s="46" t="s">
        <v>1170</v>
      </c>
      <c r="B62" t="s">
        <v>976</v>
      </c>
      <c r="C62" s="19">
        <v>0.73684210526315785</v>
      </c>
      <c r="D62" s="19"/>
      <c r="L62" t="str">
        <v>ENE-0182-13019</v>
      </c>
      <c r="M62" t="str">
        <v>YESENIA ROJAS AVILA</v>
      </c>
      <c r="N62">
        <v>0</v>
      </c>
    </row>
    <row r="63" spans="1:14" x14ac:dyDescent="0.25">
      <c r="A63" s="46" t="s">
        <v>1176</v>
      </c>
      <c r="B63" t="s">
        <v>1013</v>
      </c>
      <c r="C63" s="19">
        <v>0.34482758620689657</v>
      </c>
      <c r="D63" s="19"/>
      <c r="L63" t="str">
        <v>ENE-0195-13043</v>
      </c>
      <c r="M63" t="str">
        <v>YESENIA ROJAS AVILA</v>
      </c>
      <c r="N63">
        <v>0</v>
      </c>
    </row>
    <row r="64" spans="1:14" x14ac:dyDescent="0.25">
      <c r="A64" s="46" t="s">
        <v>1176</v>
      </c>
      <c r="B64" t="s">
        <v>1011</v>
      </c>
      <c r="C64" s="19">
        <v>0.34482758620689657</v>
      </c>
      <c r="D64" s="19"/>
      <c r="L64" t="str">
        <v>ENE-0199-13044</v>
      </c>
      <c r="M64" t="str">
        <v>YESENIA ROJAS AVILA</v>
      </c>
      <c r="N64">
        <v>0</v>
      </c>
    </row>
    <row r="65" spans="1:14" x14ac:dyDescent="0.25">
      <c r="A65" s="46" t="s">
        <v>1178</v>
      </c>
      <c r="B65" t="s">
        <v>1013</v>
      </c>
      <c r="C65" s="19">
        <v>0.4556</v>
      </c>
      <c r="D65" s="19"/>
      <c r="L65" t="str">
        <v>ENE-0201-13046</v>
      </c>
      <c r="M65" t="str">
        <v>YESENIA ROJAS AVILA</v>
      </c>
      <c r="N65">
        <v>0</v>
      </c>
    </row>
    <row r="66" spans="1:14" x14ac:dyDescent="0.25">
      <c r="A66" s="46" t="s">
        <v>1178</v>
      </c>
      <c r="B66" t="s">
        <v>1011</v>
      </c>
      <c r="C66" s="19">
        <v>0.4556</v>
      </c>
      <c r="D66" s="19"/>
      <c r="L66" t="str">
        <v>ENE-0214-13069</v>
      </c>
      <c r="M66" t="str">
        <v>YESENIA ROJAS AVILA</v>
      </c>
      <c r="N66">
        <v>0</v>
      </c>
    </row>
    <row r="67" spans="1:14" x14ac:dyDescent="0.25">
      <c r="A67" s="46" t="s">
        <v>1179</v>
      </c>
      <c r="B67" t="s">
        <v>975</v>
      </c>
      <c r="C67" s="19">
        <v>1.1861111111111111</v>
      </c>
      <c r="D67" s="19"/>
      <c r="L67" t="str">
        <v>ENE-0215-13085</v>
      </c>
      <c r="M67" t="str">
        <v>YESENIA ROJAS AVILA</v>
      </c>
      <c r="N67">
        <v>0</v>
      </c>
    </row>
    <row r="68" spans="1:14" x14ac:dyDescent="0.25">
      <c r="A68" s="46" t="s">
        <v>1179</v>
      </c>
      <c r="B68" t="s">
        <v>981</v>
      </c>
      <c r="C68" s="19">
        <v>1.1861111111111111</v>
      </c>
      <c r="D68" s="19"/>
      <c r="L68" t="str">
        <v>ENE-0226-13071</v>
      </c>
      <c r="M68" t="str">
        <v>YESENIA ROJAS AVILA</v>
      </c>
      <c r="N68">
        <v>0</v>
      </c>
    </row>
    <row r="69" spans="1:14" x14ac:dyDescent="0.25">
      <c r="A69" s="46" t="s">
        <v>1181</v>
      </c>
      <c r="B69" t="s">
        <v>974</v>
      </c>
      <c r="C69" s="19">
        <v>0.625</v>
      </c>
      <c r="D69" s="19"/>
      <c r="L69" t="str">
        <v>ENE-0230-13103</v>
      </c>
      <c r="M69" t="str">
        <v>YESENIA ROJAS AVILA</v>
      </c>
      <c r="N69">
        <v>0</v>
      </c>
    </row>
    <row r="70" spans="1:14" x14ac:dyDescent="0.25">
      <c r="A70" s="46" t="s">
        <v>1181</v>
      </c>
      <c r="B70" t="s">
        <v>1008</v>
      </c>
      <c r="C70" s="19">
        <v>0.625</v>
      </c>
      <c r="D70" s="19"/>
      <c r="L70" t="str">
        <v>ENE-0239-13229</v>
      </c>
      <c r="M70" t="str">
        <v>YESENIA ROJAS AVILA</v>
      </c>
      <c r="N70">
        <v>0</v>
      </c>
    </row>
    <row r="71" spans="1:14" x14ac:dyDescent="0.25">
      <c r="A71" s="46" t="s">
        <v>1181</v>
      </c>
      <c r="B71" t="s">
        <v>1016</v>
      </c>
      <c r="C71" s="19">
        <v>0.625</v>
      </c>
      <c r="D71" s="19"/>
      <c r="L71" t="str">
        <v>ENE-0254-13250</v>
      </c>
      <c r="M71" t="str">
        <v>YESENIA ROJAS AVILA</v>
      </c>
      <c r="N71">
        <v>0</v>
      </c>
    </row>
    <row r="72" spans="1:14" x14ac:dyDescent="0.25">
      <c r="A72" s="46" t="s">
        <v>1182</v>
      </c>
      <c r="B72" t="s">
        <v>976</v>
      </c>
      <c r="C72" s="19">
        <v>0.70614035087719296</v>
      </c>
      <c r="D72" s="19"/>
      <c r="L72" t="str">
        <v>ENE-0256-13284</v>
      </c>
      <c r="M72" t="str">
        <v>YESENIA ROJAS AVILA</v>
      </c>
      <c r="N72">
        <v>0</v>
      </c>
    </row>
    <row r="73" spans="1:14" x14ac:dyDescent="0.25">
      <c r="A73" s="46" t="s">
        <v>1182</v>
      </c>
      <c r="B73" t="s">
        <v>989</v>
      </c>
      <c r="C73" s="19">
        <v>0.70614035087719296</v>
      </c>
      <c r="D73" s="19"/>
      <c r="L73" t="str">
        <v>ENE-0257-13251</v>
      </c>
      <c r="M73" t="str">
        <v>YESENIA ROJAS AVILA</v>
      </c>
      <c r="N73">
        <v>0</v>
      </c>
    </row>
    <row r="74" spans="1:14" x14ac:dyDescent="0.25">
      <c r="A74" s="46" t="s">
        <v>1182</v>
      </c>
      <c r="B74" t="s">
        <v>987</v>
      </c>
      <c r="C74" s="19">
        <v>0.70614035087719296</v>
      </c>
      <c r="D74" s="19"/>
      <c r="L74" t="str">
        <v>ENE-0270-13313</v>
      </c>
      <c r="M74" t="str">
        <v>YESENIA ROJAS AVILA</v>
      </c>
      <c r="N74">
        <v>0</v>
      </c>
    </row>
    <row r="75" spans="1:14" x14ac:dyDescent="0.25">
      <c r="A75" s="46" t="s">
        <v>1183</v>
      </c>
      <c r="B75" t="s">
        <v>978</v>
      </c>
      <c r="C75" s="19">
        <v>1.1578947368421053</v>
      </c>
      <c r="D75" s="19"/>
      <c r="L75" t="str">
        <v>ENE-0288-13240</v>
      </c>
      <c r="M75" t="str">
        <v>YESENIA ROJAS AVILA</v>
      </c>
      <c r="N75">
        <v>0</v>
      </c>
    </row>
    <row r="76" spans="1:14" x14ac:dyDescent="0.25">
      <c r="A76" s="46" t="s">
        <v>1183</v>
      </c>
      <c r="B76" t="s">
        <v>977</v>
      </c>
      <c r="C76" s="19">
        <v>1.1578947368421053</v>
      </c>
      <c r="D76" s="19"/>
      <c r="L76" t="str">
        <v>ENE-0302-13260</v>
      </c>
      <c r="M76" t="str">
        <v>YESENIA ROJAS AVILA</v>
      </c>
      <c r="N76">
        <v>0</v>
      </c>
    </row>
    <row r="77" spans="1:14" x14ac:dyDescent="0.25">
      <c r="A77" s="46" t="s">
        <v>1183</v>
      </c>
      <c r="B77" t="s">
        <v>990</v>
      </c>
      <c r="C77" s="19">
        <v>1.1578947368421053</v>
      </c>
      <c r="D77" s="19"/>
      <c r="L77" t="str">
        <v>ENE-0303-13262</v>
      </c>
      <c r="M77" t="str">
        <v>YESENIA ROJAS AVILA</v>
      </c>
      <c r="N77">
        <v>0</v>
      </c>
    </row>
    <row r="78" spans="1:14" x14ac:dyDescent="0.25">
      <c r="A78" s="46" t="s">
        <v>1184</v>
      </c>
      <c r="B78" t="s">
        <v>973</v>
      </c>
      <c r="C78" s="19">
        <v>1.1432500000000001</v>
      </c>
      <c r="D78" s="19"/>
      <c r="L78" t="str">
        <v>ENE-0320-13307</v>
      </c>
      <c r="M78" t="str">
        <v>YESENIA ROJAS AVILA</v>
      </c>
      <c r="N78">
        <v>0</v>
      </c>
    </row>
    <row r="79" spans="1:14" x14ac:dyDescent="0.25">
      <c r="A79" s="46" t="s">
        <v>1184</v>
      </c>
      <c r="B79" t="s">
        <v>979</v>
      </c>
      <c r="C79" s="19">
        <v>1.1432500000000001</v>
      </c>
      <c r="D79" s="19"/>
      <c r="L79" t="str">
        <v>ENE-0323-13292</v>
      </c>
      <c r="M79" t="str">
        <v>YESENIA ROJAS AVILA</v>
      </c>
      <c r="N79">
        <v>0</v>
      </c>
    </row>
    <row r="80" spans="1:14" x14ac:dyDescent="0.25">
      <c r="A80" s="46" t="s">
        <v>1186</v>
      </c>
      <c r="B80" t="s">
        <v>1013</v>
      </c>
      <c r="C80" s="19">
        <v>0.90554722638680663</v>
      </c>
      <c r="D80" s="19"/>
      <c r="L80" t="str">
        <v>ENE-0337-13339</v>
      </c>
      <c r="M80" t="str">
        <v>YESENIA ROJAS AVILA</v>
      </c>
      <c r="N80">
        <v>0</v>
      </c>
    </row>
    <row r="81" spans="1:14" x14ac:dyDescent="0.25">
      <c r="A81" s="46" t="s">
        <v>1186</v>
      </c>
      <c r="B81" t="s">
        <v>1011</v>
      </c>
      <c r="C81" s="19">
        <v>0.90554722638680663</v>
      </c>
      <c r="D81" s="19"/>
      <c r="L81" t="str">
        <v>ENE-0339-13335</v>
      </c>
      <c r="M81" t="str">
        <v>YESENIA ROJAS AVILA</v>
      </c>
      <c r="N81">
        <v>0</v>
      </c>
    </row>
    <row r="82" spans="1:14" x14ac:dyDescent="0.25">
      <c r="A82" s="46" t="s">
        <v>1187</v>
      </c>
      <c r="B82" t="s">
        <v>975</v>
      </c>
      <c r="C82" s="19">
        <v>1.4574074074074075</v>
      </c>
      <c r="D82" s="19"/>
      <c r="L82" t="str">
        <v>FEB-0365-13429</v>
      </c>
      <c r="M82" t="str">
        <v>YESENIA ROJAS AVILA</v>
      </c>
      <c r="N82">
        <v>0</v>
      </c>
    </row>
    <row r="83" spans="1:14" x14ac:dyDescent="0.25">
      <c r="A83" s="46" t="s">
        <v>1187</v>
      </c>
      <c r="B83" t="s">
        <v>981</v>
      </c>
      <c r="C83" s="19">
        <v>1.4574074074074075</v>
      </c>
      <c r="D83" s="19"/>
      <c r="L83" t="str">
        <v>FEB-0381-13360</v>
      </c>
      <c r="M83" t="str">
        <v>YESENIA ROJAS AVILA</v>
      </c>
      <c r="N83">
        <v>0</v>
      </c>
    </row>
    <row r="84" spans="1:14" x14ac:dyDescent="0.25">
      <c r="A84" s="46" t="s">
        <v>1187</v>
      </c>
      <c r="B84" t="s">
        <v>990</v>
      </c>
      <c r="C84" s="19">
        <v>1.4574074074074075</v>
      </c>
      <c r="D84" s="19"/>
      <c r="L84" t="str">
        <v>FEB-0382-13361</v>
      </c>
      <c r="M84" t="str">
        <v>YESENIA ROJAS AVILA</v>
      </c>
      <c r="N84">
        <v>0</v>
      </c>
    </row>
    <row r="85" spans="1:14" x14ac:dyDescent="0.25">
      <c r="A85" s="46" t="s">
        <v>1187</v>
      </c>
      <c r="B85" t="s">
        <v>1016</v>
      </c>
      <c r="C85" s="19">
        <v>1.4574074074074075</v>
      </c>
      <c r="D85" s="19"/>
      <c r="L85" t="str">
        <v>FEB-0396-13401</v>
      </c>
      <c r="M85" t="str">
        <v>YESENIA ROJAS AVILA</v>
      </c>
      <c r="N85">
        <v>0</v>
      </c>
    </row>
    <row r="86" spans="1:14" x14ac:dyDescent="0.25">
      <c r="A86" s="46" t="s">
        <v>1188</v>
      </c>
      <c r="B86" t="s">
        <v>973</v>
      </c>
      <c r="C86" s="19">
        <v>2.0164917541229386</v>
      </c>
      <c r="D86" s="19"/>
      <c r="L86" t="str">
        <v>FEB-0403-13405</v>
      </c>
      <c r="M86" t="str">
        <v>YESENIA ROJAS AVILA</v>
      </c>
      <c r="N86">
        <v>0</v>
      </c>
    </row>
    <row r="87" spans="1:14" x14ac:dyDescent="0.25">
      <c r="A87" s="46" t="s">
        <v>1189</v>
      </c>
      <c r="B87" t="s">
        <v>973</v>
      </c>
      <c r="C87" s="19">
        <v>0.65068493150684936</v>
      </c>
      <c r="D87" s="19"/>
      <c r="L87" t="str">
        <v>FEB-0414-13454</v>
      </c>
      <c r="M87" t="str">
        <v>YESENIA ROJAS AVILA</v>
      </c>
      <c r="N87">
        <v>0</v>
      </c>
    </row>
    <row r="88" spans="1:14" x14ac:dyDescent="0.25">
      <c r="A88" s="46" t="s">
        <v>1190</v>
      </c>
      <c r="B88" t="s">
        <v>973</v>
      </c>
      <c r="C88" s="19">
        <v>0.47930283224400871</v>
      </c>
      <c r="D88" s="19"/>
      <c r="L88" t="str">
        <v>FEB-0423-13350</v>
      </c>
      <c r="M88" t="str">
        <v>YESENIA ROJAS AVILA</v>
      </c>
      <c r="N88">
        <v>0</v>
      </c>
    </row>
    <row r="89" spans="1:14" x14ac:dyDescent="0.25">
      <c r="A89" s="46" t="s">
        <v>1191</v>
      </c>
      <c r="B89" t="s">
        <v>973</v>
      </c>
      <c r="C89" s="19">
        <v>1.1403508771929824</v>
      </c>
      <c r="D89" s="19"/>
      <c r="L89" t="str">
        <v>FEB-0426-13447</v>
      </c>
      <c r="M89" t="str">
        <v>YESENIA ROJAS AVILA</v>
      </c>
      <c r="N89">
        <v>0</v>
      </c>
    </row>
    <row r="90" spans="1:14" x14ac:dyDescent="0.25">
      <c r="A90" s="46" t="s">
        <v>1192</v>
      </c>
      <c r="B90" t="s">
        <v>974</v>
      </c>
      <c r="C90" s="19">
        <v>0.88095238095238093</v>
      </c>
      <c r="D90" s="19"/>
      <c r="L90" t="str">
        <v>FEB-0442-13362</v>
      </c>
      <c r="M90" t="str">
        <v>YESENIA ROJAS AVILA</v>
      </c>
      <c r="N90">
        <v>0</v>
      </c>
    </row>
    <row r="91" spans="1:14" x14ac:dyDescent="0.25">
      <c r="A91" s="46" t="s">
        <v>1192</v>
      </c>
      <c r="B91" t="s">
        <v>976</v>
      </c>
      <c r="C91" s="19">
        <v>0.88095238095238093</v>
      </c>
      <c r="D91" s="19"/>
      <c r="L91" t="str">
        <v>FEB-0453-13382</v>
      </c>
      <c r="M91" t="str">
        <v>YESENIA ROJAS AVILA</v>
      </c>
      <c r="N91">
        <v>0</v>
      </c>
    </row>
    <row r="92" spans="1:14" x14ac:dyDescent="0.25">
      <c r="A92" s="46" t="s">
        <v>1192</v>
      </c>
      <c r="B92" t="s">
        <v>1008</v>
      </c>
      <c r="C92" s="19">
        <v>0.88095238095238093</v>
      </c>
      <c r="D92" s="19"/>
    </row>
    <row r="93" spans="1:14" x14ac:dyDescent="0.25">
      <c r="A93" s="46" t="s">
        <v>1193</v>
      </c>
      <c r="B93" t="s">
        <v>974</v>
      </c>
      <c r="C93" s="19">
        <v>1.1711711711711712</v>
      </c>
      <c r="D93" s="19"/>
    </row>
    <row r="94" spans="1:14" x14ac:dyDescent="0.25">
      <c r="A94" s="46" t="s">
        <v>1193</v>
      </c>
      <c r="B94" t="s">
        <v>976</v>
      </c>
      <c r="C94" s="19">
        <v>1.1711711711711712</v>
      </c>
      <c r="D94" s="19"/>
    </row>
    <row r="95" spans="1:14" x14ac:dyDescent="0.25">
      <c r="A95" s="46" t="s">
        <v>1193</v>
      </c>
      <c r="B95" t="s">
        <v>1008</v>
      </c>
      <c r="C95" s="19">
        <v>1.1711711711711712</v>
      </c>
      <c r="D95" s="19"/>
    </row>
    <row r="96" spans="1:14" x14ac:dyDescent="0.25">
      <c r="A96" s="46" t="s">
        <v>1194</v>
      </c>
      <c r="B96" t="s">
        <v>987</v>
      </c>
      <c r="C96" s="19">
        <v>1.0123809523809524</v>
      </c>
      <c r="D96" s="19"/>
    </row>
    <row r="97" spans="1:4" x14ac:dyDescent="0.25">
      <c r="A97" s="46" t="s">
        <v>1194</v>
      </c>
      <c r="B97" t="s">
        <v>989</v>
      </c>
      <c r="C97" s="19">
        <v>1.0123809523809524</v>
      </c>
      <c r="D97" s="19"/>
    </row>
    <row r="98" spans="1:4" x14ac:dyDescent="0.25">
      <c r="A98" s="46" t="s">
        <v>1194</v>
      </c>
      <c r="B98" t="s">
        <v>978</v>
      </c>
      <c r="C98" s="19">
        <v>1.0123809523809524</v>
      </c>
      <c r="D98" s="19"/>
    </row>
    <row r="99" spans="1:4" x14ac:dyDescent="0.25">
      <c r="A99" s="46" t="s">
        <v>1195</v>
      </c>
      <c r="B99" t="s">
        <v>986</v>
      </c>
      <c r="C99" s="19">
        <v>1.2857142857142858</v>
      </c>
      <c r="D99" s="19"/>
    </row>
    <row r="100" spans="1:4" x14ac:dyDescent="0.25">
      <c r="A100" s="46" t="s">
        <v>1195</v>
      </c>
      <c r="B100" t="s">
        <v>979</v>
      </c>
      <c r="C100" s="19">
        <v>1.2857142857142858</v>
      </c>
      <c r="D100" s="19"/>
    </row>
    <row r="101" spans="1:4" x14ac:dyDescent="0.25">
      <c r="A101" s="46" t="s">
        <v>1195</v>
      </c>
      <c r="B101" t="s">
        <v>1105</v>
      </c>
      <c r="C101" s="19">
        <v>1.2857142857142858</v>
      </c>
      <c r="D101" s="19"/>
    </row>
    <row r="102" spans="1:4" x14ac:dyDescent="0.25">
      <c r="A102" s="46" t="s">
        <v>1196</v>
      </c>
      <c r="B102" t="s">
        <v>999</v>
      </c>
      <c r="C102" s="19">
        <v>0.75</v>
      </c>
      <c r="D102" s="19"/>
    </row>
    <row r="103" spans="1:4" x14ac:dyDescent="0.25">
      <c r="A103" s="46" t="s">
        <v>1196</v>
      </c>
      <c r="B103" t="s">
        <v>994</v>
      </c>
      <c r="C103" s="19">
        <v>0.75</v>
      </c>
      <c r="D103" s="19"/>
    </row>
    <row r="104" spans="1:4" x14ac:dyDescent="0.25">
      <c r="A104" s="46" t="s">
        <v>1196</v>
      </c>
      <c r="B104" t="s">
        <v>1006</v>
      </c>
      <c r="C104" s="19">
        <v>0.75</v>
      </c>
      <c r="D104" s="19"/>
    </row>
    <row r="105" spans="1:4" x14ac:dyDescent="0.25">
      <c r="A105" s="46" t="s">
        <v>1196</v>
      </c>
      <c r="B105" t="s">
        <v>1023</v>
      </c>
      <c r="C105" s="19">
        <v>0.75</v>
      </c>
      <c r="D105" s="19"/>
    </row>
    <row r="106" spans="1:4" x14ac:dyDescent="0.25">
      <c r="A106" s="46" t="s">
        <v>1205</v>
      </c>
      <c r="B106" t="s">
        <v>986</v>
      </c>
      <c r="C106" s="19">
        <v>0.62812500000000004</v>
      </c>
      <c r="D106" s="19"/>
    </row>
    <row r="107" spans="1:4" x14ac:dyDescent="0.25">
      <c r="A107" s="46" t="s">
        <v>1205</v>
      </c>
      <c r="B107" t="s">
        <v>979</v>
      </c>
      <c r="C107" s="19">
        <v>0.62812500000000004</v>
      </c>
      <c r="D107" s="19"/>
    </row>
    <row r="108" spans="1:4" x14ac:dyDescent="0.25">
      <c r="A108" s="46" t="s">
        <v>1205</v>
      </c>
      <c r="B108" t="s">
        <v>1105</v>
      </c>
      <c r="C108" s="19">
        <v>0.62812500000000004</v>
      </c>
      <c r="D108" s="19"/>
    </row>
    <row r="109" spans="1:4" x14ac:dyDescent="0.25">
      <c r="A109" s="46" t="s">
        <v>1205</v>
      </c>
      <c r="B109" t="s">
        <v>973</v>
      </c>
      <c r="C109" s="19">
        <v>0.62812500000000004</v>
      </c>
      <c r="D109" s="19"/>
    </row>
    <row r="110" spans="1:4" x14ac:dyDescent="0.25">
      <c r="A110" s="46" t="s">
        <v>1206</v>
      </c>
      <c r="B110" t="s">
        <v>974</v>
      </c>
      <c r="C110" s="19">
        <v>0.57291666666666663</v>
      </c>
      <c r="D110" s="19"/>
    </row>
    <row r="111" spans="1:4" x14ac:dyDescent="0.25">
      <c r="A111" s="46" t="s">
        <v>1206</v>
      </c>
      <c r="B111" t="s">
        <v>976</v>
      </c>
      <c r="C111" s="19">
        <v>0.57291666666666663</v>
      </c>
      <c r="D111" s="19"/>
    </row>
    <row r="112" spans="1:4" x14ac:dyDescent="0.25">
      <c r="A112" s="46" t="s">
        <v>1206</v>
      </c>
      <c r="B112" t="s">
        <v>1008</v>
      </c>
      <c r="C112" s="19">
        <v>0.57291666666666663</v>
      </c>
      <c r="D112" s="19"/>
    </row>
    <row r="113" spans="1:4" x14ac:dyDescent="0.25">
      <c r="A113" s="46" t="s">
        <v>1207</v>
      </c>
      <c r="B113" t="s">
        <v>989</v>
      </c>
      <c r="C113" s="19">
        <v>0.57291666666666663</v>
      </c>
      <c r="D113" s="19"/>
    </row>
    <row r="114" spans="1:4" x14ac:dyDescent="0.25">
      <c r="A114" s="46" t="s">
        <v>1207</v>
      </c>
      <c r="B114" t="s">
        <v>978</v>
      </c>
      <c r="C114" s="19">
        <v>0.57291666666666663</v>
      </c>
      <c r="D114" s="19"/>
    </row>
    <row r="115" spans="1:4" x14ac:dyDescent="0.25">
      <c r="A115" s="46" t="s">
        <v>1207</v>
      </c>
      <c r="B115" t="s">
        <v>987</v>
      </c>
      <c r="C115" s="19">
        <v>0.57291666666666663</v>
      </c>
      <c r="D115" s="19"/>
    </row>
    <row r="116" spans="1:4" x14ac:dyDescent="0.25">
      <c r="A116" s="46" t="s">
        <v>1208</v>
      </c>
      <c r="B116" t="s">
        <v>975</v>
      </c>
      <c r="C116" s="19">
        <v>1.0930555555555554</v>
      </c>
      <c r="D116" s="19"/>
    </row>
    <row r="117" spans="1:4" x14ac:dyDescent="0.25">
      <c r="A117" s="46" t="s">
        <v>1208</v>
      </c>
      <c r="B117" t="s">
        <v>981</v>
      </c>
      <c r="C117" s="19">
        <v>1.0930555555555554</v>
      </c>
      <c r="D117" s="19"/>
    </row>
    <row r="118" spans="1:4" x14ac:dyDescent="0.25">
      <c r="A118" s="46" t="s">
        <v>1208</v>
      </c>
      <c r="B118" t="s">
        <v>990</v>
      </c>
      <c r="C118" s="19">
        <v>1.0930555555555554</v>
      </c>
      <c r="D118" s="19"/>
    </row>
    <row r="119" spans="1:4" x14ac:dyDescent="0.25">
      <c r="A119" s="46" t="s">
        <v>1208</v>
      </c>
      <c r="B119" t="s">
        <v>1016</v>
      </c>
      <c r="C119" s="19">
        <v>1.0930555555555554</v>
      </c>
      <c r="D119" s="19"/>
    </row>
    <row r="120" spans="1:4" x14ac:dyDescent="0.25">
      <c r="A120" s="46" t="s">
        <v>1209</v>
      </c>
      <c r="B120" t="s">
        <v>999</v>
      </c>
      <c r="C120" s="19">
        <v>0.36733333333333335</v>
      </c>
      <c r="D120" s="19"/>
    </row>
    <row r="121" spans="1:4" x14ac:dyDescent="0.25">
      <c r="A121" s="46" t="s">
        <v>1209</v>
      </c>
      <c r="B121" t="s">
        <v>994</v>
      </c>
      <c r="C121" s="19">
        <v>0.36733333333333335</v>
      </c>
      <c r="D121" s="19"/>
    </row>
    <row r="122" spans="1:4" x14ac:dyDescent="0.25">
      <c r="A122" s="46" t="s">
        <v>1209</v>
      </c>
      <c r="B122" t="s">
        <v>1006</v>
      </c>
      <c r="C122" s="19">
        <v>0.36733333333333335</v>
      </c>
      <c r="D122" s="19"/>
    </row>
    <row r="123" spans="1:4" x14ac:dyDescent="0.25">
      <c r="A123" s="46" t="s">
        <v>1209</v>
      </c>
      <c r="B123" t="s">
        <v>1023</v>
      </c>
      <c r="C123" s="19">
        <v>0.36733333333333335</v>
      </c>
      <c r="D123" s="19"/>
    </row>
    <row r="124" spans="1:4" x14ac:dyDescent="0.25">
      <c r="A124" s="46" t="s">
        <v>1210</v>
      </c>
      <c r="B124" t="s">
        <v>1105</v>
      </c>
      <c r="C124" s="19">
        <v>1.0996563573883162</v>
      </c>
      <c r="D124" s="19"/>
    </row>
    <row r="125" spans="1:4" x14ac:dyDescent="0.25">
      <c r="A125" s="46" t="s">
        <v>1210</v>
      </c>
      <c r="B125" t="s">
        <v>989</v>
      </c>
      <c r="C125" s="19">
        <v>1.0996563573883162</v>
      </c>
      <c r="D125" s="19"/>
    </row>
    <row r="126" spans="1:4" x14ac:dyDescent="0.25">
      <c r="A126" s="46" t="s">
        <v>1210</v>
      </c>
      <c r="B126" t="s">
        <v>976</v>
      </c>
      <c r="C126" s="19">
        <v>1.0996563573883162</v>
      </c>
      <c r="D126" s="19"/>
    </row>
    <row r="127" spans="1:4" x14ac:dyDescent="0.25">
      <c r="A127" s="46" t="s">
        <v>1210</v>
      </c>
      <c r="B127" t="s">
        <v>979</v>
      </c>
      <c r="C127" s="19">
        <v>1.0996563573883162</v>
      </c>
      <c r="D127" s="19"/>
    </row>
    <row r="128" spans="1:4" x14ac:dyDescent="0.25">
      <c r="A128" s="46" t="s">
        <v>1210</v>
      </c>
      <c r="B128" t="s">
        <v>1008</v>
      </c>
      <c r="C128" s="19">
        <v>1.0996563573883162</v>
      </c>
      <c r="D128" s="19"/>
    </row>
    <row r="129" spans="1:4" x14ac:dyDescent="0.25">
      <c r="A129" s="46" t="s">
        <v>1210</v>
      </c>
      <c r="B129" t="s">
        <v>987</v>
      </c>
      <c r="C129" s="19">
        <v>1.0996563573883162</v>
      </c>
      <c r="D129" s="19"/>
    </row>
    <row r="130" spans="1:4" x14ac:dyDescent="0.25">
      <c r="A130" s="46" t="s">
        <v>1210</v>
      </c>
      <c r="B130" t="s">
        <v>986</v>
      </c>
      <c r="C130" s="19">
        <v>1.0996563573883162</v>
      </c>
      <c r="D130" s="19"/>
    </row>
    <row r="131" spans="1:4" x14ac:dyDescent="0.25">
      <c r="A131" s="46" t="s">
        <v>1210</v>
      </c>
      <c r="B131" t="s">
        <v>977</v>
      </c>
      <c r="C131" s="19">
        <v>1.0996563573883162</v>
      </c>
      <c r="D131" s="19"/>
    </row>
    <row r="132" spans="1:4" x14ac:dyDescent="0.25">
      <c r="A132" s="46" t="s">
        <v>1210</v>
      </c>
      <c r="B132" t="s">
        <v>974</v>
      </c>
      <c r="C132" s="19">
        <v>1.0996563573883162</v>
      </c>
      <c r="D132" s="19"/>
    </row>
    <row r="133" spans="1:4" x14ac:dyDescent="0.25">
      <c r="A133" s="46" t="s">
        <v>1210</v>
      </c>
      <c r="B133" t="s">
        <v>973</v>
      </c>
      <c r="C133" s="19">
        <v>1.0996563573883162</v>
      </c>
      <c r="D133" s="19"/>
    </row>
    <row r="134" spans="1:4" x14ac:dyDescent="0.25">
      <c r="A134" s="46" t="s">
        <v>1212</v>
      </c>
      <c r="B134" t="s">
        <v>974</v>
      </c>
      <c r="C134" s="19">
        <v>0.71111111111111114</v>
      </c>
      <c r="D134" s="19"/>
    </row>
    <row r="135" spans="1:4" x14ac:dyDescent="0.25">
      <c r="A135" s="46" t="s">
        <v>1212</v>
      </c>
      <c r="B135" t="s">
        <v>989</v>
      </c>
      <c r="C135" s="19">
        <v>0.71111111111111114</v>
      </c>
      <c r="D135" s="19"/>
    </row>
    <row r="136" spans="1:4" x14ac:dyDescent="0.25">
      <c r="A136" s="46" t="s">
        <v>1212</v>
      </c>
      <c r="B136" t="s">
        <v>987</v>
      </c>
      <c r="C136" s="19">
        <v>0.71111111111111114</v>
      </c>
      <c r="D136" s="19"/>
    </row>
    <row r="137" spans="1:4" x14ac:dyDescent="0.25">
      <c r="A137" s="46" t="s">
        <v>1213</v>
      </c>
      <c r="B137" t="s">
        <v>977</v>
      </c>
      <c r="C137" s="19">
        <v>0.53333333333333333</v>
      </c>
      <c r="D137" s="19"/>
    </row>
    <row r="138" spans="1:4" x14ac:dyDescent="0.25">
      <c r="A138" s="46" t="s">
        <v>1213</v>
      </c>
      <c r="B138" t="s">
        <v>1008</v>
      </c>
      <c r="C138" s="19">
        <v>0.53333333333333333</v>
      </c>
      <c r="D138" s="19"/>
    </row>
    <row r="139" spans="1:4" x14ac:dyDescent="0.25">
      <c r="A139" s="46" t="s">
        <v>1213</v>
      </c>
      <c r="B139" t="s">
        <v>976</v>
      </c>
      <c r="C139" s="19">
        <v>0.53333333333333333</v>
      </c>
      <c r="D139" s="19"/>
    </row>
    <row r="140" spans="1:4" x14ac:dyDescent="0.25">
      <c r="A140" s="46" t="s">
        <v>1214</v>
      </c>
      <c r="B140" t="s">
        <v>986</v>
      </c>
      <c r="C140" s="19">
        <v>0.59259259259259256</v>
      </c>
      <c r="D140" s="19"/>
    </row>
    <row r="141" spans="1:4" x14ac:dyDescent="0.25">
      <c r="A141" s="46" t="s">
        <v>1214</v>
      </c>
      <c r="B141" t="s">
        <v>1105</v>
      </c>
      <c r="C141" s="19">
        <v>0.59259259259259256</v>
      </c>
      <c r="D141" s="19"/>
    </row>
    <row r="142" spans="1:4" x14ac:dyDescent="0.25">
      <c r="A142" s="46" t="s">
        <v>1214</v>
      </c>
      <c r="B142" t="s">
        <v>979</v>
      </c>
      <c r="C142" s="19">
        <v>0.59259259259259256</v>
      </c>
      <c r="D142" s="19"/>
    </row>
    <row r="143" spans="1:4" x14ac:dyDescent="0.25">
      <c r="A143" s="46" t="s">
        <v>1218</v>
      </c>
      <c r="B143" t="s">
        <v>973</v>
      </c>
      <c r="C143" s="19">
        <v>1</v>
      </c>
      <c r="D143" s="19"/>
    </row>
    <row r="144" spans="1:4" x14ac:dyDescent="0.25">
      <c r="A144" s="46" t="s">
        <v>1219</v>
      </c>
      <c r="B144" t="s">
        <v>994</v>
      </c>
      <c r="C144" s="19">
        <v>0.81967213114754101</v>
      </c>
      <c r="D144" s="19"/>
    </row>
    <row r="145" spans="1:4" x14ac:dyDescent="0.25">
      <c r="A145" s="46" t="s">
        <v>1219</v>
      </c>
      <c r="B145" t="s">
        <v>999</v>
      </c>
      <c r="C145" s="19">
        <v>0.81967213114754101</v>
      </c>
      <c r="D145" s="19"/>
    </row>
    <row r="146" spans="1:4" x14ac:dyDescent="0.25">
      <c r="A146" s="46" t="s">
        <v>1219</v>
      </c>
      <c r="B146" t="s">
        <v>1023</v>
      </c>
      <c r="C146" s="19">
        <v>0.81967213114754101</v>
      </c>
      <c r="D146" s="19"/>
    </row>
    <row r="147" spans="1:4" x14ac:dyDescent="0.25">
      <c r="A147" s="46" t="s">
        <v>1220</v>
      </c>
      <c r="B147" t="s">
        <v>994</v>
      </c>
      <c r="C147" s="19">
        <v>0.68571428571428572</v>
      </c>
      <c r="D147" s="19"/>
    </row>
    <row r="148" spans="1:4" x14ac:dyDescent="0.25">
      <c r="A148" s="46" t="s">
        <v>1220</v>
      </c>
      <c r="B148" t="s">
        <v>999</v>
      </c>
      <c r="C148" s="19">
        <v>0.68571428571428572</v>
      </c>
      <c r="D148" s="19"/>
    </row>
    <row r="149" spans="1:4" x14ac:dyDescent="0.25">
      <c r="A149" s="46" t="s">
        <v>1220</v>
      </c>
      <c r="B149" t="s">
        <v>1023</v>
      </c>
      <c r="C149" s="19">
        <v>0.68571428571428572</v>
      </c>
      <c r="D149" s="19"/>
    </row>
    <row r="150" spans="1:4" x14ac:dyDescent="0.25">
      <c r="A150" s="46" t="s">
        <v>1221</v>
      </c>
      <c r="B150" t="s">
        <v>975</v>
      </c>
      <c r="C150" s="19">
        <v>1.0920000000000001</v>
      </c>
      <c r="D150" s="19"/>
    </row>
    <row r="151" spans="1:4" x14ac:dyDescent="0.25">
      <c r="A151" s="46" t="s">
        <v>1221</v>
      </c>
      <c r="B151" t="s">
        <v>981</v>
      </c>
      <c r="C151" s="19">
        <v>1.0920000000000001</v>
      </c>
      <c r="D151" s="19"/>
    </row>
    <row r="152" spans="1:4" x14ac:dyDescent="0.25">
      <c r="A152" s="46" t="s">
        <v>1221</v>
      </c>
      <c r="B152" t="s">
        <v>990</v>
      </c>
      <c r="C152" s="19">
        <v>1.0920000000000001</v>
      </c>
      <c r="D152" s="19"/>
    </row>
    <row r="153" spans="1:4" x14ac:dyDescent="0.25">
      <c r="A153" s="46" t="s">
        <v>1221</v>
      </c>
      <c r="B153" t="s">
        <v>1016</v>
      </c>
      <c r="C153" s="19">
        <v>1.0920000000000001</v>
      </c>
      <c r="D153" s="19"/>
    </row>
    <row r="154" spans="1:4" x14ac:dyDescent="0.25">
      <c r="A154" s="46" t="s">
        <v>1222</v>
      </c>
      <c r="B154" t="s">
        <v>975</v>
      </c>
      <c r="C154" s="19">
        <v>1.4392</v>
      </c>
      <c r="D154" s="19"/>
    </row>
    <row r="155" spans="1:4" x14ac:dyDescent="0.25">
      <c r="A155" s="46" t="s">
        <v>1222</v>
      </c>
      <c r="B155" t="s">
        <v>981</v>
      </c>
      <c r="C155" s="19">
        <v>1.4392</v>
      </c>
      <c r="D155" s="19"/>
    </row>
    <row r="156" spans="1:4" x14ac:dyDescent="0.25">
      <c r="A156" s="46" t="s">
        <v>1222</v>
      </c>
      <c r="B156" t="s">
        <v>990</v>
      </c>
      <c r="C156" s="19">
        <v>1.4392</v>
      </c>
      <c r="D156" s="19"/>
    </row>
    <row r="157" spans="1:4" x14ac:dyDescent="0.25">
      <c r="A157" s="46" t="s">
        <v>1222</v>
      </c>
      <c r="B157" t="s">
        <v>1016</v>
      </c>
      <c r="C157" s="19">
        <v>1.4392</v>
      </c>
      <c r="D157" s="19"/>
    </row>
    <row r="158" spans="1:4" x14ac:dyDescent="0.25">
      <c r="A158" s="46" t="s">
        <v>1222</v>
      </c>
      <c r="C158" s="19"/>
      <c r="D158" s="19"/>
    </row>
    <row r="159" spans="1:4" x14ac:dyDescent="0.25">
      <c r="A159" s="46"/>
      <c r="C159" s="19"/>
      <c r="D159" s="19"/>
    </row>
    <row r="160" spans="1:4" x14ac:dyDescent="0.25">
      <c r="A160" s="46"/>
      <c r="C160" s="19"/>
      <c r="D160" s="19"/>
    </row>
    <row r="161" spans="1:4" x14ac:dyDescent="0.25">
      <c r="A161" s="46"/>
      <c r="C161" s="19"/>
      <c r="D161" s="19"/>
    </row>
    <row r="162" spans="1:4" x14ac:dyDescent="0.25">
      <c r="A162" s="46"/>
      <c r="C162" s="19"/>
      <c r="D162" s="19"/>
    </row>
    <row r="163" spans="1:4" x14ac:dyDescent="0.25">
      <c r="A163" s="46"/>
      <c r="C163" s="19"/>
      <c r="D163" s="19"/>
    </row>
    <row r="164" spans="1:4" x14ac:dyDescent="0.25">
      <c r="A164" s="46"/>
      <c r="C164" s="19"/>
      <c r="D164" s="19"/>
    </row>
    <row r="165" spans="1:4" x14ac:dyDescent="0.25">
      <c r="A165" s="46"/>
      <c r="C165" s="19"/>
      <c r="D165" s="19"/>
    </row>
    <row r="166" spans="1:4" x14ac:dyDescent="0.25">
      <c r="A166" s="46"/>
      <c r="C166" s="19"/>
      <c r="D166" s="19"/>
    </row>
    <row r="167" spans="1:4" x14ac:dyDescent="0.25">
      <c r="A167" s="46"/>
      <c r="C167" s="19"/>
      <c r="D167" s="19"/>
    </row>
    <row r="168" spans="1:4" x14ac:dyDescent="0.25">
      <c r="A168" s="46"/>
      <c r="C168" s="19"/>
      <c r="D168" s="19"/>
    </row>
    <row r="169" spans="1:4" x14ac:dyDescent="0.25">
      <c r="A169" s="46"/>
      <c r="C169" s="19"/>
      <c r="D169" s="19"/>
    </row>
    <row r="170" spans="1:4" x14ac:dyDescent="0.25">
      <c r="A170" s="46"/>
      <c r="C170" s="19"/>
      <c r="D170" s="19"/>
    </row>
    <row r="171" spans="1:4" x14ac:dyDescent="0.25">
      <c r="A171" s="46"/>
      <c r="C171" s="19"/>
      <c r="D171" s="19"/>
    </row>
    <row r="172" spans="1:4" x14ac:dyDescent="0.25">
      <c r="A172" s="46"/>
      <c r="C172" s="19"/>
      <c r="D172" s="19"/>
    </row>
    <row r="173" spans="1:4" x14ac:dyDescent="0.25">
      <c r="A173" s="46"/>
      <c r="C173" s="19"/>
      <c r="D173" s="19"/>
    </row>
    <row r="174" spans="1:4" x14ac:dyDescent="0.25">
      <c r="A174" s="46"/>
      <c r="C174" s="19"/>
      <c r="D174" s="19"/>
    </row>
    <row r="175" spans="1:4" x14ac:dyDescent="0.25">
      <c r="A175" s="46"/>
      <c r="C175" s="19"/>
      <c r="D175" s="19"/>
    </row>
    <row r="176" spans="1:4" x14ac:dyDescent="0.25">
      <c r="A176" s="46"/>
      <c r="C176" s="19"/>
      <c r="D176" s="19"/>
    </row>
    <row r="177" spans="1:4" x14ac:dyDescent="0.25">
      <c r="A177" s="46"/>
      <c r="C177" s="19"/>
      <c r="D177" s="19"/>
    </row>
    <row r="178" spans="1:4" x14ac:dyDescent="0.25">
      <c r="A178" s="46"/>
      <c r="C178" s="19"/>
      <c r="D178" s="19"/>
    </row>
    <row r="179" spans="1:4" x14ac:dyDescent="0.25">
      <c r="A179" s="46"/>
      <c r="C179" s="19"/>
      <c r="D179" s="19"/>
    </row>
    <row r="180" spans="1:4" x14ac:dyDescent="0.25">
      <c r="A180" s="46"/>
      <c r="C180" s="19"/>
      <c r="D180" s="19"/>
    </row>
    <row r="181" spans="1:4" x14ac:dyDescent="0.25">
      <c r="A181" s="46"/>
      <c r="C181" s="19"/>
      <c r="D181" s="19"/>
    </row>
    <row r="182" spans="1:4" x14ac:dyDescent="0.25">
      <c r="A182" s="46"/>
      <c r="C182" s="19"/>
      <c r="D182" s="19"/>
    </row>
    <row r="183" spans="1:4" x14ac:dyDescent="0.25">
      <c r="A183" t="s">
        <v>58</v>
      </c>
      <c r="B183" t="s">
        <v>974</v>
      </c>
      <c r="C183" s="19"/>
      <c r="D183" s="19"/>
    </row>
    <row r="184" spans="1:4" x14ac:dyDescent="0.25">
      <c r="A184" t="s">
        <v>58</v>
      </c>
      <c r="B184" t="s">
        <v>976</v>
      </c>
      <c r="C184" s="19"/>
      <c r="D184" s="19"/>
    </row>
    <row r="185" spans="1:4" x14ac:dyDescent="0.25">
      <c r="A185" t="s">
        <v>58</v>
      </c>
      <c r="B185" t="s">
        <v>978</v>
      </c>
      <c r="C185" s="19"/>
      <c r="D185" s="19"/>
    </row>
    <row r="186" spans="1:4" x14ac:dyDescent="0.25">
      <c r="A186" t="s">
        <v>61</v>
      </c>
      <c r="B186" t="s">
        <v>980</v>
      </c>
      <c r="C186" s="19"/>
      <c r="D186" s="19"/>
    </row>
    <row r="187" spans="1:4" x14ac:dyDescent="0.25">
      <c r="A187" t="s">
        <v>61</v>
      </c>
      <c r="B187" t="s">
        <v>979</v>
      </c>
      <c r="C187" s="19"/>
      <c r="D187" s="19"/>
    </row>
    <row r="188" spans="1:4" x14ac:dyDescent="0.25">
      <c r="A188" t="s">
        <v>61</v>
      </c>
      <c r="B188" t="s">
        <v>985</v>
      </c>
      <c r="C188" s="19"/>
      <c r="D188" s="19"/>
    </row>
    <row r="189" spans="1:4" x14ac:dyDescent="0.25">
      <c r="A189" t="s">
        <v>61</v>
      </c>
      <c r="B189" t="s">
        <v>987</v>
      </c>
      <c r="C189" s="19"/>
      <c r="D189" s="19"/>
    </row>
    <row r="190" spans="1:4" x14ac:dyDescent="0.25">
      <c r="A190" t="s">
        <v>61</v>
      </c>
      <c r="B190" t="s">
        <v>989</v>
      </c>
      <c r="C190" s="19"/>
      <c r="D190" s="19"/>
    </row>
    <row r="191" spans="1:4" x14ac:dyDescent="0.25">
      <c r="A191" t="s">
        <v>61</v>
      </c>
      <c r="B191" t="s">
        <v>992</v>
      </c>
      <c r="C191" s="19"/>
      <c r="D191" s="19"/>
    </row>
    <row r="192" spans="1:4" x14ac:dyDescent="0.25">
      <c r="A192" t="s">
        <v>61</v>
      </c>
      <c r="B192" t="s">
        <v>993</v>
      </c>
      <c r="C192" s="19"/>
      <c r="D192" s="19"/>
    </row>
    <row r="193" spans="1:4" x14ac:dyDescent="0.25">
      <c r="A193" t="s">
        <v>61</v>
      </c>
      <c r="B193" t="s">
        <v>977</v>
      </c>
      <c r="C193" s="19"/>
      <c r="D193" s="19"/>
    </row>
    <row r="194" spans="1:4" x14ac:dyDescent="0.25">
      <c r="A194" t="s">
        <v>61</v>
      </c>
      <c r="B194" t="s">
        <v>996</v>
      </c>
      <c r="C194" s="19"/>
      <c r="D194" s="19"/>
    </row>
    <row r="195" spans="1:4" x14ac:dyDescent="0.25">
      <c r="A195" t="s">
        <v>66</v>
      </c>
      <c r="B195" t="s">
        <v>998</v>
      </c>
      <c r="C195" s="19"/>
      <c r="D195" s="19"/>
    </row>
    <row r="196" spans="1:4" x14ac:dyDescent="0.25">
      <c r="A196" t="s">
        <v>66</v>
      </c>
      <c r="B196" t="s">
        <v>1000</v>
      </c>
      <c r="C196" s="19"/>
      <c r="D196" s="19"/>
    </row>
    <row r="197" spans="1:4" x14ac:dyDescent="0.25">
      <c r="A197" t="s">
        <v>69</v>
      </c>
      <c r="B197" t="s">
        <v>1002</v>
      </c>
      <c r="C197" s="19"/>
      <c r="D197" s="19"/>
    </row>
    <row r="198" spans="1:4" x14ac:dyDescent="0.25">
      <c r="A198" t="s">
        <v>69</v>
      </c>
      <c r="B198" t="s">
        <v>1003</v>
      </c>
      <c r="C198" s="19"/>
      <c r="D198" s="19"/>
    </row>
    <row r="199" spans="1:4" x14ac:dyDescent="0.25">
      <c r="A199" t="s">
        <v>70</v>
      </c>
      <c r="B199" t="s">
        <v>1002</v>
      </c>
      <c r="C199" s="19"/>
      <c r="D199" s="19"/>
    </row>
    <row r="200" spans="1:4" x14ac:dyDescent="0.25">
      <c r="A200" t="s">
        <v>70</v>
      </c>
      <c r="B200" t="s">
        <v>1003</v>
      </c>
      <c r="C200" s="19"/>
      <c r="D200" s="19"/>
    </row>
    <row r="201" spans="1:4" x14ac:dyDescent="0.25">
      <c r="A201" t="s">
        <v>70</v>
      </c>
      <c r="B201" t="s">
        <v>1006</v>
      </c>
      <c r="C201" s="19"/>
      <c r="D201" s="19"/>
    </row>
    <row r="202" spans="1:4" x14ac:dyDescent="0.25">
      <c r="A202" t="s">
        <v>71</v>
      </c>
      <c r="B202" t="s">
        <v>1003</v>
      </c>
      <c r="C202" s="19"/>
      <c r="D202" s="19"/>
    </row>
    <row r="203" spans="1:4" x14ac:dyDescent="0.25">
      <c r="A203" t="s">
        <v>71</v>
      </c>
      <c r="B203" t="s">
        <v>1002</v>
      </c>
      <c r="C203" s="19"/>
      <c r="D203" s="19"/>
    </row>
    <row r="204" spans="1:4" x14ac:dyDescent="0.25">
      <c r="A204" t="s">
        <v>71</v>
      </c>
      <c r="B204" t="s">
        <v>1006</v>
      </c>
      <c r="C204" s="19"/>
      <c r="D204" s="19"/>
    </row>
    <row r="205" spans="1:4" x14ac:dyDescent="0.25">
      <c r="A205" t="s">
        <v>73</v>
      </c>
      <c r="B205" t="s">
        <v>1010</v>
      </c>
      <c r="C205" s="19"/>
      <c r="D205" s="19"/>
    </row>
    <row r="206" spans="1:4" x14ac:dyDescent="0.25">
      <c r="A206" t="s">
        <v>73</v>
      </c>
      <c r="B206" t="s">
        <v>1011</v>
      </c>
      <c r="C206" s="19"/>
      <c r="D206" s="19"/>
    </row>
    <row r="207" spans="1:4" x14ac:dyDescent="0.25">
      <c r="A207" t="s">
        <v>73</v>
      </c>
      <c r="B207" t="s">
        <v>1013</v>
      </c>
      <c r="C207" s="19"/>
      <c r="D207" s="19"/>
    </row>
    <row r="208" spans="1:4" x14ac:dyDescent="0.25">
      <c r="A208" t="s">
        <v>73</v>
      </c>
      <c r="B208" t="s">
        <v>1015</v>
      </c>
      <c r="C208" s="19"/>
      <c r="D208" s="19"/>
    </row>
    <row r="209" spans="1:4" x14ac:dyDescent="0.25">
      <c r="A209" t="s">
        <v>73</v>
      </c>
      <c r="B209" t="s">
        <v>1017</v>
      </c>
      <c r="C209" s="19"/>
      <c r="D209" s="19"/>
    </row>
    <row r="210" spans="1:4" x14ac:dyDescent="0.25">
      <c r="A210" t="s">
        <v>74</v>
      </c>
      <c r="B210" t="s">
        <v>1006</v>
      </c>
      <c r="C210" s="19"/>
      <c r="D210" s="19"/>
    </row>
    <row r="211" spans="1:4" x14ac:dyDescent="0.25">
      <c r="A211" t="s">
        <v>76</v>
      </c>
      <c r="B211" t="s">
        <v>986</v>
      </c>
      <c r="C211" s="19"/>
      <c r="D211" s="19"/>
    </row>
    <row r="212" spans="1:4" x14ac:dyDescent="0.25">
      <c r="A212" t="s">
        <v>76</v>
      </c>
      <c r="B212" t="s">
        <v>1020</v>
      </c>
      <c r="C212" s="19"/>
      <c r="D212" s="19"/>
    </row>
    <row r="213" spans="1:4" x14ac:dyDescent="0.25">
      <c r="A213" t="s">
        <v>76</v>
      </c>
      <c r="B213" t="s">
        <v>1022</v>
      </c>
      <c r="C213" s="19"/>
      <c r="D213" s="19"/>
    </row>
    <row r="214" spans="1:4" x14ac:dyDescent="0.25">
      <c r="A214" t="s">
        <v>76</v>
      </c>
      <c r="B214" t="s">
        <v>1024</v>
      </c>
      <c r="C214" s="19"/>
      <c r="D214" s="19"/>
    </row>
    <row r="215" spans="1:4" x14ac:dyDescent="0.25">
      <c r="A215" t="s">
        <v>77</v>
      </c>
      <c r="B215" t="s">
        <v>974</v>
      </c>
      <c r="C215" s="19"/>
      <c r="D215" s="19"/>
    </row>
    <row r="216" spans="1:4" x14ac:dyDescent="0.25">
      <c r="A216" t="s">
        <v>77</v>
      </c>
      <c r="B216" t="s">
        <v>976</v>
      </c>
      <c r="C216" s="19"/>
      <c r="D216" s="19"/>
    </row>
    <row r="217" spans="1:4" x14ac:dyDescent="0.25">
      <c r="A217" t="s">
        <v>78</v>
      </c>
      <c r="B217" t="s">
        <v>980</v>
      </c>
      <c r="C217" s="19"/>
      <c r="D217" s="19"/>
    </row>
    <row r="218" spans="1:4" x14ac:dyDescent="0.25">
      <c r="A218" t="s">
        <v>78</v>
      </c>
      <c r="B218" t="s">
        <v>985</v>
      </c>
      <c r="C218" s="19"/>
      <c r="D218" s="19"/>
    </row>
    <row r="219" spans="1:4" x14ac:dyDescent="0.25">
      <c r="A219" t="s">
        <v>78</v>
      </c>
      <c r="B219" t="s">
        <v>1027</v>
      </c>
      <c r="C219" s="19"/>
      <c r="D219" s="19"/>
    </row>
    <row r="220" spans="1:4" x14ac:dyDescent="0.25">
      <c r="A220" t="s">
        <v>79</v>
      </c>
      <c r="B220" t="s">
        <v>979</v>
      </c>
      <c r="C220" s="19"/>
      <c r="D220" s="19"/>
    </row>
    <row r="221" spans="1:4" x14ac:dyDescent="0.25">
      <c r="A221" t="s">
        <v>79</v>
      </c>
      <c r="B221" t="s">
        <v>993</v>
      </c>
      <c r="C221" s="19"/>
      <c r="D221" s="19"/>
    </row>
    <row r="222" spans="1:4" x14ac:dyDescent="0.25">
      <c r="A222" t="s">
        <v>79</v>
      </c>
      <c r="B222" t="s">
        <v>973</v>
      </c>
      <c r="C222" s="19"/>
      <c r="D222" s="19"/>
    </row>
    <row r="223" spans="1:4" x14ac:dyDescent="0.25">
      <c r="A223" t="s">
        <v>79</v>
      </c>
      <c r="B223" t="s">
        <v>1029</v>
      </c>
      <c r="C223" s="19"/>
      <c r="D223" s="19"/>
    </row>
    <row r="224" spans="1:4" x14ac:dyDescent="0.25">
      <c r="A224" t="s">
        <v>79</v>
      </c>
      <c r="B224" t="s">
        <v>996</v>
      </c>
      <c r="C224" s="19"/>
      <c r="D224" s="19"/>
    </row>
    <row r="225" spans="1:4" x14ac:dyDescent="0.25">
      <c r="A225" t="s">
        <v>79</v>
      </c>
      <c r="B225" t="s">
        <v>987</v>
      </c>
      <c r="C225" s="19"/>
      <c r="D225" s="19"/>
    </row>
    <row r="226" spans="1:4" x14ac:dyDescent="0.25">
      <c r="A226" t="s">
        <v>79</v>
      </c>
      <c r="B226" t="s">
        <v>977</v>
      </c>
      <c r="C226" s="19"/>
      <c r="D226" s="19"/>
    </row>
    <row r="227" spans="1:4" x14ac:dyDescent="0.25">
      <c r="A227" t="s">
        <v>79</v>
      </c>
      <c r="B227" t="s">
        <v>989</v>
      </c>
      <c r="C227" s="19"/>
      <c r="D227" s="19"/>
    </row>
    <row r="228" spans="1:4" x14ac:dyDescent="0.25">
      <c r="A228" t="s">
        <v>80</v>
      </c>
      <c r="B228" t="s">
        <v>974</v>
      </c>
      <c r="C228" s="19"/>
      <c r="D228" s="19"/>
    </row>
    <row r="229" spans="1:4" x14ac:dyDescent="0.25">
      <c r="A229" t="s">
        <v>80</v>
      </c>
      <c r="B229" t="s">
        <v>976</v>
      </c>
      <c r="C229" s="19"/>
      <c r="D229" s="19"/>
    </row>
    <row r="230" spans="1:4" x14ac:dyDescent="0.25">
      <c r="A230" t="s">
        <v>84</v>
      </c>
      <c r="B230" t="s">
        <v>979</v>
      </c>
      <c r="C230" s="19"/>
      <c r="D230" s="19"/>
    </row>
    <row r="231" spans="1:4" x14ac:dyDescent="0.25">
      <c r="A231" t="s">
        <v>84</v>
      </c>
      <c r="B231" t="s">
        <v>993</v>
      </c>
      <c r="C231" s="19"/>
      <c r="D231" s="19"/>
    </row>
    <row r="232" spans="1:4" x14ac:dyDescent="0.25">
      <c r="A232" t="s">
        <v>84</v>
      </c>
      <c r="B232" t="s">
        <v>973</v>
      </c>
      <c r="C232" s="19"/>
      <c r="D232" s="19"/>
    </row>
    <row r="233" spans="1:4" x14ac:dyDescent="0.25">
      <c r="A233" t="s">
        <v>84</v>
      </c>
      <c r="B233" t="s">
        <v>1029</v>
      </c>
      <c r="C233" s="19"/>
      <c r="D233" s="19"/>
    </row>
    <row r="234" spans="1:4" x14ac:dyDescent="0.25">
      <c r="A234" t="s">
        <v>84</v>
      </c>
      <c r="B234" t="s">
        <v>996</v>
      </c>
      <c r="C234" s="19"/>
      <c r="D234" s="19"/>
    </row>
    <row r="235" spans="1:4" x14ac:dyDescent="0.25">
      <c r="A235" t="s">
        <v>84</v>
      </c>
      <c r="B235" t="s">
        <v>987</v>
      </c>
      <c r="C235" s="19"/>
      <c r="D235" s="19"/>
    </row>
    <row r="236" spans="1:4" x14ac:dyDescent="0.25">
      <c r="A236" t="s">
        <v>84</v>
      </c>
      <c r="B236" t="s">
        <v>977</v>
      </c>
      <c r="C236" s="19"/>
      <c r="D236" s="19"/>
    </row>
    <row r="237" spans="1:4" x14ac:dyDescent="0.25">
      <c r="A237" t="s">
        <v>84</v>
      </c>
      <c r="B237" t="s">
        <v>989</v>
      </c>
      <c r="C237" s="19"/>
      <c r="D237" s="19"/>
    </row>
    <row r="238" spans="1:4" x14ac:dyDescent="0.25">
      <c r="A238" t="s">
        <v>87</v>
      </c>
      <c r="B238" t="s">
        <v>974</v>
      </c>
      <c r="C238" s="19"/>
      <c r="D238" s="19"/>
    </row>
    <row r="239" spans="1:4" x14ac:dyDescent="0.25">
      <c r="A239" t="s">
        <v>87</v>
      </c>
      <c r="B239" t="s">
        <v>976</v>
      </c>
      <c r="C239" s="19"/>
      <c r="D239" s="19"/>
    </row>
    <row r="240" spans="1:4" x14ac:dyDescent="0.25">
      <c r="A240" t="s">
        <v>90</v>
      </c>
      <c r="B240" t="s">
        <v>1003</v>
      </c>
      <c r="C240" s="19"/>
      <c r="D240" s="19"/>
    </row>
    <row r="241" spans="1:4" x14ac:dyDescent="0.25">
      <c r="A241" t="s">
        <v>90</v>
      </c>
      <c r="B241" t="s">
        <v>1002</v>
      </c>
      <c r="C241" s="19"/>
      <c r="D241" s="19"/>
    </row>
    <row r="242" spans="1:4" x14ac:dyDescent="0.25">
      <c r="A242" t="s">
        <v>91</v>
      </c>
      <c r="B242" t="s">
        <v>1003</v>
      </c>
      <c r="C242" s="19"/>
      <c r="D242" s="19"/>
    </row>
    <row r="243" spans="1:4" x14ac:dyDescent="0.25">
      <c r="A243" t="s">
        <v>91</v>
      </c>
      <c r="B243" t="s">
        <v>1002</v>
      </c>
      <c r="C243" s="19"/>
      <c r="D243" s="19"/>
    </row>
    <row r="244" spans="1:4" x14ac:dyDescent="0.25">
      <c r="A244" t="s">
        <v>92</v>
      </c>
      <c r="B244" t="s">
        <v>980</v>
      </c>
      <c r="C244" s="19"/>
      <c r="D244" s="19"/>
    </row>
    <row r="245" spans="1:4" x14ac:dyDescent="0.25">
      <c r="A245" t="s">
        <v>92</v>
      </c>
      <c r="B245" t="s">
        <v>985</v>
      </c>
      <c r="C245" s="19"/>
      <c r="D245" s="19"/>
    </row>
    <row r="246" spans="1:4" x14ac:dyDescent="0.25">
      <c r="A246" t="s">
        <v>92</v>
      </c>
      <c r="B246" t="s">
        <v>1027</v>
      </c>
      <c r="C246" s="19"/>
      <c r="D246" s="19"/>
    </row>
    <row r="247" spans="1:4" x14ac:dyDescent="0.25">
      <c r="A247" t="s">
        <v>93</v>
      </c>
      <c r="B247" t="s">
        <v>1003</v>
      </c>
      <c r="C247" s="19"/>
      <c r="D247" s="19"/>
    </row>
    <row r="248" spans="1:4" x14ac:dyDescent="0.25">
      <c r="A248" t="s">
        <v>93</v>
      </c>
      <c r="B248" t="s">
        <v>1002</v>
      </c>
      <c r="C248" s="19"/>
      <c r="D248" s="19"/>
    </row>
    <row r="249" spans="1:4" x14ac:dyDescent="0.25">
      <c r="A249" t="s">
        <v>94</v>
      </c>
      <c r="B249" t="s">
        <v>1013</v>
      </c>
      <c r="C249" s="19"/>
      <c r="D249" s="19"/>
    </row>
    <row r="250" spans="1:4" x14ac:dyDescent="0.25">
      <c r="A250" t="s">
        <v>94</v>
      </c>
      <c r="B250" t="s">
        <v>1011</v>
      </c>
      <c r="C250" s="19"/>
      <c r="D250" s="19"/>
    </row>
    <row r="251" spans="1:4" x14ac:dyDescent="0.25">
      <c r="A251" t="s">
        <v>95</v>
      </c>
      <c r="B251" t="s">
        <v>1010</v>
      </c>
      <c r="C251" s="19"/>
      <c r="D251" s="19"/>
    </row>
    <row r="252" spans="1:4" x14ac:dyDescent="0.25">
      <c r="A252" t="s">
        <v>95</v>
      </c>
      <c r="B252" t="s">
        <v>1015</v>
      </c>
      <c r="C252" s="19"/>
      <c r="D252" s="19"/>
    </row>
    <row r="253" spans="1:4" x14ac:dyDescent="0.25">
      <c r="A253" t="s">
        <v>95</v>
      </c>
      <c r="B253" t="s">
        <v>1017</v>
      </c>
      <c r="C253" s="19"/>
      <c r="D253" s="19"/>
    </row>
    <row r="254" spans="1:4" x14ac:dyDescent="0.25">
      <c r="A254" t="s">
        <v>97</v>
      </c>
      <c r="B254" t="s">
        <v>980</v>
      </c>
      <c r="C254" s="19"/>
      <c r="D254" s="19"/>
    </row>
    <row r="255" spans="1:4" x14ac:dyDescent="0.25">
      <c r="A255" t="s">
        <v>97</v>
      </c>
      <c r="B255" t="s">
        <v>985</v>
      </c>
      <c r="C255" s="19"/>
      <c r="D255" s="19"/>
    </row>
    <row r="256" spans="1:4" x14ac:dyDescent="0.25">
      <c r="A256" t="s">
        <v>98</v>
      </c>
      <c r="B256" t="s">
        <v>987</v>
      </c>
      <c r="C256" s="19"/>
      <c r="D256" s="19"/>
    </row>
    <row r="257" spans="1:4" x14ac:dyDescent="0.25">
      <c r="A257" t="s">
        <v>98</v>
      </c>
      <c r="B257" t="s">
        <v>989</v>
      </c>
      <c r="C257" s="19"/>
      <c r="D257" s="19"/>
    </row>
    <row r="258" spans="1:4" x14ac:dyDescent="0.25">
      <c r="A258" t="s">
        <v>98</v>
      </c>
      <c r="B258" t="s">
        <v>979</v>
      </c>
      <c r="C258" s="19"/>
      <c r="D258" s="19"/>
    </row>
    <row r="259" spans="1:4" x14ac:dyDescent="0.25">
      <c r="A259" t="s">
        <v>99</v>
      </c>
      <c r="B259" t="s">
        <v>973</v>
      </c>
      <c r="C259" s="19"/>
      <c r="D259" s="19"/>
    </row>
    <row r="260" spans="1:4" x14ac:dyDescent="0.25">
      <c r="A260" t="s">
        <v>99</v>
      </c>
      <c r="B260" t="s">
        <v>1029</v>
      </c>
      <c r="C260" s="19"/>
      <c r="D260" s="19"/>
    </row>
    <row r="261" spans="1:4" x14ac:dyDescent="0.25">
      <c r="A261" t="s">
        <v>99</v>
      </c>
      <c r="B261" t="s">
        <v>1027</v>
      </c>
      <c r="C261" s="19"/>
      <c r="D261" s="19"/>
    </row>
    <row r="262" spans="1:4" x14ac:dyDescent="0.25">
      <c r="A262" t="s">
        <v>100</v>
      </c>
      <c r="B262" t="s">
        <v>977</v>
      </c>
      <c r="C262" s="19"/>
      <c r="D262" s="19"/>
    </row>
    <row r="263" spans="1:4" x14ac:dyDescent="0.25">
      <c r="A263" t="s">
        <v>100</v>
      </c>
      <c r="B263" t="s">
        <v>993</v>
      </c>
      <c r="C263" s="19"/>
      <c r="D263" s="19"/>
    </row>
    <row r="264" spans="1:4" x14ac:dyDescent="0.25">
      <c r="A264" t="s">
        <v>100</v>
      </c>
      <c r="B264" t="s">
        <v>996</v>
      </c>
      <c r="C264" s="19"/>
      <c r="D264" s="19"/>
    </row>
    <row r="265" spans="1:4" x14ac:dyDescent="0.25">
      <c r="A265" t="s">
        <v>101</v>
      </c>
      <c r="B265" t="s">
        <v>992</v>
      </c>
      <c r="C265" s="19"/>
      <c r="D265" s="19"/>
    </row>
    <row r="266" spans="1:4" x14ac:dyDescent="0.25">
      <c r="A266" t="s">
        <v>101</v>
      </c>
      <c r="B266" t="s">
        <v>1037</v>
      </c>
      <c r="C266" s="19"/>
      <c r="D266" s="19"/>
    </row>
    <row r="267" spans="1:4" x14ac:dyDescent="0.25">
      <c r="A267" t="s">
        <v>104</v>
      </c>
      <c r="B267" t="s">
        <v>974</v>
      </c>
      <c r="C267" s="19"/>
      <c r="D267" s="19"/>
    </row>
    <row r="268" spans="1:4" x14ac:dyDescent="0.25">
      <c r="A268" t="s">
        <v>104</v>
      </c>
      <c r="B268" t="s">
        <v>976</v>
      </c>
      <c r="C268" s="19"/>
      <c r="D268" s="19"/>
    </row>
    <row r="269" spans="1:4" x14ac:dyDescent="0.25">
      <c r="A269" t="s">
        <v>104</v>
      </c>
      <c r="B269" t="s">
        <v>978</v>
      </c>
      <c r="C269" s="19"/>
      <c r="D269" s="19"/>
    </row>
    <row r="270" spans="1:4" x14ac:dyDescent="0.25">
      <c r="A270" t="s">
        <v>105</v>
      </c>
      <c r="B270" t="s">
        <v>980</v>
      </c>
      <c r="C270" s="19"/>
      <c r="D270" s="19"/>
    </row>
    <row r="271" spans="1:4" x14ac:dyDescent="0.25">
      <c r="A271" t="s">
        <v>105</v>
      </c>
      <c r="B271" t="s">
        <v>985</v>
      </c>
      <c r="C271" s="19"/>
      <c r="D271" s="19"/>
    </row>
    <row r="272" spans="1:4" x14ac:dyDescent="0.25">
      <c r="A272" t="s">
        <v>105</v>
      </c>
      <c r="B272" t="s">
        <v>1003</v>
      </c>
      <c r="C272" s="19"/>
      <c r="D272" s="19"/>
    </row>
    <row r="273" spans="1:4" x14ac:dyDescent="0.25">
      <c r="A273" t="s">
        <v>106</v>
      </c>
      <c r="B273" t="s">
        <v>992</v>
      </c>
      <c r="C273" s="19"/>
      <c r="D273" s="19"/>
    </row>
    <row r="274" spans="1:4" x14ac:dyDescent="0.25">
      <c r="A274" t="s">
        <v>106</v>
      </c>
      <c r="B274" t="s">
        <v>1037</v>
      </c>
      <c r="C274" s="19"/>
      <c r="D274" s="19"/>
    </row>
    <row r="275" spans="1:4" x14ac:dyDescent="0.25">
      <c r="A275" t="s">
        <v>106</v>
      </c>
      <c r="B275" t="s">
        <v>1002</v>
      </c>
      <c r="C275" s="19"/>
      <c r="D275" s="19"/>
    </row>
    <row r="276" spans="1:4" x14ac:dyDescent="0.25">
      <c r="A276" t="s">
        <v>107</v>
      </c>
      <c r="B276" t="s">
        <v>987</v>
      </c>
      <c r="C276" s="19"/>
      <c r="D276" s="19"/>
    </row>
    <row r="277" spans="1:4" x14ac:dyDescent="0.25">
      <c r="A277" t="s">
        <v>107</v>
      </c>
      <c r="B277" t="s">
        <v>989</v>
      </c>
      <c r="C277" s="19"/>
      <c r="D277" s="19"/>
    </row>
    <row r="278" spans="1:4" x14ac:dyDescent="0.25">
      <c r="A278" t="s">
        <v>108</v>
      </c>
      <c r="B278" t="s">
        <v>992</v>
      </c>
      <c r="C278" s="19"/>
      <c r="D278" s="19"/>
    </row>
    <row r="279" spans="1:4" x14ac:dyDescent="0.25">
      <c r="A279" t="s">
        <v>108</v>
      </c>
      <c r="B279" t="s">
        <v>1002</v>
      </c>
      <c r="C279" s="19"/>
      <c r="D279" s="19"/>
    </row>
    <row r="280" spans="1:4" x14ac:dyDescent="0.25">
      <c r="A280" t="s">
        <v>109</v>
      </c>
      <c r="B280" t="s">
        <v>1003</v>
      </c>
      <c r="C280" s="19"/>
      <c r="D280" s="19"/>
    </row>
    <row r="281" spans="1:4" x14ac:dyDescent="0.25">
      <c r="A281" t="s">
        <v>109</v>
      </c>
      <c r="B281" t="s">
        <v>1002</v>
      </c>
      <c r="C281" s="19"/>
      <c r="D281" s="19"/>
    </row>
    <row r="282" spans="1:4" x14ac:dyDescent="0.25">
      <c r="A282" t="s">
        <v>111</v>
      </c>
      <c r="B282" t="s">
        <v>1018</v>
      </c>
      <c r="C282" s="19"/>
      <c r="D282" s="19"/>
    </row>
    <row r="283" spans="1:4" x14ac:dyDescent="0.25">
      <c r="A283" t="s">
        <v>111</v>
      </c>
      <c r="B283" t="s">
        <v>1006</v>
      </c>
      <c r="C283" s="19"/>
      <c r="D283" s="19"/>
    </row>
    <row r="284" spans="1:4" x14ac:dyDescent="0.25">
      <c r="A284" t="s">
        <v>112</v>
      </c>
      <c r="B284" t="s">
        <v>1013</v>
      </c>
      <c r="C284" s="19"/>
      <c r="D284" s="19"/>
    </row>
    <row r="285" spans="1:4" x14ac:dyDescent="0.25">
      <c r="A285" t="s">
        <v>112</v>
      </c>
      <c r="B285" t="s">
        <v>1011</v>
      </c>
      <c r="C285" s="19"/>
      <c r="D285" s="19"/>
    </row>
    <row r="286" spans="1:4" x14ac:dyDescent="0.25">
      <c r="A286" t="s">
        <v>113</v>
      </c>
      <c r="B286" t="s">
        <v>1038</v>
      </c>
      <c r="C286" s="19"/>
      <c r="D286" s="19"/>
    </row>
    <row r="287" spans="1:4" x14ac:dyDescent="0.25">
      <c r="A287" t="s">
        <v>114</v>
      </c>
      <c r="B287" t="s">
        <v>1017</v>
      </c>
      <c r="C287" s="19"/>
      <c r="D287" s="19"/>
    </row>
    <row r="288" spans="1:4" x14ac:dyDescent="0.25">
      <c r="A288" t="s">
        <v>114</v>
      </c>
      <c r="B288" t="s">
        <v>1015</v>
      </c>
      <c r="C288" s="19"/>
      <c r="D288" s="19"/>
    </row>
    <row r="289" spans="1:4" x14ac:dyDescent="0.25">
      <c r="A289" t="s">
        <v>115</v>
      </c>
      <c r="B289" t="s">
        <v>1022</v>
      </c>
      <c r="C289" s="19"/>
      <c r="D289" s="19"/>
    </row>
    <row r="290" spans="1:4" x14ac:dyDescent="0.25">
      <c r="A290" t="s">
        <v>115</v>
      </c>
      <c r="B290" t="s">
        <v>986</v>
      </c>
      <c r="C290" s="19"/>
      <c r="D290" s="19"/>
    </row>
    <row r="291" spans="1:4" x14ac:dyDescent="0.25">
      <c r="A291" t="s">
        <v>115</v>
      </c>
      <c r="B291" t="s">
        <v>999</v>
      </c>
      <c r="C291" s="19"/>
      <c r="D291" s="19"/>
    </row>
    <row r="292" spans="1:4" x14ac:dyDescent="0.25">
      <c r="A292" t="s">
        <v>115</v>
      </c>
      <c r="B292" t="s">
        <v>1024</v>
      </c>
      <c r="C292" s="19"/>
      <c r="D292" s="19"/>
    </row>
    <row r="293" spans="1:4" x14ac:dyDescent="0.25">
      <c r="A293" t="s">
        <v>115</v>
      </c>
      <c r="B293" t="s">
        <v>1020</v>
      </c>
      <c r="C293" s="19"/>
      <c r="D293" s="19"/>
    </row>
    <row r="294" spans="1:4" x14ac:dyDescent="0.25">
      <c r="A294" t="s">
        <v>115</v>
      </c>
      <c r="B294" t="s">
        <v>1039</v>
      </c>
      <c r="C294" s="19"/>
      <c r="D294" s="19"/>
    </row>
    <row r="295" spans="1:4" x14ac:dyDescent="0.25">
      <c r="A295" t="s">
        <v>116</v>
      </c>
      <c r="B295" t="s">
        <v>977</v>
      </c>
      <c r="C295" s="19"/>
      <c r="D295" s="19"/>
    </row>
    <row r="296" spans="1:4" x14ac:dyDescent="0.25">
      <c r="A296" t="s">
        <v>116</v>
      </c>
      <c r="B296" t="s">
        <v>996</v>
      </c>
      <c r="C296" s="19"/>
      <c r="D296" s="19"/>
    </row>
    <row r="297" spans="1:4" x14ac:dyDescent="0.25">
      <c r="A297" t="s">
        <v>116</v>
      </c>
      <c r="B297" t="s">
        <v>1037</v>
      </c>
      <c r="C297" s="19"/>
      <c r="D297" s="19"/>
    </row>
    <row r="298" spans="1:4" x14ac:dyDescent="0.25">
      <c r="A298" t="s">
        <v>117</v>
      </c>
      <c r="B298" t="s">
        <v>973</v>
      </c>
      <c r="C298" s="19"/>
      <c r="D298" s="19"/>
    </row>
    <row r="299" spans="1:4" x14ac:dyDescent="0.25">
      <c r="A299" t="s">
        <v>117</v>
      </c>
      <c r="B299" t="s">
        <v>992</v>
      </c>
      <c r="C299" s="19"/>
      <c r="D299" s="19"/>
    </row>
    <row r="300" spans="1:4" x14ac:dyDescent="0.25">
      <c r="A300" t="s">
        <v>117</v>
      </c>
      <c r="B300" t="s">
        <v>976</v>
      </c>
      <c r="C300" s="19"/>
      <c r="D300" s="19"/>
    </row>
    <row r="301" spans="1:4" x14ac:dyDescent="0.25">
      <c r="A301" t="s">
        <v>118</v>
      </c>
      <c r="B301" t="s">
        <v>979</v>
      </c>
      <c r="C301" s="19"/>
      <c r="D301" s="19"/>
    </row>
    <row r="302" spans="1:4" x14ac:dyDescent="0.25">
      <c r="A302" t="s">
        <v>118</v>
      </c>
      <c r="B302" t="s">
        <v>989</v>
      </c>
      <c r="C302" s="19"/>
      <c r="D302" s="19"/>
    </row>
    <row r="303" spans="1:4" x14ac:dyDescent="0.25">
      <c r="A303" t="s">
        <v>118</v>
      </c>
      <c r="B303" t="s">
        <v>987</v>
      </c>
      <c r="C303" s="19"/>
      <c r="D303" s="19"/>
    </row>
    <row r="304" spans="1:4" x14ac:dyDescent="0.25">
      <c r="A304" t="s">
        <v>119</v>
      </c>
      <c r="B304" t="s">
        <v>985</v>
      </c>
      <c r="C304" s="19"/>
      <c r="D304" s="19"/>
    </row>
    <row r="305" spans="1:4" x14ac:dyDescent="0.25">
      <c r="A305" t="s">
        <v>119</v>
      </c>
      <c r="B305" t="s">
        <v>980</v>
      </c>
      <c r="C305" s="19"/>
      <c r="D305" s="19"/>
    </row>
    <row r="306" spans="1:4" x14ac:dyDescent="0.25">
      <c r="A306" t="s">
        <v>119</v>
      </c>
      <c r="B306" t="s">
        <v>981</v>
      </c>
      <c r="C306" s="19"/>
      <c r="D306" s="19"/>
    </row>
    <row r="307" spans="1:4" x14ac:dyDescent="0.25">
      <c r="A307" t="s">
        <v>120</v>
      </c>
      <c r="B307" t="s">
        <v>1029</v>
      </c>
      <c r="C307" s="19"/>
      <c r="D307" s="19"/>
    </row>
    <row r="308" spans="1:4" x14ac:dyDescent="0.25">
      <c r="A308" t="s">
        <v>120</v>
      </c>
      <c r="B308" t="s">
        <v>974</v>
      </c>
      <c r="C308" s="19"/>
      <c r="D308" s="19"/>
    </row>
    <row r="309" spans="1:4" x14ac:dyDescent="0.25">
      <c r="A309" t="s">
        <v>120</v>
      </c>
      <c r="B309" t="s">
        <v>978</v>
      </c>
      <c r="C309" s="19"/>
      <c r="D309" s="19"/>
    </row>
    <row r="310" spans="1:4" x14ac:dyDescent="0.25">
      <c r="A310" t="s">
        <v>121</v>
      </c>
      <c r="B310" t="s">
        <v>1002</v>
      </c>
      <c r="C310" s="19"/>
      <c r="D310" s="19"/>
    </row>
    <row r="311" spans="1:4" x14ac:dyDescent="0.25">
      <c r="A311" t="s">
        <v>121</v>
      </c>
      <c r="B311" t="s">
        <v>1003</v>
      </c>
      <c r="C311" s="19"/>
      <c r="D311" s="19"/>
    </row>
    <row r="312" spans="1:4" x14ac:dyDescent="0.25">
      <c r="A312" t="s">
        <v>122</v>
      </c>
      <c r="B312" t="s">
        <v>1029</v>
      </c>
      <c r="C312" s="19"/>
      <c r="D312" s="19"/>
    </row>
    <row r="313" spans="1:4" x14ac:dyDescent="0.25">
      <c r="A313" t="s">
        <v>122</v>
      </c>
      <c r="B313" t="s">
        <v>974</v>
      </c>
      <c r="C313" s="19"/>
      <c r="D313" s="19"/>
    </row>
    <row r="314" spans="1:4" x14ac:dyDescent="0.25">
      <c r="A314" t="s">
        <v>122</v>
      </c>
      <c r="B314" t="s">
        <v>978</v>
      </c>
      <c r="C314" s="19"/>
      <c r="D314" s="19"/>
    </row>
    <row r="315" spans="1:4" x14ac:dyDescent="0.25">
      <c r="A315" t="s">
        <v>123</v>
      </c>
      <c r="B315" t="s">
        <v>985</v>
      </c>
      <c r="C315" s="19"/>
      <c r="D315" s="19"/>
    </row>
    <row r="316" spans="1:4" x14ac:dyDescent="0.25">
      <c r="A316" t="s">
        <v>123</v>
      </c>
      <c r="B316" t="s">
        <v>980</v>
      </c>
      <c r="C316" s="19"/>
      <c r="D316" s="19"/>
    </row>
    <row r="317" spans="1:4" x14ac:dyDescent="0.25">
      <c r="A317" t="s">
        <v>123</v>
      </c>
      <c r="B317" t="s">
        <v>981</v>
      </c>
      <c r="C317" s="19"/>
      <c r="D317" s="19"/>
    </row>
    <row r="318" spans="1:4" x14ac:dyDescent="0.25">
      <c r="A318" t="s">
        <v>124</v>
      </c>
      <c r="B318" t="s">
        <v>979</v>
      </c>
      <c r="C318" s="19"/>
      <c r="D318" s="19"/>
    </row>
    <row r="319" spans="1:4" x14ac:dyDescent="0.25">
      <c r="A319" t="s">
        <v>124</v>
      </c>
      <c r="B319" t="s">
        <v>989</v>
      </c>
      <c r="C319" s="19"/>
      <c r="D319" s="19"/>
    </row>
    <row r="320" spans="1:4" x14ac:dyDescent="0.25">
      <c r="A320" t="s">
        <v>124</v>
      </c>
      <c r="B320" t="s">
        <v>987</v>
      </c>
      <c r="C320" s="19"/>
      <c r="D320" s="19"/>
    </row>
    <row r="321" spans="1:4" x14ac:dyDescent="0.25">
      <c r="A321" t="s">
        <v>125</v>
      </c>
      <c r="B321" t="s">
        <v>973</v>
      </c>
      <c r="C321" s="19"/>
      <c r="D321" s="19"/>
    </row>
    <row r="322" spans="1:4" x14ac:dyDescent="0.25">
      <c r="A322" t="s">
        <v>125</v>
      </c>
      <c r="B322" t="s">
        <v>992</v>
      </c>
      <c r="C322" s="19"/>
      <c r="D322" s="19"/>
    </row>
    <row r="323" spans="1:4" x14ac:dyDescent="0.25">
      <c r="A323" t="s">
        <v>125</v>
      </c>
      <c r="B323" t="s">
        <v>976</v>
      </c>
      <c r="C323" s="19"/>
      <c r="D323" s="19"/>
    </row>
    <row r="324" spans="1:4" x14ac:dyDescent="0.25">
      <c r="A324" t="s">
        <v>126</v>
      </c>
      <c r="B324" t="s">
        <v>977</v>
      </c>
      <c r="C324" s="19"/>
      <c r="D324" s="19"/>
    </row>
    <row r="325" spans="1:4" x14ac:dyDescent="0.25">
      <c r="A325" t="s">
        <v>126</v>
      </c>
      <c r="B325" t="s">
        <v>996</v>
      </c>
      <c r="C325" s="19"/>
      <c r="D325" s="19"/>
    </row>
    <row r="326" spans="1:4" x14ac:dyDescent="0.25">
      <c r="A326" t="s">
        <v>126</v>
      </c>
      <c r="B326" t="s">
        <v>1037</v>
      </c>
      <c r="C326" s="19"/>
      <c r="D326" s="19"/>
    </row>
    <row r="327" spans="1:4" x14ac:dyDescent="0.25">
      <c r="A327" t="s">
        <v>127</v>
      </c>
      <c r="B327" t="s">
        <v>1002</v>
      </c>
      <c r="C327" s="19"/>
      <c r="D327" s="19"/>
    </row>
    <row r="328" spans="1:4" x14ac:dyDescent="0.25">
      <c r="A328" t="s">
        <v>127</v>
      </c>
      <c r="B328" t="s">
        <v>1003</v>
      </c>
      <c r="C328" s="19"/>
      <c r="D328" s="19"/>
    </row>
    <row r="329" spans="1:4" x14ac:dyDescent="0.25">
      <c r="A329" t="s">
        <v>128</v>
      </c>
      <c r="B329" t="s">
        <v>977</v>
      </c>
      <c r="C329" s="19"/>
      <c r="D329" s="19"/>
    </row>
    <row r="330" spans="1:4" x14ac:dyDescent="0.25">
      <c r="A330" t="s">
        <v>128</v>
      </c>
      <c r="B330" t="s">
        <v>996</v>
      </c>
      <c r="C330" s="19"/>
      <c r="D330" s="19"/>
    </row>
    <row r="331" spans="1:4" x14ac:dyDescent="0.25">
      <c r="A331" t="s">
        <v>128</v>
      </c>
      <c r="B331" t="s">
        <v>1037</v>
      </c>
      <c r="C331" s="19"/>
      <c r="D331" s="19"/>
    </row>
    <row r="332" spans="1:4" x14ac:dyDescent="0.25">
      <c r="A332" t="s">
        <v>129</v>
      </c>
      <c r="B332" t="s">
        <v>985</v>
      </c>
      <c r="C332" s="19"/>
      <c r="D332" s="19"/>
    </row>
    <row r="333" spans="1:4" x14ac:dyDescent="0.25">
      <c r="A333" t="s">
        <v>129</v>
      </c>
      <c r="B333" t="s">
        <v>980</v>
      </c>
      <c r="C333" s="19"/>
      <c r="D333" s="19"/>
    </row>
    <row r="334" spans="1:4" x14ac:dyDescent="0.25">
      <c r="A334" t="s">
        <v>129</v>
      </c>
      <c r="B334" t="s">
        <v>981</v>
      </c>
      <c r="C334" s="19"/>
      <c r="D334" s="19"/>
    </row>
    <row r="335" spans="1:4" x14ac:dyDescent="0.25">
      <c r="A335" t="s">
        <v>132</v>
      </c>
      <c r="B335" t="s">
        <v>973</v>
      </c>
      <c r="C335" s="19"/>
      <c r="D335" s="19"/>
    </row>
    <row r="336" spans="1:4" x14ac:dyDescent="0.25">
      <c r="A336" t="s">
        <v>132</v>
      </c>
      <c r="B336" t="s">
        <v>979</v>
      </c>
      <c r="C336" s="19"/>
      <c r="D336" s="19"/>
    </row>
    <row r="337" spans="1:4" x14ac:dyDescent="0.25">
      <c r="A337" t="s">
        <v>133</v>
      </c>
      <c r="B337" t="s">
        <v>1018</v>
      </c>
      <c r="C337" s="19"/>
      <c r="D337" s="19"/>
    </row>
    <row r="338" spans="1:4" x14ac:dyDescent="0.25">
      <c r="A338" t="s">
        <v>133</v>
      </c>
      <c r="B338" t="s">
        <v>1007</v>
      </c>
      <c r="C338" s="19"/>
      <c r="D338" s="19"/>
    </row>
    <row r="339" spans="1:4" x14ac:dyDescent="0.25">
      <c r="A339" t="s">
        <v>133</v>
      </c>
      <c r="B339" t="s">
        <v>1031</v>
      </c>
      <c r="C339" s="19"/>
      <c r="D339" s="19"/>
    </row>
    <row r="340" spans="1:4" x14ac:dyDescent="0.25">
      <c r="A340" t="s">
        <v>133</v>
      </c>
      <c r="B340" t="s">
        <v>1006</v>
      </c>
      <c r="C340" s="19"/>
      <c r="D340" s="19"/>
    </row>
    <row r="341" spans="1:4" x14ac:dyDescent="0.25">
      <c r="A341" t="s">
        <v>133</v>
      </c>
      <c r="B341" t="s">
        <v>1002</v>
      </c>
      <c r="C341" s="19"/>
      <c r="D341" s="19"/>
    </row>
    <row r="342" spans="1:4" x14ac:dyDescent="0.25">
      <c r="A342" t="s">
        <v>136</v>
      </c>
      <c r="B342" t="s">
        <v>989</v>
      </c>
      <c r="C342" s="19"/>
      <c r="D342" s="19"/>
    </row>
    <row r="343" spans="1:4" x14ac:dyDescent="0.25">
      <c r="A343" t="s">
        <v>136</v>
      </c>
      <c r="B343" t="s">
        <v>987</v>
      </c>
      <c r="C343" s="19"/>
      <c r="D343" s="19"/>
    </row>
    <row r="344" spans="1:4" x14ac:dyDescent="0.25">
      <c r="A344" t="s">
        <v>136</v>
      </c>
      <c r="B344" t="s">
        <v>992</v>
      </c>
      <c r="C344" s="19"/>
      <c r="D344" s="19"/>
    </row>
    <row r="345" spans="1:4" x14ac:dyDescent="0.25">
      <c r="A345" t="s">
        <v>137</v>
      </c>
      <c r="B345" t="s">
        <v>1029</v>
      </c>
      <c r="C345" s="19"/>
      <c r="D345" s="19"/>
    </row>
    <row r="346" spans="1:4" x14ac:dyDescent="0.25">
      <c r="A346" t="s">
        <v>137</v>
      </c>
      <c r="B346" t="s">
        <v>974</v>
      </c>
      <c r="C346" s="19"/>
      <c r="D346" s="19"/>
    </row>
    <row r="347" spans="1:4" x14ac:dyDescent="0.25">
      <c r="A347" t="s">
        <v>137</v>
      </c>
      <c r="B347" t="s">
        <v>978</v>
      </c>
      <c r="C347" s="19"/>
      <c r="D347" s="19"/>
    </row>
    <row r="348" spans="1:4" x14ac:dyDescent="0.25">
      <c r="A348" t="s">
        <v>138</v>
      </c>
      <c r="B348" t="s">
        <v>981</v>
      </c>
      <c r="C348" s="19"/>
      <c r="D348" s="19"/>
    </row>
    <row r="349" spans="1:4" x14ac:dyDescent="0.25">
      <c r="A349" t="s">
        <v>138</v>
      </c>
      <c r="B349" t="s">
        <v>980</v>
      </c>
      <c r="C349" s="19"/>
      <c r="D349" s="19"/>
    </row>
    <row r="350" spans="1:4" x14ac:dyDescent="0.25">
      <c r="A350" t="s">
        <v>138</v>
      </c>
      <c r="B350" t="s">
        <v>985</v>
      </c>
      <c r="C350" s="19"/>
      <c r="D350" s="19"/>
    </row>
    <row r="351" spans="1:4" x14ac:dyDescent="0.25">
      <c r="A351" t="s">
        <v>139</v>
      </c>
      <c r="B351" t="s">
        <v>977</v>
      </c>
      <c r="C351" s="19"/>
      <c r="D351" s="19"/>
    </row>
    <row r="352" spans="1:4" x14ac:dyDescent="0.25">
      <c r="A352" t="s">
        <v>139</v>
      </c>
      <c r="B352" t="s">
        <v>996</v>
      </c>
      <c r="C352" s="19"/>
      <c r="D352" s="19"/>
    </row>
    <row r="353" spans="1:4" x14ac:dyDescent="0.25">
      <c r="A353" t="s">
        <v>139</v>
      </c>
      <c r="B353" t="s">
        <v>1037</v>
      </c>
      <c r="C353" s="19"/>
      <c r="D353" s="19"/>
    </row>
    <row r="354" spans="1:4" x14ac:dyDescent="0.25">
      <c r="A354" t="s">
        <v>139</v>
      </c>
      <c r="B354" t="s">
        <v>976</v>
      </c>
      <c r="C354" s="19"/>
      <c r="D354" s="19"/>
    </row>
    <row r="355" spans="1:4" x14ac:dyDescent="0.25">
      <c r="A355" t="s">
        <v>140</v>
      </c>
      <c r="B355" t="s">
        <v>1018</v>
      </c>
      <c r="C355" s="19"/>
      <c r="D355" s="19"/>
    </row>
    <row r="356" spans="1:4" x14ac:dyDescent="0.25">
      <c r="A356" t="s">
        <v>140</v>
      </c>
      <c r="B356" t="s">
        <v>1007</v>
      </c>
      <c r="C356" s="19"/>
      <c r="D356" s="19"/>
    </row>
    <row r="357" spans="1:4" x14ac:dyDescent="0.25">
      <c r="A357" t="s">
        <v>140</v>
      </c>
      <c r="B357" t="s">
        <v>1031</v>
      </c>
      <c r="C357" s="19"/>
      <c r="D357" s="19"/>
    </row>
    <row r="358" spans="1:4" x14ac:dyDescent="0.25">
      <c r="A358" t="s">
        <v>143</v>
      </c>
      <c r="B358" t="s">
        <v>1013</v>
      </c>
      <c r="C358" s="19"/>
      <c r="D358" s="19"/>
    </row>
    <row r="359" spans="1:4" x14ac:dyDescent="0.25">
      <c r="A359" t="s">
        <v>143</v>
      </c>
      <c r="B359" t="s">
        <v>1011</v>
      </c>
      <c r="C359" s="19"/>
      <c r="D359" s="19"/>
    </row>
    <row r="360" spans="1:4" x14ac:dyDescent="0.25">
      <c r="A360" t="s">
        <v>145</v>
      </c>
      <c r="B360" t="s">
        <v>1018</v>
      </c>
      <c r="C360" s="19"/>
      <c r="D360" s="19"/>
    </row>
    <row r="361" spans="1:4" x14ac:dyDescent="0.25">
      <c r="A361" t="s">
        <v>145</v>
      </c>
      <c r="B361" t="s">
        <v>1007</v>
      </c>
      <c r="C361" s="19"/>
      <c r="D361" s="19"/>
    </row>
    <row r="362" spans="1:4" x14ac:dyDescent="0.25">
      <c r="A362" t="s">
        <v>145</v>
      </c>
      <c r="B362" t="s">
        <v>1031</v>
      </c>
      <c r="C362" s="19"/>
      <c r="D362" s="19"/>
    </row>
    <row r="363" spans="1:4" x14ac:dyDescent="0.25">
      <c r="A363" t="s">
        <v>145</v>
      </c>
      <c r="B363" t="s">
        <v>1006</v>
      </c>
      <c r="C363" s="19"/>
      <c r="D363" s="19"/>
    </row>
    <row r="364" spans="1:4" x14ac:dyDescent="0.25">
      <c r="A364" t="s">
        <v>146</v>
      </c>
      <c r="B364" t="s">
        <v>1017</v>
      </c>
      <c r="C364" s="19"/>
      <c r="D364" s="19"/>
    </row>
    <row r="365" spans="1:4" x14ac:dyDescent="0.25">
      <c r="A365" t="s">
        <v>146</v>
      </c>
      <c r="B365" t="s">
        <v>1015</v>
      </c>
      <c r="C365" s="19"/>
      <c r="D365" s="19"/>
    </row>
    <row r="366" spans="1:4" x14ac:dyDescent="0.25">
      <c r="A366" t="s">
        <v>146</v>
      </c>
      <c r="B366" t="s">
        <v>1023</v>
      </c>
      <c r="C366" s="19"/>
      <c r="D366" s="19"/>
    </row>
    <row r="367" spans="1:4" x14ac:dyDescent="0.25">
      <c r="A367" t="s">
        <v>146</v>
      </c>
      <c r="B367" t="s">
        <v>1004</v>
      </c>
      <c r="C367" s="19"/>
      <c r="D367" s="19"/>
    </row>
    <row r="368" spans="1:4" x14ac:dyDescent="0.25">
      <c r="A368" t="s">
        <v>147</v>
      </c>
      <c r="B368" t="s">
        <v>1022</v>
      </c>
      <c r="C368" s="19"/>
      <c r="D368" s="19"/>
    </row>
    <row r="369" spans="1:4" x14ac:dyDescent="0.25">
      <c r="A369" t="s">
        <v>147</v>
      </c>
      <c r="B369" t="s">
        <v>986</v>
      </c>
      <c r="C369" s="19"/>
      <c r="D369" s="19"/>
    </row>
    <row r="370" spans="1:4" x14ac:dyDescent="0.25">
      <c r="A370" t="s">
        <v>147</v>
      </c>
      <c r="B370" t="s">
        <v>999</v>
      </c>
      <c r="C370" s="19"/>
      <c r="D370" s="19"/>
    </row>
    <row r="371" spans="1:4" x14ac:dyDescent="0.25">
      <c r="A371" t="s">
        <v>147</v>
      </c>
      <c r="B371" t="s">
        <v>1024</v>
      </c>
      <c r="C371" s="19"/>
      <c r="D371" s="19"/>
    </row>
    <row r="372" spans="1:4" x14ac:dyDescent="0.25">
      <c r="A372" t="s">
        <v>147</v>
      </c>
      <c r="B372" t="s">
        <v>1020</v>
      </c>
      <c r="C372" s="19"/>
      <c r="D372" s="19"/>
    </row>
    <row r="373" spans="1:4" x14ac:dyDescent="0.25">
      <c r="A373" t="s">
        <v>147</v>
      </c>
      <c r="B373" t="s">
        <v>1039</v>
      </c>
      <c r="C373" s="19"/>
      <c r="D373" s="19"/>
    </row>
    <row r="374" spans="1:4" x14ac:dyDescent="0.25">
      <c r="A374" t="s">
        <v>149</v>
      </c>
      <c r="B374" t="s">
        <v>1022</v>
      </c>
      <c r="C374" s="19"/>
      <c r="D374" s="19"/>
    </row>
    <row r="375" spans="1:4" x14ac:dyDescent="0.25">
      <c r="A375" t="s">
        <v>149</v>
      </c>
      <c r="B375" t="s">
        <v>986</v>
      </c>
      <c r="C375" s="19"/>
      <c r="D375" s="19"/>
    </row>
    <row r="376" spans="1:4" x14ac:dyDescent="0.25">
      <c r="A376" t="s">
        <v>149</v>
      </c>
      <c r="B376" t="s">
        <v>999</v>
      </c>
      <c r="C376" s="19"/>
      <c r="D376" s="19"/>
    </row>
    <row r="377" spans="1:4" x14ac:dyDescent="0.25">
      <c r="A377" t="s">
        <v>149</v>
      </c>
      <c r="B377" t="s">
        <v>988</v>
      </c>
      <c r="C377" s="19"/>
      <c r="D377" s="19"/>
    </row>
    <row r="378" spans="1:4" x14ac:dyDescent="0.25">
      <c r="A378" t="s">
        <v>150</v>
      </c>
      <c r="B378" t="s">
        <v>973</v>
      </c>
      <c r="C378" s="19"/>
      <c r="D378" s="19"/>
    </row>
    <row r="379" spans="1:4" x14ac:dyDescent="0.25">
      <c r="A379" t="s">
        <v>150</v>
      </c>
      <c r="B379" t="s">
        <v>979</v>
      </c>
      <c r="C379" s="19"/>
      <c r="D379" s="19"/>
    </row>
    <row r="380" spans="1:4" x14ac:dyDescent="0.25">
      <c r="A380" t="s">
        <v>151</v>
      </c>
      <c r="B380" t="s">
        <v>992</v>
      </c>
      <c r="C380" s="19"/>
      <c r="D380" s="19"/>
    </row>
    <row r="381" spans="1:4" x14ac:dyDescent="0.25">
      <c r="A381" t="s">
        <v>151</v>
      </c>
      <c r="B381" t="s">
        <v>985</v>
      </c>
      <c r="C381" s="19"/>
      <c r="D381" s="19"/>
    </row>
    <row r="382" spans="1:4" x14ac:dyDescent="0.25">
      <c r="A382" t="s">
        <v>151</v>
      </c>
      <c r="B382" t="s">
        <v>989</v>
      </c>
      <c r="C382" s="19"/>
      <c r="D382" s="19"/>
    </row>
    <row r="383" spans="1:4" x14ac:dyDescent="0.25">
      <c r="A383" t="s">
        <v>152</v>
      </c>
      <c r="B383" t="s">
        <v>981</v>
      </c>
      <c r="C383" s="19"/>
      <c r="D383" s="19"/>
    </row>
    <row r="384" spans="1:4" x14ac:dyDescent="0.25">
      <c r="A384" t="s">
        <v>152</v>
      </c>
      <c r="B384" t="s">
        <v>993</v>
      </c>
      <c r="C384" s="19"/>
      <c r="D384" s="19"/>
    </row>
    <row r="385" spans="1:4" x14ac:dyDescent="0.25">
      <c r="A385" t="s">
        <v>153</v>
      </c>
      <c r="B385" t="s">
        <v>1037</v>
      </c>
      <c r="C385" s="19"/>
      <c r="D385" s="19"/>
    </row>
    <row r="386" spans="1:4" x14ac:dyDescent="0.25">
      <c r="A386" t="s">
        <v>153</v>
      </c>
      <c r="B386" t="s">
        <v>977</v>
      </c>
      <c r="C386" s="19"/>
      <c r="D386" s="19"/>
    </row>
    <row r="387" spans="1:4" x14ac:dyDescent="0.25">
      <c r="A387" t="s">
        <v>154</v>
      </c>
      <c r="B387" t="s">
        <v>974</v>
      </c>
      <c r="C387" s="19"/>
      <c r="D387" s="19"/>
    </row>
    <row r="388" spans="1:4" x14ac:dyDescent="0.25">
      <c r="A388" t="s">
        <v>154</v>
      </c>
      <c r="B388" t="s">
        <v>987</v>
      </c>
      <c r="C388" s="19"/>
      <c r="D388" s="19"/>
    </row>
    <row r="389" spans="1:4" x14ac:dyDescent="0.25">
      <c r="A389" t="s">
        <v>154</v>
      </c>
      <c r="B389" t="s">
        <v>978</v>
      </c>
      <c r="C389" s="19"/>
      <c r="D389" s="19"/>
    </row>
    <row r="390" spans="1:4" x14ac:dyDescent="0.25">
      <c r="A390" t="s">
        <v>154</v>
      </c>
      <c r="B390" t="s">
        <v>980</v>
      </c>
      <c r="C390" s="19"/>
      <c r="D390" s="19"/>
    </row>
    <row r="391" spans="1:4" x14ac:dyDescent="0.25">
      <c r="A391" t="s">
        <v>154</v>
      </c>
      <c r="B391" t="s">
        <v>996</v>
      </c>
      <c r="C391" s="19"/>
      <c r="D391" s="19"/>
    </row>
    <row r="392" spans="1:4" x14ac:dyDescent="0.25">
      <c r="A392" t="s">
        <v>154</v>
      </c>
      <c r="B392" t="s">
        <v>1029</v>
      </c>
      <c r="C392" s="19"/>
      <c r="D392" s="19"/>
    </row>
    <row r="393" spans="1:4" x14ac:dyDescent="0.25">
      <c r="A393" t="s">
        <v>154</v>
      </c>
      <c r="B393" t="s">
        <v>1027</v>
      </c>
      <c r="C393" s="19"/>
      <c r="D393" s="19"/>
    </row>
    <row r="394" spans="1:4" x14ac:dyDescent="0.25">
      <c r="A394" t="s">
        <v>154</v>
      </c>
      <c r="B394" t="s">
        <v>976</v>
      </c>
      <c r="C394" s="19"/>
      <c r="D394" s="19"/>
    </row>
    <row r="395" spans="1:4" x14ac:dyDescent="0.25">
      <c r="A395" t="s">
        <v>157</v>
      </c>
      <c r="B395" t="s">
        <v>981</v>
      </c>
      <c r="C395" s="19"/>
      <c r="D395" s="19"/>
    </row>
    <row r="396" spans="1:4" x14ac:dyDescent="0.25">
      <c r="A396" t="s">
        <v>157</v>
      </c>
      <c r="B396" t="s">
        <v>993</v>
      </c>
      <c r="C396" s="19"/>
      <c r="D396" s="19"/>
    </row>
    <row r="397" spans="1:4" x14ac:dyDescent="0.25">
      <c r="A397" t="s">
        <v>159</v>
      </c>
      <c r="B397" t="s">
        <v>1002</v>
      </c>
      <c r="C397" s="19"/>
      <c r="D397" s="19"/>
    </row>
    <row r="398" spans="1:4" x14ac:dyDescent="0.25">
      <c r="A398" t="s">
        <v>160</v>
      </c>
      <c r="B398" t="s">
        <v>1018</v>
      </c>
      <c r="C398" s="19"/>
      <c r="D398" s="19"/>
    </row>
    <row r="399" spans="1:4" x14ac:dyDescent="0.25">
      <c r="A399" t="s">
        <v>160</v>
      </c>
      <c r="B399" t="s">
        <v>1007</v>
      </c>
      <c r="C399" s="19"/>
      <c r="D399" s="19"/>
    </row>
    <row r="400" spans="1:4" x14ac:dyDescent="0.25">
      <c r="A400" t="s">
        <v>160</v>
      </c>
      <c r="B400" t="s">
        <v>1031</v>
      </c>
      <c r="C400" s="19"/>
      <c r="D400" s="19"/>
    </row>
    <row r="401" spans="1:4" x14ac:dyDescent="0.25">
      <c r="A401" t="s">
        <v>161</v>
      </c>
      <c r="B401" t="s">
        <v>1002</v>
      </c>
      <c r="C401" s="19"/>
      <c r="D401" s="19"/>
    </row>
    <row r="402" spans="1:4" x14ac:dyDescent="0.25">
      <c r="A402" t="s">
        <v>162</v>
      </c>
      <c r="B402" t="s">
        <v>1015</v>
      </c>
      <c r="C402" s="19"/>
      <c r="D402" s="19"/>
    </row>
    <row r="403" spans="1:4" x14ac:dyDescent="0.25">
      <c r="A403" t="s">
        <v>162</v>
      </c>
      <c r="B403" t="s">
        <v>1017</v>
      </c>
      <c r="C403" s="19"/>
      <c r="D403" s="19"/>
    </row>
    <row r="404" spans="1:4" x14ac:dyDescent="0.25">
      <c r="A404" t="s">
        <v>162</v>
      </c>
      <c r="B404" t="s">
        <v>1004</v>
      </c>
      <c r="C404" s="19"/>
      <c r="D404" s="19"/>
    </row>
    <row r="405" spans="1:4" x14ac:dyDescent="0.25">
      <c r="A405" t="s">
        <v>162</v>
      </c>
      <c r="B405" t="s">
        <v>1023</v>
      </c>
      <c r="C405" s="19"/>
      <c r="D405" s="19"/>
    </row>
    <row r="406" spans="1:4" x14ac:dyDescent="0.25">
      <c r="A406" t="s">
        <v>162</v>
      </c>
      <c r="B406" t="s">
        <v>1038</v>
      </c>
      <c r="C406" s="19"/>
      <c r="D406" s="19"/>
    </row>
    <row r="407" spans="1:4" x14ac:dyDescent="0.25">
      <c r="A407" t="s">
        <v>162</v>
      </c>
      <c r="B407" t="s">
        <v>1011</v>
      </c>
      <c r="C407" s="19"/>
      <c r="D407" s="19"/>
    </row>
    <row r="408" spans="1:4" x14ac:dyDescent="0.25">
      <c r="A408" t="s">
        <v>162</v>
      </c>
      <c r="B408" t="s">
        <v>1013</v>
      </c>
      <c r="C408" s="19"/>
      <c r="D408" s="19"/>
    </row>
    <row r="409" spans="1:4" x14ac:dyDescent="0.25">
      <c r="A409" t="s">
        <v>163</v>
      </c>
      <c r="B409" t="s">
        <v>1018</v>
      </c>
      <c r="C409" s="19"/>
      <c r="D409" s="19"/>
    </row>
    <row r="410" spans="1:4" x14ac:dyDescent="0.25">
      <c r="A410" t="s">
        <v>163</v>
      </c>
      <c r="B410" t="s">
        <v>1007</v>
      </c>
      <c r="C410" s="19"/>
      <c r="D410" s="19"/>
    </row>
    <row r="411" spans="1:4" x14ac:dyDescent="0.25">
      <c r="A411" t="s">
        <v>163</v>
      </c>
      <c r="B411" t="s">
        <v>1031</v>
      </c>
      <c r="C411" s="19"/>
      <c r="D411" s="19"/>
    </row>
    <row r="412" spans="1:4" x14ac:dyDescent="0.25">
      <c r="A412" t="s">
        <v>164</v>
      </c>
      <c r="B412" t="s">
        <v>1013</v>
      </c>
      <c r="C412" s="19"/>
      <c r="D412" s="19"/>
    </row>
    <row r="413" spans="1:4" x14ac:dyDescent="0.25">
      <c r="A413" t="s">
        <v>164</v>
      </c>
      <c r="B413" t="s">
        <v>1011</v>
      </c>
      <c r="C413" s="19"/>
      <c r="D413" s="19"/>
    </row>
    <row r="414" spans="1:4" x14ac:dyDescent="0.25">
      <c r="A414" t="s">
        <v>165</v>
      </c>
      <c r="B414" t="s">
        <v>1015</v>
      </c>
      <c r="C414" s="19"/>
      <c r="D414" s="19"/>
    </row>
    <row r="415" spans="1:4" x14ac:dyDescent="0.25">
      <c r="A415" t="s">
        <v>165</v>
      </c>
      <c r="B415" t="s">
        <v>1017</v>
      </c>
      <c r="C415" s="19"/>
      <c r="D415" s="19"/>
    </row>
    <row r="416" spans="1:4" x14ac:dyDescent="0.25">
      <c r="A416" t="s">
        <v>165</v>
      </c>
      <c r="B416" t="s">
        <v>1004</v>
      </c>
      <c r="C416" s="19"/>
      <c r="D416" s="19"/>
    </row>
    <row r="417" spans="1:4" x14ac:dyDescent="0.25">
      <c r="A417" t="s">
        <v>165</v>
      </c>
      <c r="B417" t="s">
        <v>1023</v>
      </c>
      <c r="C417" s="19"/>
      <c r="D417" s="19"/>
    </row>
    <row r="418" spans="1:4" x14ac:dyDescent="0.25">
      <c r="A418" t="s">
        <v>165</v>
      </c>
      <c r="B418" t="s">
        <v>1038</v>
      </c>
      <c r="C418" s="19"/>
      <c r="D418" s="19"/>
    </row>
    <row r="419" spans="1:4" x14ac:dyDescent="0.25">
      <c r="A419" t="s">
        <v>166</v>
      </c>
      <c r="B419" t="s">
        <v>1019</v>
      </c>
      <c r="C419" s="19"/>
      <c r="D419" s="19"/>
    </row>
    <row r="420" spans="1:4" x14ac:dyDescent="0.25">
      <c r="A420" t="s">
        <v>166</v>
      </c>
      <c r="B420" t="s">
        <v>988</v>
      </c>
      <c r="C420" s="19"/>
      <c r="D420" s="19"/>
    </row>
    <row r="421" spans="1:4" x14ac:dyDescent="0.25">
      <c r="A421" t="s">
        <v>166</v>
      </c>
      <c r="B421" t="s">
        <v>986</v>
      </c>
      <c r="C421" s="19"/>
      <c r="D421" s="19"/>
    </row>
    <row r="422" spans="1:4" x14ac:dyDescent="0.25">
      <c r="A422" t="s">
        <v>166</v>
      </c>
      <c r="B422" t="s">
        <v>1022</v>
      </c>
      <c r="C422" s="19"/>
      <c r="D422" s="19"/>
    </row>
    <row r="423" spans="1:4" x14ac:dyDescent="0.25">
      <c r="A423" t="s">
        <v>166</v>
      </c>
      <c r="B423" t="s">
        <v>999</v>
      </c>
      <c r="C423" s="19"/>
      <c r="D423" s="19"/>
    </row>
    <row r="424" spans="1:4" x14ac:dyDescent="0.25">
      <c r="A424" t="s">
        <v>167</v>
      </c>
      <c r="B424" t="s">
        <v>979</v>
      </c>
      <c r="C424" s="19"/>
      <c r="D424" s="19"/>
    </row>
    <row r="425" spans="1:4" x14ac:dyDescent="0.25">
      <c r="A425" t="s">
        <v>167</v>
      </c>
      <c r="B425" t="s">
        <v>1027</v>
      </c>
      <c r="C425" s="19"/>
      <c r="D425" s="19"/>
    </row>
    <row r="426" spans="1:4" x14ac:dyDescent="0.25">
      <c r="A426" t="s">
        <v>167</v>
      </c>
      <c r="B426" t="s">
        <v>981</v>
      </c>
      <c r="C426" s="19"/>
      <c r="D426" s="19"/>
    </row>
    <row r="427" spans="1:4" x14ac:dyDescent="0.25">
      <c r="A427" t="s">
        <v>167</v>
      </c>
      <c r="B427" t="s">
        <v>976</v>
      </c>
      <c r="C427" s="19"/>
      <c r="D427" s="19"/>
    </row>
    <row r="428" spans="1:4" x14ac:dyDescent="0.25">
      <c r="A428" t="s">
        <v>167</v>
      </c>
      <c r="B428" t="s">
        <v>987</v>
      </c>
      <c r="C428" s="19"/>
      <c r="D428" s="19"/>
    </row>
    <row r="429" spans="1:4" x14ac:dyDescent="0.25">
      <c r="A429" t="s">
        <v>167</v>
      </c>
      <c r="B429" t="s">
        <v>992</v>
      </c>
      <c r="C429" s="19"/>
      <c r="D429" s="19"/>
    </row>
    <row r="430" spans="1:4" x14ac:dyDescent="0.25">
      <c r="A430" t="s">
        <v>167</v>
      </c>
      <c r="B430" t="s">
        <v>977</v>
      </c>
      <c r="C430" s="19"/>
      <c r="D430" s="19"/>
    </row>
    <row r="431" spans="1:4" x14ac:dyDescent="0.25">
      <c r="A431" t="s">
        <v>167</v>
      </c>
      <c r="B431" t="s">
        <v>989</v>
      </c>
      <c r="C431" s="19"/>
      <c r="D431" s="19"/>
    </row>
    <row r="432" spans="1:4" x14ac:dyDescent="0.25">
      <c r="A432" t="s">
        <v>167</v>
      </c>
      <c r="B432" t="s">
        <v>980</v>
      </c>
      <c r="C432" s="19"/>
      <c r="D432" s="19"/>
    </row>
    <row r="433" spans="1:4" x14ac:dyDescent="0.25">
      <c r="A433" t="s">
        <v>168</v>
      </c>
      <c r="B433" t="s">
        <v>973</v>
      </c>
      <c r="C433" s="19"/>
      <c r="D433" s="19"/>
    </row>
    <row r="434" spans="1:4" x14ac:dyDescent="0.25">
      <c r="A434" t="s">
        <v>168</v>
      </c>
      <c r="B434" t="s">
        <v>985</v>
      </c>
      <c r="C434" s="19"/>
      <c r="D434" s="19"/>
    </row>
    <row r="435" spans="1:4" x14ac:dyDescent="0.25">
      <c r="A435" t="s">
        <v>169</v>
      </c>
      <c r="B435" t="s">
        <v>974</v>
      </c>
      <c r="C435" s="19"/>
      <c r="D435" s="19"/>
    </row>
    <row r="436" spans="1:4" x14ac:dyDescent="0.25">
      <c r="A436" t="s">
        <v>169</v>
      </c>
      <c r="B436" t="s">
        <v>978</v>
      </c>
      <c r="C436" s="19"/>
      <c r="D436" s="19"/>
    </row>
    <row r="437" spans="1:4" x14ac:dyDescent="0.25">
      <c r="A437" t="s">
        <v>170</v>
      </c>
      <c r="B437" t="s">
        <v>993</v>
      </c>
      <c r="C437" s="19"/>
      <c r="D437" s="19"/>
    </row>
    <row r="438" spans="1:4" x14ac:dyDescent="0.25">
      <c r="A438" t="s">
        <v>170</v>
      </c>
      <c r="B438" t="s">
        <v>1037</v>
      </c>
      <c r="C438" s="19"/>
      <c r="D438" s="19"/>
    </row>
    <row r="439" spans="1:4" x14ac:dyDescent="0.25">
      <c r="A439" t="s">
        <v>171</v>
      </c>
      <c r="B439" t="s">
        <v>993</v>
      </c>
      <c r="C439" s="19"/>
      <c r="D439" s="19"/>
    </row>
    <row r="440" spans="1:4" x14ac:dyDescent="0.25">
      <c r="A440" t="s">
        <v>171</v>
      </c>
      <c r="B440" t="s">
        <v>1002</v>
      </c>
      <c r="C440" s="19"/>
      <c r="D440" s="19"/>
    </row>
    <row r="441" spans="1:4" x14ac:dyDescent="0.25">
      <c r="A441" t="s">
        <v>171</v>
      </c>
      <c r="B441" t="s">
        <v>1037</v>
      </c>
      <c r="C441" s="19"/>
      <c r="D441" s="19"/>
    </row>
    <row r="442" spans="1:4" x14ac:dyDescent="0.25">
      <c r="A442" t="s">
        <v>172</v>
      </c>
      <c r="B442" t="s">
        <v>981</v>
      </c>
      <c r="C442" s="19"/>
      <c r="D442" s="19"/>
    </row>
    <row r="443" spans="1:4" x14ac:dyDescent="0.25">
      <c r="A443" t="s">
        <v>172</v>
      </c>
      <c r="B443" t="s">
        <v>977</v>
      </c>
      <c r="C443" s="19"/>
      <c r="D443" s="19"/>
    </row>
    <row r="444" spans="1:4" x14ac:dyDescent="0.25">
      <c r="A444" t="s">
        <v>172</v>
      </c>
      <c r="B444" t="s">
        <v>979</v>
      </c>
      <c r="C444" s="19"/>
      <c r="D444" s="19"/>
    </row>
    <row r="445" spans="1:4" x14ac:dyDescent="0.25">
      <c r="A445" t="s">
        <v>172</v>
      </c>
      <c r="B445" t="s">
        <v>980</v>
      </c>
      <c r="C445" s="19"/>
      <c r="D445" s="19"/>
    </row>
    <row r="446" spans="1:4" x14ac:dyDescent="0.25">
      <c r="A446" t="s">
        <v>173</v>
      </c>
      <c r="B446" t="s">
        <v>1002</v>
      </c>
      <c r="C446" s="19"/>
      <c r="D446" s="19"/>
    </row>
    <row r="447" spans="1:4" x14ac:dyDescent="0.25">
      <c r="A447" t="s">
        <v>174</v>
      </c>
      <c r="B447" t="s">
        <v>986</v>
      </c>
      <c r="C447" s="19"/>
      <c r="D447" s="19"/>
    </row>
    <row r="448" spans="1:4" x14ac:dyDescent="0.25">
      <c r="A448" t="s">
        <v>174</v>
      </c>
      <c r="B448" t="s">
        <v>1022</v>
      </c>
      <c r="C448" s="19"/>
      <c r="D448" s="19"/>
    </row>
    <row r="449" spans="1:4" x14ac:dyDescent="0.25">
      <c r="A449" t="s">
        <v>174</v>
      </c>
      <c r="B449" t="s">
        <v>1019</v>
      </c>
      <c r="C449" s="19"/>
      <c r="D449" s="19"/>
    </row>
    <row r="450" spans="1:4" x14ac:dyDescent="0.25">
      <c r="A450" t="s">
        <v>174</v>
      </c>
      <c r="B450" t="s">
        <v>988</v>
      </c>
      <c r="C450" s="19"/>
      <c r="D450" s="19"/>
    </row>
    <row r="451" spans="1:4" x14ac:dyDescent="0.25">
      <c r="A451" t="s">
        <v>174</v>
      </c>
      <c r="B451" t="s">
        <v>1040</v>
      </c>
      <c r="C451" s="19"/>
      <c r="D451" s="19"/>
    </row>
    <row r="452" spans="1:4" x14ac:dyDescent="0.25">
      <c r="A452" t="s">
        <v>174</v>
      </c>
      <c r="B452" t="s">
        <v>999</v>
      </c>
      <c r="C452" s="19"/>
      <c r="D452" s="19"/>
    </row>
    <row r="453" spans="1:4" x14ac:dyDescent="0.25">
      <c r="A453" t="s">
        <v>175</v>
      </c>
      <c r="B453" t="s">
        <v>1002</v>
      </c>
      <c r="C453" s="19"/>
      <c r="D453" s="19"/>
    </row>
    <row r="454" spans="1:4" x14ac:dyDescent="0.25">
      <c r="A454" t="s">
        <v>175</v>
      </c>
      <c r="B454" t="s">
        <v>1018</v>
      </c>
      <c r="C454" s="19"/>
      <c r="D454" s="19"/>
    </row>
    <row r="455" spans="1:4" x14ac:dyDescent="0.25">
      <c r="A455" t="s">
        <v>176</v>
      </c>
      <c r="B455" t="s">
        <v>1018</v>
      </c>
      <c r="C455" s="19"/>
      <c r="D455" s="19"/>
    </row>
    <row r="456" spans="1:4" x14ac:dyDescent="0.25">
      <c r="A456" t="s">
        <v>177</v>
      </c>
      <c r="B456" t="s">
        <v>1007</v>
      </c>
      <c r="C456" s="19"/>
      <c r="D456" s="19"/>
    </row>
    <row r="457" spans="1:4" x14ac:dyDescent="0.25">
      <c r="A457" t="s">
        <v>177</v>
      </c>
      <c r="B457" t="s">
        <v>1041</v>
      </c>
      <c r="C457" s="19"/>
      <c r="D457" s="19"/>
    </row>
    <row r="458" spans="1:4" x14ac:dyDescent="0.25">
      <c r="A458" t="s">
        <v>178</v>
      </c>
      <c r="B458" t="s">
        <v>1023</v>
      </c>
      <c r="C458" s="19"/>
      <c r="D458" s="19"/>
    </row>
    <row r="459" spans="1:4" x14ac:dyDescent="0.25">
      <c r="A459" t="s">
        <v>178</v>
      </c>
      <c r="B459" t="s">
        <v>1004</v>
      </c>
      <c r="C459" s="19"/>
      <c r="D459" s="19"/>
    </row>
    <row r="460" spans="1:4" x14ac:dyDescent="0.25">
      <c r="A460" t="s">
        <v>179</v>
      </c>
      <c r="B460" t="s">
        <v>1002</v>
      </c>
      <c r="C460" s="19"/>
      <c r="D460" s="19"/>
    </row>
    <row r="461" spans="1:4" x14ac:dyDescent="0.25">
      <c r="A461" t="s">
        <v>180</v>
      </c>
      <c r="B461" t="s">
        <v>1018</v>
      </c>
      <c r="C461" s="19"/>
      <c r="D461" s="19"/>
    </row>
    <row r="462" spans="1:4" x14ac:dyDescent="0.25">
      <c r="A462" t="s">
        <v>180</v>
      </c>
      <c r="B462" t="s">
        <v>1015</v>
      </c>
      <c r="C462" s="19"/>
      <c r="D462" s="19"/>
    </row>
    <row r="463" spans="1:4" x14ac:dyDescent="0.25">
      <c r="A463" t="s">
        <v>181</v>
      </c>
      <c r="B463" t="s">
        <v>1013</v>
      </c>
      <c r="C463" s="19"/>
      <c r="D463" s="19"/>
    </row>
    <row r="464" spans="1:4" x14ac:dyDescent="0.25">
      <c r="A464" t="s">
        <v>181</v>
      </c>
      <c r="B464" t="s">
        <v>1038</v>
      </c>
      <c r="C464" s="19"/>
      <c r="D464" s="19"/>
    </row>
    <row r="465" spans="1:4" x14ac:dyDescent="0.25">
      <c r="A465" t="s">
        <v>182</v>
      </c>
      <c r="B465" t="s">
        <v>1023</v>
      </c>
      <c r="C465" s="19"/>
      <c r="D465" s="19"/>
    </row>
    <row r="466" spans="1:4" x14ac:dyDescent="0.25">
      <c r="A466" t="s">
        <v>182</v>
      </c>
      <c r="B466" t="s">
        <v>1004</v>
      </c>
      <c r="C466" s="19"/>
      <c r="D466" s="19"/>
    </row>
    <row r="467" spans="1:4" x14ac:dyDescent="0.25">
      <c r="A467" t="s">
        <v>182</v>
      </c>
      <c r="B467" t="s">
        <v>1017</v>
      </c>
      <c r="C467" s="19"/>
      <c r="D467" s="19"/>
    </row>
    <row r="468" spans="1:4" x14ac:dyDescent="0.25">
      <c r="A468" t="s">
        <v>183</v>
      </c>
      <c r="B468" t="s">
        <v>974</v>
      </c>
      <c r="C468" s="19"/>
      <c r="D468" s="19"/>
    </row>
    <row r="469" spans="1:4" x14ac:dyDescent="0.25">
      <c r="A469" t="s">
        <v>183</v>
      </c>
      <c r="B469" t="s">
        <v>992</v>
      </c>
      <c r="C469" s="19"/>
      <c r="D469" s="19"/>
    </row>
    <row r="470" spans="1:4" x14ac:dyDescent="0.25">
      <c r="A470" t="s">
        <v>184</v>
      </c>
      <c r="B470" t="s">
        <v>993</v>
      </c>
      <c r="C470" s="19"/>
      <c r="D470" s="19"/>
    </row>
    <row r="471" spans="1:4" x14ac:dyDescent="0.25">
      <c r="A471" t="s">
        <v>184</v>
      </c>
      <c r="B471" t="s">
        <v>1037</v>
      </c>
      <c r="C471" s="19"/>
      <c r="D471" s="19"/>
    </row>
    <row r="472" spans="1:4" x14ac:dyDescent="0.25">
      <c r="A472" t="s">
        <v>185</v>
      </c>
      <c r="B472" t="s">
        <v>978</v>
      </c>
      <c r="C472" s="19"/>
      <c r="D472" s="19"/>
    </row>
    <row r="473" spans="1:4" x14ac:dyDescent="0.25">
      <c r="A473" t="s">
        <v>185</v>
      </c>
      <c r="B473" t="s">
        <v>973</v>
      </c>
      <c r="C473" s="19"/>
      <c r="D473" s="19"/>
    </row>
    <row r="474" spans="1:4" x14ac:dyDescent="0.25">
      <c r="A474" t="s">
        <v>186</v>
      </c>
      <c r="B474" t="s">
        <v>981</v>
      </c>
      <c r="C474" s="19"/>
      <c r="D474" s="19"/>
    </row>
    <row r="475" spans="1:4" x14ac:dyDescent="0.25">
      <c r="A475" t="s">
        <v>186</v>
      </c>
      <c r="B475" t="s">
        <v>979</v>
      </c>
      <c r="C475" s="19"/>
      <c r="D475" s="19"/>
    </row>
    <row r="476" spans="1:4" x14ac:dyDescent="0.25">
      <c r="A476" t="s">
        <v>186</v>
      </c>
      <c r="B476" t="s">
        <v>976</v>
      </c>
      <c r="C476" s="19"/>
      <c r="D476" s="19"/>
    </row>
    <row r="477" spans="1:4" x14ac:dyDescent="0.25">
      <c r="A477" t="s">
        <v>186</v>
      </c>
      <c r="B477" t="s">
        <v>987</v>
      </c>
      <c r="C477" s="19"/>
      <c r="D477" s="19"/>
    </row>
    <row r="478" spans="1:4" x14ac:dyDescent="0.25">
      <c r="A478" t="s">
        <v>186</v>
      </c>
      <c r="B478" t="s">
        <v>996</v>
      </c>
      <c r="C478" s="19"/>
      <c r="D478" s="19"/>
    </row>
    <row r="479" spans="1:4" x14ac:dyDescent="0.25">
      <c r="A479" t="s">
        <v>186</v>
      </c>
      <c r="B479" t="s">
        <v>1029</v>
      </c>
      <c r="C479" s="19"/>
      <c r="D479" s="19"/>
    </row>
    <row r="480" spans="1:4" x14ac:dyDescent="0.25">
      <c r="A480" t="s">
        <v>186</v>
      </c>
      <c r="B480" t="s">
        <v>980</v>
      </c>
      <c r="C480" s="19"/>
      <c r="D480" s="19"/>
    </row>
    <row r="481" spans="1:4" x14ac:dyDescent="0.25">
      <c r="A481" t="s">
        <v>187</v>
      </c>
      <c r="B481" t="s">
        <v>974</v>
      </c>
      <c r="C481" s="19"/>
      <c r="D481" s="19"/>
    </row>
    <row r="482" spans="1:4" x14ac:dyDescent="0.25">
      <c r="A482" t="s">
        <v>187</v>
      </c>
      <c r="B482" t="s">
        <v>992</v>
      </c>
      <c r="C482" s="19"/>
      <c r="D482" s="19"/>
    </row>
    <row r="483" spans="1:4" x14ac:dyDescent="0.25">
      <c r="A483" t="s">
        <v>189</v>
      </c>
      <c r="B483" t="s">
        <v>1042</v>
      </c>
      <c r="C483" s="19"/>
      <c r="D483" s="19"/>
    </row>
    <row r="484" spans="1:4" x14ac:dyDescent="0.25">
      <c r="A484" t="s">
        <v>189</v>
      </c>
      <c r="B484" t="s">
        <v>1019</v>
      </c>
      <c r="C484" s="19"/>
      <c r="D484" s="19"/>
    </row>
    <row r="485" spans="1:4" x14ac:dyDescent="0.25">
      <c r="A485" t="s">
        <v>189</v>
      </c>
      <c r="B485" t="s">
        <v>999</v>
      </c>
      <c r="C485" s="19"/>
      <c r="D485" s="19"/>
    </row>
    <row r="486" spans="1:4" x14ac:dyDescent="0.25">
      <c r="A486" t="s">
        <v>192</v>
      </c>
      <c r="B486" t="s">
        <v>1022</v>
      </c>
      <c r="C486" s="19"/>
      <c r="D486" s="19"/>
    </row>
    <row r="487" spans="1:4" x14ac:dyDescent="0.25">
      <c r="A487" t="s">
        <v>192</v>
      </c>
      <c r="B487" t="s">
        <v>986</v>
      </c>
      <c r="C487" s="19"/>
      <c r="D487" s="19"/>
    </row>
    <row r="488" spans="1:4" x14ac:dyDescent="0.25">
      <c r="A488" t="s">
        <v>192</v>
      </c>
      <c r="B488" t="s">
        <v>1040</v>
      </c>
      <c r="C488" s="19"/>
      <c r="D488" s="19"/>
    </row>
    <row r="489" spans="1:4" x14ac:dyDescent="0.25">
      <c r="A489" t="s">
        <v>194</v>
      </c>
      <c r="B489" t="s">
        <v>978</v>
      </c>
      <c r="C489" s="19"/>
      <c r="D489" s="19"/>
    </row>
    <row r="490" spans="1:4" x14ac:dyDescent="0.25">
      <c r="A490" t="s">
        <v>195</v>
      </c>
      <c r="B490" t="s">
        <v>993</v>
      </c>
      <c r="C490" s="19"/>
      <c r="D490" s="19"/>
    </row>
    <row r="491" spans="1:4" x14ac:dyDescent="0.25">
      <c r="A491" t="s">
        <v>195</v>
      </c>
      <c r="B491" t="s">
        <v>1037</v>
      </c>
      <c r="C491" s="19"/>
      <c r="D491" s="19"/>
    </row>
    <row r="492" spans="1:4" x14ac:dyDescent="0.25">
      <c r="A492" t="s">
        <v>196</v>
      </c>
      <c r="B492" t="s">
        <v>974</v>
      </c>
      <c r="C492" s="19"/>
      <c r="D492" s="19"/>
    </row>
    <row r="493" spans="1:4" x14ac:dyDescent="0.25">
      <c r="A493" t="s">
        <v>196</v>
      </c>
      <c r="B493" t="s">
        <v>992</v>
      </c>
      <c r="C493" s="19"/>
      <c r="D493" s="19"/>
    </row>
    <row r="494" spans="1:4" x14ac:dyDescent="0.25">
      <c r="A494" t="s">
        <v>199</v>
      </c>
      <c r="B494" t="s">
        <v>1002</v>
      </c>
      <c r="C494" s="19"/>
      <c r="D494" s="19"/>
    </row>
    <row r="495" spans="1:4" x14ac:dyDescent="0.25">
      <c r="A495" t="s">
        <v>200</v>
      </c>
      <c r="B495" t="s">
        <v>978</v>
      </c>
      <c r="C495" s="19"/>
      <c r="D495" s="19"/>
    </row>
    <row r="496" spans="1:4" x14ac:dyDescent="0.25">
      <c r="A496" t="s">
        <v>200</v>
      </c>
      <c r="B496" t="s">
        <v>973</v>
      </c>
      <c r="C496" s="19"/>
      <c r="D496" s="19"/>
    </row>
    <row r="497" spans="1:4" x14ac:dyDescent="0.25">
      <c r="A497" t="s">
        <v>201</v>
      </c>
      <c r="B497" t="s">
        <v>981</v>
      </c>
      <c r="C497" s="19"/>
      <c r="D497" s="19"/>
    </row>
    <row r="498" spans="1:4" x14ac:dyDescent="0.25">
      <c r="A498" t="s">
        <v>201</v>
      </c>
      <c r="B498" t="s">
        <v>979</v>
      </c>
      <c r="C498" s="19"/>
      <c r="D498" s="19"/>
    </row>
    <row r="499" spans="1:4" x14ac:dyDescent="0.25">
      <c r="A499" t="s">
        <v>201</v>
      </c>
      <c r="B499" t="s">
        <v>976</v>
      </c>
      <c r="C499" s="19"/>
      <c r="D499" s="19"/>
    </row>
    <row r="500" spans="1:4" x14ac:dyDescent="0.25">
      <c r="A500" t="s">
        <v>201</v>
      </c>
      <c r="B500" t="s">
        <v>987</v>
      </c>
      <c r="C500" s="19"/>
      <c r="D500" s="19"/>
    </row>
    <row r="501" spans="1:4" x14ac:dyDescent="0.25">
      <c r="A501" t="s">
        <v>201</v>
      </c>
      <c r="B501" t="s">
        <v>996</v>
      </c>
      <c r="C501" s="19"/>
      <c r="D501" s="19"/>
    </row>
    <row r="502" spans="1:4" x14ac:dyDescent="0.25">
      <c r="A502" t="s">
        <v>201</v>
      </c>
      <c r="B502" t="s">
        <v>1029</v>
      </c>
      <c r="C502" s="19"/>
      <c r="D502" s="19"/>
    </row>
    <row r="503" spans="1:4" x14ac:dyDescent="0.25">
      <c r="A503" t="s">
        <v>202</v>
      </c>
      <c r="B503" t="s">
        <v>1002</v>
      </c>
      <c r="C503" s="19"/>
      <c r="D503" s="19"/>
    </row>
    <row r="504" spans="1:4" x14ac:dyDescent="0.25">
      <c r="A504" t="s">
        <v>203</v>
      </c>
      <c r="B504" t="s">
        <v>1007</v>
      </c>
      <c r="C504" s="19"/>
      <c r="D504" s="19"/>
    </row>
    <row r="505" spans="1:4" x14ac:dyDescent="0.25">
      <c r="A505" t="s">
        <v>206</v>
      </c>
      <c r="B505" t="s">
        <v>973</v>
      </c>
      <c r="C505" s="19"/>
      <c r="D505" s="19"/>
    </row>
    <row r="506" spans="1:4" x14ac:dyDescent="0.25">
      <c r="A506" t="s">
        <v>207</v>
      </c>
      <c r="B506" t="s">
        <v>1002</v>
      </c>
      <c r="C506" s="19"/>
      <c r="D506" s="19"/>
    </row>
    <row r="507" spans="1:4" x14ac:dyDescent="0.25">
      <c r="A507" t="s">
        <v>208</v>
      </c>
      <c r="B507" t="s">
        <v>1018</v>
      </c>
      <c r="C507" s="19"/>
      <c r="D507" s="19"/>
    </row>
    <row r="508" spans="1:4" x14ac:dyDescent="0.25">
      <c r="A508" t="s">
        <v>209</v>
      </c>
      <c r="B508" t="s">
        <v>1041</v>
      </c>
      <c r="C508" s="19"/>
      <c r="D508" s="19"/>
    </row>
    <row r="509" spans="1:4" x14ac:dyDescent="0.25">
      <c r="A509" t="s">
        <v>210</v>
      </c>
      <c r="B509" t="s">
        <v>1004</v>
      </c>
      <c r="C509" s="19"/>
      <c r="D509" s="19"/>
    </row>
    <row r="510" spans="1:4" x14ac:dyDescent="0.25">
      <c r="A510" t="s">
        <v>210</v>
      </c>
      <c r="B510" t="s">
        <v>1007</v>
      </c>
      <c r="C510" s="19"/>
      <c r="D510" s="19"/>
    </row>
    <row r="511" spans="1:4" x14ac:dyDescent="0.25">
      <c r="A511" t="s">
        <v>211</v>
      </c>
      <c r="B511" t="s">
        <v>1013</v>
      </c>
      <c r="C511" s="19"/>
      <c r="D511" s="19"/>
    </row>
    <row r="512" spans="1:4" x14ac:dyDescent="0.25">
      <c r="A512" t="s">
        <v>211</v>
      </c>
      <c r="B512" t="s">
        <v>1011</v>
      </c>
      <c r="C512" s="19"/>
      <c r="D512" s="19"/>
    </row>
    <row r="513" spans="1:4" x14ac:dyDescent="0.25">
      <c r="A513" t="s">
        <v>212</v>
      </c>
      <c r="B513" t="s">
        <v>1023</v>
      </c>
      <c r="C513" s="19"/>
      <c r="D513" s="19"/>
    </row>
    <row r="514" spans="1:4" x14ac:dyDescent="0.25">
      <c r="A514" t="s">
        <v>213</v>
      </c>
      <c r="B514" t="s">
        <v>1017</v>
      </c>
      <c r="C514" s="19"/>
      <c r="D514" s="19"/>
    </row>
    <row r="515" spans="1:4" x14ac:dyDescent="0.25">
      <c r="A515" t="s">
        <v>213</v>
      </c>
      <c r="B515" t="s">
        <v>1015</v>
      </c>
      <c r="C515" s="19"/>
      <c r="D515" s="19"/>
    </row>
    <row r="516" spans="1:4" x14ac:dyDescent="0.25">
      <c r="A516" t="s">
        <v>214</v>
      </c>
      <c r="B516" t="s">
        <v>1017</v>
      </c>
      <c r="C516" s="19"/>
      <c r="D516" s="19"/>
    </row>
    <row r="517" spans="1:4" x14ac:dyDescent="0.25">
      <c r="A517" t="s">
        <v>215</v>
      </c>
      <c r="B517" t="s">
        <v>1022</v>
      </c>
      <c r="C517" s="19"/>
      <c r="D517" s="19"/>
    </row>
    <row r="518" spans="1:4" x14ac:dyDescent="0.25">
      <c r="A518" t="s">
        <v>215</v>
      </c>
      <c r="B518" t="s">
        <v>986</v>
      </c>
      <c r="C518" s="19"/>
      <c r="D518" s="19"/>
    </row>
    <row r="519" spans="1:4" x14ac:dyDescent="0.25">
      <c r="A519" t="s">
        <v>215</v>
      </c>
      <c r="B519" t="s">
        <v>1019</v>
      </c>
      <c r="C519" s="19"/>
      <c r="D519" s="19"/>
    </row>
    <row r="520" spans="1:4" x14ac:dyDescent="0.25">
      <c r="A520" t="s">
        <v>215</v>
      </c>
      <c r="B520" t="s">
        <v>1042</v>
      </c>
      <c r="C520" s="19"/>
      <c r="D520" s="19"/>
    </row>
    <row r="521" spans="1:4" x14ac:dyDescent="0.25">
      <c r="A521" t="s">
        <v>216</v>
      </c>
      <c r="B521" t="s">
        <v>987</v>
      </c>
      <c r="C521" s="19"/>
      <c r="D521" s="19"/>
    </row>
    <row r="522" spans="1:4" x14ac:dyDescent="0.25">
      <c r="A522" t="s">
        <v>216</v>
      </c>
      <c r="B522" t="s">
        <v>1027</v>
      </c>
      <c r="C522" s="19"/>
      <c r="D522" s="19"/>
    </row>
    <row r="523" spans="1:4" x14ac:dyDescent="0.25">
      <c r="A523" t="s">
        <v>216</v>
      </c>
      <c r="B523" t="s">
        <v>977</v>
      </c>
      <c r="C523" s="19"/>
      <c r="D523" s="19"/>
    </row>
    <row r="524" spans="1:4" x14ac:dyDescent="0.25">
      <c r="A524" t="s">
        <v>217</v>
      </c>
      <c r="B524" t="s">
        <v>974</v>
      </c>
      <c r="C524" s="19"/>
      <c r="D524" s="19"/>
    </row>
    <row r="525" spans="1:4" x14ac:dyDescent="0.25">
      <c r="A525" t="s">
        <v>217</v>
      </c>
      <c r="B525" t="s">
        <v>993</v>
      </c>
      <c r="C525" s="19"/>
      <c r="D525" s="19"/>
    </row>
    <row r="526" spans="1:4" x14ac:dyDescent="0.25">
      <c r="A526" t="s">
        <v>217</v>
      </c>
      <c r="B526" t="s">
        <v>985</v>
      </c>
      <c r="C526" s="19"/>
      <c r="D526" s="19"/>
    </row>
    <row r="527" spans="1:4" x14ac:dyDescent="0.25">
      <c r="A527" t="s">
        <v>218</v>
      </c>
      <c r="B527" t="s">
        <v>996</v>
      </c>
      <c r="C527" s="19"/>
      <c r="D527" s="19"/>
    </row>
    <row r="528" spans="1:4" x14ac:dyDescent="0.25">
      <c r="A528" t="s">
        <v>218</v>
      </c>
      <c r="B528" t="s">
        <v>978</v>
      </c>
      <c r="C528" s="19"/>
      <c r="D528" s="19"/>
    </row>
    <row r="529" spans="1:4" x14ac:dyDescent="0.25">
      <c r="A529" t="s">
        <v>218</v>
      </c>
      <c r="B529" t="s">
        <v>1037</v>
      </c>
      <c r="C529" s="19"/>
      <c r="D529" s="19"/>
    </row>
    <row r="530" spans="1:4" x14ac:dyDescent="0.25">
      <c r="A530" t="s">
        <v>219</v>
      </c>
      <c r="B530" t="s">
        <v>1029</v>
      </c>
      <c r="C530" s="19"/>
      <c r="D530" s="19"/>
    </row>
    <row r="531" spans="1:4" x14ac:dyDescent="0.25">
      <c r="A531" t="s">
        <v>219</v>
      </c>
      <c r="B531" t="s">
        <v>979</v>
      </c>
      <c r="C531" s="19"/>
      <c r="D531" s="19"/>
    </row>
    <row r="532" spans="1:4" x14ac:dyDescent="0.25">
      <c r="A532" t="s">
        <v>219</v>
      </c>
      <c r="B532" t="s">
        <v>989</v>
      </c>
      <c r="C532" s="19"/>
      <c r="D532" s="19"/>
    </row>
    <row r="533" spans="1:4" x14ac:dyDescent="0.25">
      <c r="A533" t="s">
        <v>220</v>
      </c>
      <c r="B533" t="s">
        <v>976</v>
      </c>
      <c r="C533" s="19"/>
      <c r="D533" s="19"/>
    </row>
    <row r="534" spans="1:4" x14ac:dyDescent="0.25">
      <c r="A534" t="s">
        <v>220</v>
      </c>
      <c r="B534" t="s">
        <v>981</v>
      </c>
      <c r="C534" s="19"/>
      <c r="D534" s="19"/>
    </row>
    <row r="535" spans="1:4" x14ac:dyDescent="0.25">
      <c r="A535" t="s">
        <v>220</v>
      </c>
      <c r="B535" t="s">
        <v>980</v>
      </c>
      <c r="C535" s="19"/>
      <c r="D535" s="19"/>
    </row>
    <row r="536" spans="1:4" x14ac:dyDescent="0.25">
      <c r="A536" t="s">
        <v>221</v>
      </c>
      <c r="B536" t="s">
        <v>973</v>
      </c>
      <c r="C536" s="19"/>
      <c r="D536" s="19"/>
    </row>
    <row r="537" spans="1:4" x14ac:dyDescent="0.25">
      <c r="A537" t="s">
        <v>222</v>
      </c>
      <c r="B537" t="s">
        <v>973</v>
      </c>
      <c r="C537" s="19"/>
      <c r="D537" s="19"/>
    </row>
    <row r="538" spans="1:4" x14ac:dyDescent="0.25">
      <c r="A538" t="s">
        <v>222</v>
      </c>
      <c r="B538" t="s">
        <v>1000</v>
      </c>
      <c r="C538" s="19"/>
      <c r="D538" s="19"/>
    </row>
    <row r="539" spans="1:4" x14ac:dyDescent="0.25">
      <c r="A539" t="s">
        <v>223</v>
      </c>
      <c r="B539" t="s">
        <v>987</v>
      </c>
      <c r="C539" s="19"/>
      <c r="D539" s="19"/>
    </row>
    <row r="540" spans="1:4" x14ac:dyDescent="0.25">
      <c r="A540" t="s">
        <v>223</v>
      </c>
      <c r="B540" t="s">
        <v>1027</v>
      </c>
      <c r="C540" s="19"/>
      <c r="D540" s="19"/>
    </row>
    <row r="541" spans="1:4" x14ac:dyDescent="0.25">
      <c r="A541" t="s">
        <v>223</v>
      </c>
      <c r="B541" t="s">
        <v>977</v>
      </c>
      <c r="C541" s="19"/>
      <c r="D541" s="19"/>
    </row>
    <row r="542" spans="1:4" x14ac:dyDescent="0.25">
      <c r="A542" t="s">
        <v>224</v>
      </c>
      <c r="B542" t="s">
        <v>987</v>
      </c>
      <c r="C542" s="19"/>
      <c r="D542" s="19"/>
    </row>
    <row r="543" spans="1:4" x14ac:dyDescent="0.25">
      <c r="A543" t="s">
        <v>224</v>
      </c>
      <c r="B543" t="s">
        <v>1027</v>
      </c>
      <c r="C543" s="19"/>
      <c r="D543" s="19"/>
    </row>
    <row r="544" spans="1:4" x14ac:dyDescent="0.25">
      <c r="A544" t="s">
        <v>224</v>
      </c>
      <c r="B544" t="s">
        <v>977</v>
      </c>
      <c r="C544" s="19"/>
      <c r="D544" s="19"/>
    </row>
    <row r="545" spans="1:4" x14ac:dyDescent="0.25">
      <c r="A545" t="s">
        <v>225</v>
      </c>
      <c r="B545" t="s">
        <v>996</v>
      </c>
      <c r="C545" s="19"/>
      <c r="D545" s="19"/>
    </row>
    <row r="546" spans="1:4" x14ac:dyDescent="0.25">
      <c r="A546" t="s">
        <v>225</v>
      </c>
      <c r="B546" t="s">
        <v>978</v>
      </c>
      <c r="C546" s="19"/>
      <c r="D546" s="19"/>
    </row>
    <row r="547" spans="1:4" x14ac:dyDescent="0.25">
      <c r="A547" t="s">
        <v>225</v>
      </c>
      <c r="B547" t="s">
        <v>1037</v>
      </c>
      <c r="C547" s="19"/>
      <c r="D547" s="19"/>
    </row>
    <row r="548" spans="1:4" x14ac:dyDescent="0.25">
      <c r="A548" t="s">
        <v>226</v>
      </c>
      <c r="B548" t="s">
        <v>974</v>
      </c>
      <c r="C548" s="19"/>
      <c r="D548" s="19"/>
    </row>
    <row r="549" spans="1:4" x14ac:dyDescent="0.25">
      <c r="A549" t="s">
        <v>226</v>
      </c>
      <c r="B549" t="s">
        <v>985</v>
      </c>
      <c r="C549" s="19"/>
      <c r="D549" s="19"/>
    </row>
    <row r="550" spans="1:4" x14ac:dyDescent="0.25">
      <c r="A550" t="s">
        <v>227</v>
      </c>
      <c r="B550" t="s">
        <v>976</v>
      </c>
      <c r="C550" s="19"/>
      <c r="D550" s="19"/>
    </row>
    <row r="551" spans="1:4" x14ac:dyDescent="0.25">
      <c r="A551" t="s">
        <v>227</v>
      </c>
      <c r="B551" t="s">
        <v>981</v>
      </c>
      <c r="C551" s="19"/>
      <c r="D551" s="19"/>
    </row>
    <row r="552" spans="1:4" x14ac:dyDescent="0.25">
      <c r="A552" t="s">
        <v>227</v>
      </c>
      <c r="B552" t="s">
        <v>980</v>
      </c>
      <c r="C552" s="19"/>
      <c r="D552" s="19"/>
    </row>
    <row r="553" spans="1:4" x14ac:dyDescent="0.25">
      <c r="A553" t="s">
        <v>228</v>
      </c>
      <c r="B553" t="s">
        <v>1029</v>
      </c>
      <c r="C553" s="19"/>
      <c r="D553" s="19"/>
    </row>
    <row r="554" spans="1:4" x14ac:dyDescent="0.25">
      <c r="A554" t="s">
        <v>228</v>
      </c>
      <c r="B554" t="s">
        <v>979</v>
      </c>
      <c r="C554" s="19"/>
      <c r="D554" s="19"/>
    </row>
    <row r="555" spans="1:4" x14ac:dyDescent="0.25">
      <c r="A555" t="s">
        <v>228</v>
      </c>
      <c r="B555" t="s">
        <v>989</v>
      </c>
      <c r="C555" s="19"/>
      <c r="D555" s="19"/>
    </row>
    <row r="556" spans="1:4" x14ac:dyDescent="0.25">
      <c r="A556" t="s">
        <v>229</v>
      </c>
      <c r="B556" t="s">
        <v>973</v>
      </c>
      <c r="C556" s="19"/>
      <c r="D556" s="19"/>
    </row>
    <row r="557" spans="1:4" x14ac:dyDescent="0.25">
      <c r="A557" t="s">
        <v>229</v>
      </c>
      <c r="B557" t="s">
        <v>1002</v>
      </c>
      <c r="C557" s="19"/>
      <c r="D557" s="19"/>
    </row>
    <row r="558" spans="1:4" x14ac:dyDescent="0.25">
      <c r="A558" t="s">
        <v>229</v>
      </c>
      <c r="B558" t="s">
        <v>1035</v>
      </c>
      <c r="C558" s="19"/>
      <c r="D558" s="19"/>
    </row>
    <row r="559" spans="1:4" x14ac:dyDescent="0.25">
      <c r="A559" t="s">
        <v>230</v>
      </c>
      <c r="B559" t="s">
        <v>1022</v>
      </c>
      <c r="C559" s="19"/>
      <c r="D559" s="19"/>
    </row>
    <row r="560" spans="1:4" x14ac:dyDescent="0.25">
      <c r="A560" t="s">
        <v>230</v>
      </c>
      <c r="B560" t="s">
        <v>1019</v>
      </c>
      <c r="C560" s="19"/>
      <c r="D560" s="19"/>
    </row>
    <row r="561" spans="1:4" x14ac:dyDescent="0.25">
      <c r="A561" t="s">
        <v>230</v>
      </c>
      <c r="B561" t="s">
        <v>988</v>
      </c>
      <c r="C561" s="19"/>
      <c r="D561" s="19"/>
    </row>
    <row r="562" spans="1:4" x14ac:dyDescent="0.25">
      <c r="A562" t="s">
        <v>230</v>
      </c>
      <c r="B562" t="s">
        <v>1043</v>
      </c>
      <c r="C562" s="19"/>
      <c r="D562" s="19"/>
    </row>
    <row r="563" spans="1:4" x14ac:dyDescent="0.25">
      <c r="A563" t="s">
        <v>231</v>
      </c>
      <c r="B563" t="s">
        <v>1002</v>
      </c>
      <c r="C563" s="19"/>
      <c r="D563" s="19"/>
    </row>
    <row r="564" spans="1:4" x14ac:dyDescent="0.25">
      <c r="A564" t="s">
        <v>231</v>
      </c>
      <c r="B564" t="s">
        <v>1001</v>
      </c>
      <c r="C564" s="19"/>
      <c r="D564" s="19"/>
    </row>
    <row r="565" spans="1:4" x14ac:dyDescent="0.25">
      <c r="A565" t="s">
        <v>232</v>
      </c>
      <c r="B565" t="s">
        <v>997</v>
      </c>
      <c r="C565" s="19"/>
      <c r="D565" s="19"/>
    </row>
    <row r="566" spans="1:4" x14ac:dyDescent="0.25">
      <c r="A566" t="s">
        <v>232</v>
      </c>
      <c r="B566" t="s">
        <v>1007</v>
      </c>
      <c r="C566" s="19"/>
      <c r="D566" s="19"/>
    </row>
    <row r="567" spans="1:4" x14ac:dyDescent="0.25">
      <c r="A567" t="s">
        <v>232</v>
      </c>
      <c r="B567" t="s">
        <v>1041</v>
      </c>
      <c r="C567" s="19"/>
      <c r="D567" s="19"/>
    </row>
    <row r="568" spans="1:4" x14ac:dyDescent="0.25">
      <c r="A568" t="s">
        <v>233</v>
      </c>
      <c r="B568" t="s">
        <v>1013</v>
      </c>
      <c r="C568" s="19"/>
      <c r="D568" s="19"/>
    </row>
    <row r="569" spans="1:4" x14ac:dyDescent="0.25">
      <c r="A569" t="s">
        <v>233</v>
      </c>
      <c r="B569" t="s">
        <v>1011</v>
      </c>
      <c r="C569" s="19"/>
      <c r="D569" s="19"/>
    </row>
    <row r="570" spans="1:4" x14ac:dyDescent="0.25">
      <c r="A570" t="s">
        <v>233</v>
      </c>
      <c r="B570" t="s">
        <v>1015</v>
      </c>
      <c r="C570" s="19"/>
      <c r="D570" s="19"/>
    </row>
    <row r="571" spans="1:4" x14ac:dyDescent="0.25">
      <c r="A571" t="s">
        <v>234</v>
      </c>
      <c r="B571" t="s">
        <v>978</v>
      </c>
      <c r="C571" s="19"/>
      <c r="D571" s="19"/>
    </row>
    <row r="572" spans="1:4" x14ac:dyDescent="0.25">
      <c r="A572" t="s">
        <v>234</v>
      </c>
      <c r="B572" t="s">
        <v>985</v>
      </c>
      <c r="C572" s="19"/>
      <c r="D572" s="19"/>
    </row>
    <row r="573" spans="1:4" x14ac:dyDescent="0.25">
      <c r="A573" t="s">
        <v>235</v>
      </c>
      <c r="B573" t="s">
        <v>987</v>
      </c>
      <c r="C573" s="19"/>
      <c r="D573" s="19"/>
    </row>
    <row r="574" spans="1:4" x14ac:dyDescent="0.25">
      <c r="A574" t="s">
        <v>235</v>
      </c>
      <c r="B574" t="s">
        <v>976</v>
      </c>
      <c r="C574" s="19"/>
      <c r="D574" s="19"/>
    </row>
    <row r="575" spans="1:4" x14ac:dyDescent="0.25">
      <c r="A575" t="s">
        <v>235</v>
      </c>
      <c r="B575" t="s">
        <v>1027</v>
      </c>
      <c r="C575" s="19"/>
      <c r="D575" s="19"/>
    </row>
    <row r="576" spans="1:4" x14ac:dyDescent="0.25">
      <c r="A576" t="s">
        <v>235</v>
      </c>
      <c r="B576" t="s">
        <v>989</v>
      </c>
      <c r="C576" s="19"/>
      <c r="D576" s="19"/>
    </row>
    <row r="577" spans="1:4" x14ac:dyDescent="0.25">
      <c r="A577" t="s">
        <v>235</v>
      </c>
      <c r="B577" t="s">
        <v>1029</v>
      </c>
      <c r="C577" s="19"/>
      <c r="D577" s="19"/>
    </row>
    <row r="578" spans="1:4" x14ac:dyDescent="0.25">
      <c r="A578" t="s">
        <v>235</v>
      </c>
      <c r="B578" t="s">
        <v>979</v>
      </c>
      <c r="C578" s="19"/>
      <c r="D578" s="19"/>
    </row>
    <row r="579" spans="1:4" x14ac:dyDescent="0.25">
      <c r="A579" t="s">
        <v>235</v>
      </c>
      <c r="B579" t="s">
        <v>977</v>
      </c>
      <c r="C579" s="19"/>
      <c r="D579" s="19"/>
    </row>
    <row r="580" spans="1:4" x14ac:dyDescent="0.25">
      <c r="A580" t="s">
        <v>236</v>
      </c>
      <c r="B580" t="s">
        <v>974</v>
      </c>
      <c r="C580" s="19"/>
      <c r="D580" s="19"/>
    </row>
    <row r="581" spans="1:4" x14ac:dyDescent="0.25">
      <c r="A581" t="s">
        <v>236</v>
      </c>
      <c r="B581" t="s">
        <v>973</v>
      </c>
      <c r="C581" s="19"/>
      <c r="D581" s="19"/>
    </row>
    <row r="582" spans="1:4" x14ac:dyDescent="0.25">
      <c r="A582" t="s">
        <v>237</v>
      </c>
      <c r="B582" t="s">
        <v>993</v>
      </c>
      <c r="C582" s="19"/>
      <c r="D582" s="19"/>
    </row>
    <row r="583" spans="1:4" x14ac:dyDescent="0.25">
      <c r="A583" t="s">
        <v>237</v>
      </c>
      <c r="B583" t="s">
        <v>1037</v>
      </c>
      <c r="C583" s="19"/>
      <c r="D583" s="19"/>
    </row>
    <row r="584" spans="1:4" x14ac:dyDescent="0.25">
      <c r="A584" t="s">
        <v>238</v>
      </c>
      <c r="B584" t="s">
        <v>987</v>
      </c>
      <c r="C584" s="19"/>
      <c r="D584" s="19"/>
    </row>
    <row r="585" spans="1:4" x14ac:dyDescent="0.25">
      <c r="A585" t="s">
        <v>238</v>
      </c>
      <c r="B585" t="s">
        <v>976</v>
      </c>
      <c r="C585" s="19"/>
      <c r="D585" s="19"/>
    </row>
    <row r="586" spans="1:4" x14ac:dyDescent="0.25">
      <c r="A586" t="s">
        <v>238</v>
      </c>
      <c r="B586" t="s">
        <v>1027</v>
      </c>
      <c r="C586" s="19"/>
      <c r="D586" s="19"/>
    </row>
    <row r="587" spans="1:4" x14ac:dyDescent="0.25">
      <c r="A587" t="s">
        <v>238</v>
      </c>
      <c r="B587" t="s">
        <v>989</v>
      </c>
      <c r="C587" s="19"/>
      <c r="D587" s="19"/>
    </row>
    <row r="588" spans="1:4" x14ac:dyDescent="0.25">
      <c r="A588" t="s">
        <v>238</v>
      </c>
      <c r="B588" t="s">
        <v>1029</v>
      </c>
      <c r="C588" s="19"/>
      <c r="D588" s="19"/>
    </row>
    <row r="589" spans="1:4" x14ac:dyDescent="0.25">
      <c r="A589" t="s">
        <v>238</v>
      </c>
      <c r="B589" t="s">
        <v>979</v>
      </c>
      <c r="C589" s="19"/>
      <c r="D589" s="19"/>
    </row>
    <row r="590" spans="1:4" x14ac:dyDescent="0.25">
      <c r="A590" t="s">
        <v>238</v>
      </c>
      <c r="B590" t="s">
        <v>977</v>
      </c>
      <c r="C590" s="19"/>
      <c r="D590" s="19"/>
    </row>
    <row r="591" spans="1:4" x14ac:dyDescent="0.25">
      <c r="A591" t="s">
        <v>241</v>
      </c>
      <c r="B591" t="s">
        <v>1002</v>
      </c>
      <c r="C591" s="19"/>
      <c r="D591" s="19"/>
    </row>
    <row r="592" spans="1:4" x14ac:dyDescent="0.25">
      <c r="A592" t="s">
        <v>241</v>
      </c>
      <c r="B592" t="s">
        <v>1001</v>
      </c>
      <c r="C592" s="19"/>
      <c r="D592" s="19"/>
    </row>
    <row r="593" spans="1:4" x14ac:dyDescent="0.25">
      <c r="A593" t="s">
        <v>242</v>
      </c>
      <c r="B593" t="s">
        <v>1022</v>
      </c>
      <c r="C593" s="19"/>
      <c r="D593" s="19"/>
    </row>
    <row r="594" spans="1:4" x14ac:dyDescent="0.25">
      <c r="A594" t="s">
        <v>242</v>
      </c>
      <c r="B594" t="s">
        <v>1040</v>
      </c>
      <c r="C594" s="19"/>
      <c r="D594" s="19"/>
    </row>
    <row r="595" spans="1:4" x14ac:dyDescent="0.25">
      <c r="A595" t="s">
        <v>243</v>
      </c>
      <c r="B595" t="s">
        <v>999</v>
      </c>
      <c r="C595" s="19"/>
      <c r="D595" s="19"/>
    </row>
    <row r="596" spans="1:4" x14ac:dyDescent="0.25">
      <c r="A596" t="s">
        <v>243</v>
      </c>
      <c r="B596" t="s">
        <v>1022</v>
      </c>
      <c r="C596" s="19"/>
      <c r="D596" s="19"/>
    </row>
    <row r="597" spans="1:4" x14ac:dyDescent="0.25">
      <c r="A597" t="s">
        <v>243</v>
      </c>
      <c r="B597" t="s">
        <v>1019</v>
      </c>
      <c r="C597" s="19"/>
      <c r="D597" s="19"/>
    </row>
    <row r="598" spans="1:4" x14ac:dyDescent="0.25">
      <c r="A598" t="s">
        <v>243</v>
      </c>
      <c r="B598" t="s">
        <v>1042</v>
      </c>
      <c r="C598" s="19"/>
      <c r="D598" s="19"/>
    </row>
    <row r="599" spans="1:4" x14ac:dyDescent="0.25">
      <c r="A599" t="s">
        <v>244</v>
      </c>
      <c r="B599" t="s">
        <v>1002</v>
      </c>
      <c r="C599" s="19"/>
      <c r="D599" s="19"/>
    </row>
    <row r="600" spans="1:4" x14ac:dyDescent="0.25">
      <c r="A600" t="s">
        <v>244</v>
      </c>
      <c r="B600" t="s">
        <v>1001</v>
      </c>
      <c r="C600" s="19"/>
      <c r="D600" s="19"/>
    </row>
    <row r="601" spans="1:4" x14ac:dyDescent="0.25">
      <c r="A601" t="s">
        <v>245</v>
      </c>
      <c r="B601" t="s">
        <v>1023</v>
      </c>
      <c r="C601" s="19"/>
      <c r="D601" s="19"/>
    </row>
    <row r="602" spans="1:4" x14ac:dyDescent="0.25">
      <c r="A602" t="s">
        <v>246</v>
      </c>
      <c r="B602" t="s">
        <v>997</v>
      </c>
      <c r="C602" s="19"/>
      <c r="D602" s="19"/>
    </row>
    <row r="603" spans="1:4" x14ac:dyDescent="0.25">
      <c r="A603" t="s">
        <v>246</v>
      </c>
      <c r="B603" t="s">
        <v>1007</v>
      </c>
      <c r="C603" s="19"/>
      <c r="D603" s="19"/>
    </row>
    <row r="604" spans="1:4" x14ac:dyDescent="0.25">
      <c r="A604" t="s">
        <v>246</v>
      </c>
      <c r="B604" t="s">
        <v>1041</v>
      </c>
      <c r="C604" s="19"/>
      <c r="D604" s="19"/>
    </row>
    <row r="605" spans="1:4" x14ac:dyDescent="0.25">
      <c r="A605" t="s">
        <v>247</v>
      </c>
      <c r="B605" t="s">
        <v>1013</v>
      </c>
      <c r="C605" s="19"/>
      <c r="D605" s="19"/>
    </row>
    <row r="606" spans="1:4" x14ac:dyDescent="0.25">
      <c r="A606" t="s">
        <v>247</v>
      </c>
      <c r="B606" t="s">
        <v>1011</v>
      </c>
      <c r="C606" s="19"/>
      <c r="D606" s="19"/>
    </row>
    <row r="607" spans="1:4" x14ac:dyDescent="0.25">
      <c r="A607" t="s">
        <v>247</v>
      </c>
      <c r="B607" t="s">
        <v>1015</v>
      </c>
      <c r="C607" s="19"/>
      <c r="D607" s="19"/>
    </row>
    <row r="608" spans="1:4" x14ac:dyDescent="0.25">
      <c r="A608" t="s">
        <v>248</v>
      </c>
      <c r="B608" t="s">
        <v>1004</v>
      </c>
      <c r="C608" s="19"/>
      <c r="D608" s="19"/>
    </row>
    <row r="609" spans="1:4" x14ac:dyDescent="0.25">
      <c r="A609" t="s">
        <v>248</v>
      </c>
      <c r="B609" t="s">
        <v>1023</v>
      </c>
      <c r="C609" s="19"/>
      <c r="D609" s="19"/>
    </row>
    <row r="610" spans="1:4" x14ac:dyDescent="0.25">
      <c r="A610" t="s">
        <v>248</v>
      </c>
      <c r="B610" t="s">
        <v>1017</v>
      </c>
      <c r="C610" s="19"/>
      <c r="D610" s="19"/>
    </row>
    <row r="611" spans="1:4" x14ac:dyDescent="0.25">
      <c r="A611" t="s">
        <v>248</v>
      </c>
      <c r="B611" t="s">
        <v>1017</v>
      </c>
      <c r="C611" s="19"/>
      <c r="D611" s="19"/>
    </row>
    <row r="612" spans="1:4" x14ac:dyDescent="0.25">
      <c r="A612" t="s">
        <v>248</v>
      </c>
      <c r="B612" t="s">
        <v>980</v>
      </c>
      <c r="C612" s="19"/>
      <c r="D612" s="19"/>
    </row>
    <row r="613" spans="1:4" x14ac:dyDescent="0.25">
      <c r="A613" t="s">
        <v>249</v>
      </c>
      <c r="B613" t="s">
        <v>979</v>
      </c>
      <c r="C613" s="19"/>
      <c r="D613" s="19"/>
    </row>
    <row r="614" spans="1:4" x14ac:dyDescent="0.25">
      <c r="A614" t="s">
        <v>249</v>
      </c>
      <c r="B614" t="s">
        <v>993</v>
      </c>
      <c r="C614" s="19"/>
      <c r="D614" s="19"/>
    </row>
    <row r="615" spans="1:4" x14ac:dyDescent="0.25">
      <c r="A615" t="s">
        <v>250</v>
      </c>
      <c r="B615" t="s">
        <v>974</v>
      </c>
      <c r="C615" s="19"/>
      <c r="D615" s="19"/>
    </row>
    <row r="616" spans="1:4" x14ac:dyDescent="0.25">
      <c r="A616" t="s">
        <v>250</v>
      </c>
      <c r="B616" t="s">
        <v>985</v>
      </c>
      <c r="C616" s="19"/>
      <c r="D616" s="19"/>
    </row>
    <row r="617" spans="1:4" x14ac:dyDescent="0.25">
      <c r="A617" t="s">
        <v>250</v>
      </c>
      <c r="B617" t="s">
        <v>980</v>
      </c>
      <c r="C617" s="19"/>
      <c r="D617" s="19"/>
    </row>
    <row r="618" spans="1:4" x14ac:dyDescent="0.25">
      <c r="A618" t="s">
        <v>251</v>
      </c>
      <c r="B618" t="s">
        <v>1029</v>
      </c>
      <c r="C618" s="19"/>
      <c r="D618" s="19"/>
    </row>
    <row r="619" spans="1:4" x14ac:dyDescent="0.25">
      <c r="A619" t="s">
        <v>251</v>
      </c>
      <c r="B619" t="s">
        <v>987</v>
      </c>
      <c r="C619" s="19"/>
      <c r="D619" s="19"/>
    </row>
    <row r="620" spans="1:4" x14ac:dyDescent="0.25">
      <c r="A620" t="s">
        <v>251</v>
      </c>
      <c r="B620" t="s">
        <v>976</v>
      </c>
      <c r="C620" s="19"/>
      <c r="D620" s="19"/>
    </row>
    <row r="621" spans="1:4" x14ac:dyDescent="0.25">
      <c r="A621" t="s">
        <v>251</v>
      </c>
      <c r="B621" t="s">
        <v>989</v>
      </c>
      <c r="C621" s="19"/>
      <c r="D621" s="19"/>
    </row>
    <row r="622" spans="1:4" x14ac:dyDescent="0.25">
      <c r="A622" t="s">
        <v>251</v>
      </c>
      <c r="B622" t="s">
        <v>977</v>
      </c>
      <c r="C622" s="19"/>
      <c r="D622" s="19"/>
    </row>
    <row r="623" spans="1:4" x14ac:dyDescent="0.25">
      <c r="A623" t="s">
        <v>251</v>
      </c>
      <c r="B623" t="s">
        <v>978</v>
      </c>
      <c r="C623" s="19"/>
      <c r="D623" s="19"/>
    </row>
    <row r="624" spans="1:4" x14ac:dyDescent="0.25">
      <c r="A624" t="s">
        <v>251</v>
      </c>
      <c r="B624" t="s">
        <v>1027</v>
      </c>
      <c r="C624" s="19"/>
      <c r="D624" s="19"/>
    </row>
    <row r="625" spans="1:4" x14ac:dyDescent="0.25">
      <c r="A625" t="s">
        <v>252</v>
      </c>
      <c r="B625" t="s">
        <v>1029</v>
      </c>
      <c r="C625" s="19"/>
      <c r="D625" s="19"/>
    </row>
    <row r="626" spans="1:4" x14ac:dyDescent="0.25">
      <c r="A626" t="s">
        <v>252</v>
      </c>
      <c r="B626" t="s">
        <v>987</v>
      </c>
      <c r="C626" s="19"/>
      <c r="D626" s="19"/>
    </row>
    <row r="627" spans="1:4" x14ac:dyDescent="0.25">
      <c r="A627" t="s">
        <v>252</v>
      </c>
      <c r="B627" t="s">
        <v>976</v>
      </c>
      <c r="C627" s="19"/>
      <c r="D627" s="19"/>
    </row>
    <row r="628" spans="1:4" x14ac:dyDescent="0.25">
      <c r="A628" t="s">
        <v>252</v>
      </c>
      <c r="B628" t="s">
        <v>989</v>
      </c>
      <c r="C628" s="19"/>
      <c r="D628" s="19"/>
    </row>
    <row r="629" spans="1:4" x14ac:dyDescent="0.25">
      <c r="A629" t="s">
        <v>252</v>
      </c>
      <c r="B629" t="s">
        <v>978</v>
      </c>
      <c r="C629" s="19"/>
      <c r="D629" s="19"/>
    </row>
    <row r="630" spans="1:4" x14ac:dyDescent="0.25">
      <c r="A630" t="s">
        <v>252</v>
      </c>
      <c r="B630" t="s">
        <v>1027</v>
      </c>
      <c r="C630" s="19"/>
      <c r="D630" s="19"/>
    </row>
    <row r="631" spans="1:4" x14ac:dyDescent="0.25">
      <c r="A631" t="s">
        <v>253</v>
      </c>
      <c r="B631" t="s">
        <v>1002</v>
      </c>
      <c r="C631" s="19"/>
      <c r="D631" s="19"/>
    </row>
    <row r="632" spans="1:4" x14ac:dyDescent="0.25">
      <c r="A632" t="s">
        <v>253</v>
      </c>
      <c r="B632" t="s">
        <v>1001</v>
      </c>
      <c r="C632" s="19"/>
      <c r="D632" s="19"/>
    </row>
    <row r="633" spans="1:4" x14ac:dyDescent="0.25">
      <c r="A633" t="s">
        <v>253</v>
      </c>
      <c r="B633" t="s">
        <v>1041</v>
      </c>
      <c r="C633" s="19"/>
      <c r="D633" s="19"/>
    </row>
    <row r="634" spans="1:4" x14ac:dyDescent="0.25">
      <c r="A634" t="s">
        <v>254</v>
      </c>
      <c r="B634" t="s">
        <v>1044</v>
      </c>
      <c r="C634" s="19"/>
      <c r="D634" s="19"/>
    </row>
    <row r="635" spans="1:4" x14ac:dyDescent="0.25">
      <c r="A635" t="s">
        <v>254</v>
      </c>
      <c r="B635" t="s">
        <v>1045</v>
      </c>
      <c r="C635" s="19"/>
      <c r="D635" s="19"/>
    </row>
    <row r="636" spans="1:4" x14ac:dyDescent="0.25">
      <c r="A636" t="s">
        <v>254</v>
      </c>
      <c r="B636" t="s">
        <v>1046</v>
      </c>
      <c r="C636" s="19"/>
      <c r="D636" s="19"/>
    </row>
    <row r="637" spans="1:4" x14ac:dyDescent="0.25">
      <c r="A637" t="s">
        <v>255</v>
      </c>
      <c r="B637" t="s">
        <v>1047</v>
      </c>
      <c r="C637" s="19"/>
      <c r="D637" s="19"/>
    </row>
    <row r="638" spans="1:4" x14ac:dyDescent="0.25">
      <c r="A638" t="s">
        <v>255</v>
      </c>
      <c r="B638" t="s">
        <v>1048</v>
      </c>
      <c r="C638" s="19"/>
      <c r="D638" s="19"/>
    </row>
    <row r="639" spans="1:4" x14ac:dyDescent="0.25">
      <c r="A639" t="s">
        <v>256</v>
      </c>
      <c r="B639" t="s">
        <v>1016</v>
      </c>
      <c r="C639" s="19"/>
      <c r="D639" s="19"/>
    </row>
    <row r="640" spans="1:4" x14ac:dyDescent="0.25">
      <c r="A640" t="s">
        <v>256</v>
      </c>
      <c r="B640" t="s">
        <v>1049</v>
      </c>
      <c r="C640" s="19"/>
      <c r="D640" s="19"/>
    </row>
    <row r="641" spans="1:4" x14ac:dyDescent="0.25">
      <c r="A641" t="s">
        <v>257</v>
      </c>
      <c r="B641" t="s">
        <v>1004</v>
      </c>
      <c r="C641" s="19"/>
      <c r="D641" s="19"/>
    </row>
    <row r="642" spans="1:4" x14ac:dyDescent="0.25">
      <c r="A642" t="s">
        <v>257</v>
      </c>
      <c r="B642" t="s">
        <v>1023</v>
      </c>
      <c r="C642" s="19"/>
      <c r="D642" s="19"/>
    </row>
    <row r="643" spans="1:4" x14ac:dyDescent="0.25">
      <c r="A643" t="s">
        <v>257</v>
      </c>
      <c r="B643" t="s">
        <v>1017</v>
      </c>
      <c r="C643" s="19"/>
      <c r="D643" s="19"/>
    </row>
    <row r="644" spans="1:4" x14ac:dyDescent="0.25">
      <c r="A644" t="s">
        <v>257</v>
      </c>
      <c r="B644" t="s">
        <v>1015</v>
      </c>
      <c r="C644" s="19"/>
      <c r="D644" s="19"/>
    </row>
    <row r="645" spans="1:4" x14ac:dyDescent="0.25">
      <c r="A645" t="s">
        <v>258</v>
      </c>
      <c r="B645" t="s">
        <v>1023</v>
      </c>
      <c r="C645" s="19"/>
      <c r="D645" s="19"/>
    </row>
    <row r="646" spans="1:4" x14ac:dyDescent="0.25">
      <c r="A646" t="s">
        <v>258</v>
      </c>
      <c r="B646" t="s">
        <v>1004</v>
      </c>
      <c r="C646" s="19"/>
      <c r="D646" s="19"/>
    </row>
    <row r="647" spans="1:4" x14ac:dyDescent="0.25">
      <c r="A647" t="s">
        <v>258</v>
      </c>
      <c r="B647" t="s">
        <v>1015</v>
      </c>
      <c r="C647" s="19"/>
      <c r="D647" s="19"/>
    </row>
    <row r="648" spans="1:4" x14ac:dyDescent="0.25">
      <c r="A648" t="s">
        <v>258</v>
      </c>
      <c r="B648" t="s">
        <v>1017</v>
      </c>
      <c r="C648" s="19"/>
      <c r="D648" s="19"/>
    </row>
    <row r="649" spans="1:4" x14ac:dyDescent="0.25">
      <c r="A649" t="s">
        <v>259</v>
      </c>
      <c r="B649" t="s">
        <v>1004</v>
      </c>
      <c r="C649" s="19"/>
      <c r="D649" s="19"/>
    </row>
    <row r="650" spans="1:4" x14ac:dyDescent="0.25">
      <c r="A650" t="s">
        <v>259</v>
      </c>
      <c r="B650" t="s">
        <v>1022</v>
      </c>
      <c r="C650" s="19"/>
      <c r="D650" s="19"/>
    </row>
    <row r="651" spans="1:4" x14ac:dyDescent="0.25">
      <c r="A651" t="s">
        <v>260</v>
      </c>
      <c r="B651" t="s">
        <v>997</v>
      </c>
      <c r="C651" s="19"/>
      <c r="D651" s="19"/>
    </row>
    <row r="652" spans="1:4" x14ac:dyDescent="0.25">
      <c r="A652" t="s">
        <v>260</v>
      </c>
      <c r="B652" t="s">
        <v>1007</v>
      </c>
      <c r="C652" s="19"/>
      <c r="D652" s="19"/>
    </row>
    <row r="653" spans="1:4" x14ac:dyDescent="0.25">
      <c r="A653" t="s">
        <v>260</v>
      </c>
      <c r="B653" t="s">
        <v>1041</v>
      </c>
      <c r="C653" s="19"/>
      <c r="D653" s="19"/>
    </row>
    <row r="654" spans="1:4" x14ac:dyDescent="0.25">
      <c r="A654" t="s">
        <v>261</v>
      </c>
      <c r="B654" t="s">
        <v>1013</v>
      </c>
      <c r="C654" s="19"/>
      <c r="D654" s="19"/>
    </row>
    <row r="655" spans="1:4" x14ac:dyDescent="0.25">
      <c r="A655" t="s">
        <v>261</v>
      </c>
      <c r="B655" t="s">
        <v>1011</v>
      </c>
      <c r="C655" s="19"/>
      <c r="D655" s="19"/>
    </row>
    <row r="656" spans="1:4" x14ac:dyDescent="0.25">
      <c r="A656" t="s">
        <v>261</v>
      </c>
      <c r="B656" t="s">
        <v>1041</v>
      </c>
      <c r="C656" s="19"/>
      <c r="D656" s="19"/>
    </row>
    <row r="657" spans="1:4" x14ac:dyDescent="0.25">
      <c r="A657" t="s">
        <v>261</v>
      </c>
      <c r="B657" t="s">
        <v>1017</v>
      </c>
      <c r="C657" s="19"/>
      <c r="D657" s="19"/>
    </row>
    <row r="658" spans="1:4" x14ac:dyDescent="0.25">
      <c r="A658" t="s">
        <v>261</v>
      </c>
      <c r="B658" t="s">
        <v>1015</v>
      </c>
      <c r="C658" s="19"/>
      <c r="D658" s="19"/>
    </row>
    <row r="659" spans="1:4" x14ac:dyDescent="0.25">
      <c r="A659" t="s">
        <v>262</v>
      </c>
      <c r="B659" t="s">
        <v>1022</v>
      </c>
      <c r="C659" s="19"/>
      <c r="D659" s="19"/>
    </row>
    <row r="660" spans="1:4" x14ac:dyDescent="0.25">
      <c r="A660" t="s">
        <v>262</v>
      </c>
      <c r="B660" t="s">
        <v>988</v>
      </c>
      <c r="C660" s="19"/>
      <c r="D660" s="19"/>
    </row>
    <row r="661" spans="1:4" x14ac:dyDescent="0.25">
      <c r="A661" t="s">
        <v>262</v>
      </c>
      <c r="B661" t="s">
        <v>1019</v>
      </c>
      <c r="C661" s="19"/>
      <c r="D661" s="19"/>
    </row>
    <row r="662" spans="1:4" x14ac:dyDescent="0.25">
      <c r="A662" t="s">
        <v>262</v>
      </c>
      <c r="B662" t="s">
        <v>999</v>
      </c>
      <c r="C662" s="19"/>
      <c r="D662" s="19"/>
    </row>
    <row r="663" spans="1:4" x14ac:dyDescent="0.25">
      <c r="A663" t="s">
        <v>262</v>
      </c>
      <c r="B663" t="s">
        <v>1040</v>
      </c>
      <c r="C663" s="19"/>
      <c r="D663" s="19"/>
    </row>
    <row r="664" spans="1:4" x14ac:dyDescent="0.25">
      <c r="A664" t="s">
        <v>263</v>
      </c>
      <c r="B664" t="s">
        <v>1013</v>
      </c>
      <c r="C664" s="19"/>
      <c r="D664" s="19"/>
    </row>
    <row r="665" spans="1:4" x14ac:dyDescent="0.25">
      <c r="A665" t="s">
        <v>263</v>
      </c>
      <c r="B665" t="s">
        <v>1011</v>
      </c>
      <c r="C665" s="19"/>
      <c r="D665" s="19"/>
    </row>
    <row r="666" spans="1:4" x14ac:dyDescent="0.25">
      <c r="A666" t="s">
        <v>263</v>
      </c>
      <c r="B666" t="s">
        <v>1004</v>
      </c>
      <c r="C666" s="19"/>
      <c r="D666" s="19"/>
    </row>
    <row r="667" spans="1:4" x14ac:dyDescent="0.25">
      <c r="A667" t="s">
        <v>263</v>
      </c>
      <c r="B667" t="s">
        <v>1023</v>
      </c>
      <c r="C667" s="19"/>
      <c r="D667" s="19"/>
    </row>
    <row r="668" spans="1:4" x14ac:dyDescent="0.25">
      <c r="A668" t="s">
        <v>263</v>
      </c>
      <c r="B668" t="s">
        <v>1015</v>
      </c>
      <c r="C668" s="19"/>
      <c r="D668" s="19"/>
    </row>
    <row r="669" spans="1:4" x14ac:dyDescent="0.25">
      <c r="A669" t="s">
        <v>263</v>
      </c>
      <c r="B669" t="s">
        <v>1017</v>
      </c>
      <c r="C669" s="19"/>
      <c r="D669" s="19"/>
    </row>
    <row r="670" spans="1:4" x14ac:dyDescent="0.25">
      <c r="A670" t="s">
        <v>264</v>
      </c>
      <c r="B670" t="s">
        <v>979</v>
      </c>
      <c r="C670" s="19"/>
      <c r="D670" s="19"/>
    </row>
    <row r="671" spans="1:4" x14ac:dyDescent="0.25">
      <c r="A671" t="s">
        <v>264</v>
      </c>
      <c r="B671" t="s">
        <v>1048</v>
      </c>
      <c r="C671" s="19"/>
      <c r="D671" s="19"/>
    </row>
    <row r="672" spans="1:4" x14ac:dyDescent="0.25">
      <c r="A672" t="s">
        <v>265</v>
      </c>
      <c r="B672" t="s">
        <v>978</v>
      </c>
      <c r="C672" s="19"/>
      <c r="D672" s="19"/>
    </row>
    <row r="673" spans="1:4" x14ac:dyDescent="0.25">
      <c r="A673" t="s">
        <v>265</v>
      </c>
      <c r="B673" t="s">
        <v>976</v>
      </c>
      <c r="C673" s="19"/>
      <c r="D673" s="19"/>
    </row>
    <row r="674" spans="1:4" x14ac:dyDescent="0.25">
      <c r="A674" t="s">
        <v>265</v>
      </c>
      <c r="B674" t="s">
        <v>1027</v>
      </c>
      <c r="C674" s="19"/>
      <c r="D674" s="19"/>
    </row>
    <row r="675" spans="1:4" x14ac:dyDescent="0.25">
      <c r="A675" t="s">
        <v>265</v>
      </c>
      <c r="B675" t="s">
        <v>987</v>
      </c>
      <c r="C675" s="19"/>
      <c r="D675" s="19"/>
    </row>
    <row r="676" spans="1:4" x14ac:dyDescent="0.25">
      <c r="A676" t="s">
        <v>265</v>
      </c>
      <c r="B676" t="s">
        <v>1029</v>
      </c>
      <c r="C676" s="19"/>
      <c r="D676" s="19"/>
    </row>
    <row r="677" spans="1:4" x14ac:dyDescent="0.25">
      <c r="A677" t="s">
        <v>265</v>
      </c>
      <c r="B677" t="s">
        <v>989</v>
      </c>
      <c r="C677" s="19"/>
      <c r="D677" s="19"/>
    </row>
    <row r="678" spans="1:4" x14ac:dyDescent="0.25">
      <c r="A678" t="s">
        <v>265</v>
      </c>
      <c r="B678" t="s">
        <v>980</v>
      </c>
      <c r="C678" s="19"/>
      <c r="D678" s="19"/>
    </row>
    <row r="679" spans="1:4" x14ac:dyDescent="0.25">
      <c r="A679" t="s">
        <v>268</v>
      </c>
      <c r="B679" t="s">
        <v>973</v>
      </c>
      <c r="C679" s="19"/>
      <c r="D679" s="19"/>
    </row>
    <row r="680" spans="1:4" x14ac:dyDescent="0.25">
      <c r="A680" t="s">
        <v>268</v>
      </c>
      <c r="B680" t="s">
        <v>1047</v>
      </c>
      <c r="C680" s="19"/>
      <c r="D680" s="19"/>
    </row>
    <row r="681" spans="1:4" x14ac:dyDescent="0.25">
      <c r="A681" t="s">
        <v>268</v>
      </c>
      <c r="B681" t="s">
        <v>1037</v>
      </c>
      <c r="C681" s="19"/>
      <c r="D681" s="19"/>
    </row>
    <row r="682" spans="1:4" x14ac:dyDescent="0.25">
      <c r="A682" t="s">
        <v>269</v>
      </c>
      <c r="B682" t="s">
        <v>973</v>
      </c>
      <c r="C682" s="19"/>
      <c r="D682" s="19"/>
    </row>
    <row r="683" spans="1:4" x14ac:dyDescent="0.25">
      <c r="A683" t="s">
        <v>269</v>
      </c>
      <c r="B683" t="s">
        <v>1047</v>
      </c>
      <c r="C683" s="19"/>
      <c r="D683" s="19"/>
    </row>
    <row r="684" spans="1:4" x14ac:dyDescent="0.25">
      <c r="A684" t="s">
        <v>269</v>
      </c>
      <c r="B684" t="s">
        <v>1037</v>
      </c>
      <c r="C684" s="19"/>
      <c r="D684" s="19"/>
    </row>
    <row r="685" spans="1:4" x14ac:dyDescent="0.25">
      <c r="A685" t="s">
        <v>270</v>
      </c>
      <c r="B685" t="s">
        <v>979</v>
      </c>
      <c r="C685" s="19"/>
      <c r="D685" s="19"/>
    </row>
    <row r="686" spans="1:4" x14ac:dyDescent="0.25">
      <c r="A686" t="s">
        <v>270</v>
      </c>
      <c r="B686" t="s">
        <v>1048</v>
      </c>
      <c r="C686" s="19"/>
      <c r="D686" s="19"/>
    </row>
    <row r="687" spans="1:4" x14ac:dyDescent="0.25">
      <c r="A687" t="s">
        <v>271</v>
      </c>
      <c r="B687" t="s">
        <v>973</v>
      </c>
      <c r="C687" s="19"/>
      <c r="D687" s="19"/>
    </row>
    <row r="688" spans="1:4" x14ac:dyDescent="0.25">
      <c r="A688" t="s">
        <v>271</v>
      </c>
      <c r="B688" t="s">
        <v>1047</v>
      </c>
      <c r="C688" s="19"/>
      <c r="D688" s="19"/>
    </row>
    <row r="689" spans="1:4" x14ac:dyDescent="0.25">
      <c r="A689" t="s">
        <v>271</v>
      </c>
      <c r="B689" t="s">
        <v>1037</v>
      </c>
      <c r="C689" s="19"/>
      <c r="D689" s="19"/>
    </row>
    <row r="690" spans="1:4" x14ac:dyDescent="0.25">
      <c r="A690" t="s">
        <v>272</v>
      </c>
      <c r="B690" t="s">
        <v>978</v>
      </c>
      <c r="C690" s="19"/>
      <c r="D690" s="19"/>
    </row>
    <row r="691" spans="1:4" x14ac:dyDescent="0.25">
      <c r="A691" t="s">
        <v>272</v>
      </c>
      <c r="B691" t="s">
        <v>976</v>
      </c>
      <c r="C691" s="19"/>
      <c r="D691" s="19"/>
    </row>
    <row r="692" spans="1:4" x14ac:dyDescent="0.25">
      <c r="A692" t="s">
        <v>272</v>
      </c>
      <c r="B692" t="s">
        <v>1027</v>
      </c>
      <c r="C692" s="19"/>
      <c r="D692" s="19"/>
    </row>
    <row r="693" spans="1:4" x14ac:dyDescent="0.25">
      <c r="A693" t="s">
        <v>272</v>
      </c>
      <c r="B693" t="s">
        <v>987</v>
      </c>
      <c r="C693" s="19"/>
      <c r="D693" s="19"/>
    </row>
    <row r="694" spans="1:4" x14ac:dyDescent="0.25">
      <c r="A694" t="s">
        <v>272</v>
      </c>
      <c r="B694" t="s">
        <v>1029</v>
      </c>
      <c r="C694" s="19"/>
      <c r="D694" s="19"/>
    </row>
    <row r="695" spans="1:4" x14ac:dyDescent="0.25">
      <c r="A695" t="s">
        <v>272</v>
      </c>
      <c r="B695" t="s">
        <v>989</v>
      </c>
      <c r="C695" s="19"/>
      <c r="D695" s="19"/>
    </row>
    <row r="696" spans="1:4" x14ac:dyDescent="0.25">
      <c r="A696" t="s">
        <v>273</v>
      </c>
      <c r="B696" t="s">
        <v>979</v>
      </c>
      <c r="C696" s="19"/>
      <c r="D696" s="19"/>
    </row>
    <row r="697" spans="1:4" x14ac:dyDescent="0.25">
      <c r="A697" t="s">
        <v>273</v>
      </c>
      <c r="B697" t="s">
        <v>1048</v>
      </c>
      <c r="C697" s="19"/>
      <c r="D697" s="19"/>
    </row>
    <row r="698" spans="1:4" x14ac:dyDescent="0.25">
      <c r="A698" t="s">
        <v>274</v>
      </c>
      <c r="B698" t="s">
        <v>1002</v>
      </c>
      <c r="C698" s="19"/>
      <c r="D698" s="19"/>
    </row>
    <row r="699" spans="1:4" x14ac:dyDescent="0.25">
      <c r="A699" t="s">
        <v>274</v>
      </c>
      <c r="B699" t="s">
        <v>1044</v>
      </c>
      <c r="C699" s="19"/>
      <c r="D699" s="19"/>
    </row>
    <row r="700" spans="1:4" x14ac:dyDescent="0.25">
      <c r="A700" t="s">
        <v>274</v>
      </c>
      <c r="B700" t="s">
        <v>1045</v>
      </c>
      <c r="C700" s="19"/>
      <c r="D700" s="19"/>
    </row>
    <row r="701" spans="1:4" x14ac:dyDescent="0.25">
      <c r="A701" t="s">
        <v>275</v>
      </c>
      <c r="B701" t="s">
        <v>1049</v>
      </c>
      <c r="C701" s="19"/>
      <c r="D701" s="19"/>
    </row>
    <row r="702" spans="1:4" x14ac:dyDescent="0.25">
      <c r="A702" t="s">
        <v>275</v>
      </c>
      <c r="B702" t="s">
        <v>1016</v>
      </c>
      <c r="C702" s="19"/>
      <c r="D702" s="19"/>
    </row>
    <row r="703" spans="1:4" x14ac:dyDescent="0.25">
      <c r="A703" t="s">
        <v>275</v>
      </c>
      <c r="B703" t="s">
        <v>1046</v>
      </c>
      <c r="C703" s="19"/>
      <c r="D703" s="19"/>
    </row>
    <row r="704" spans="1:4" x14ac:dyDescent="0.25">
      <c r="A704" t="s">
        <v>276</v>
      </c>
      <c r="B704" t="s">
        <v>997</v>
      </c>
      <c r="C704" s="19"/>
      <c r="D704" s="19"/>
    </row>
    <row r="705" spans="1:4" x14ac:dyDescent="0.25">
      <c r="A705" t="s">
        <v>276</v>
      </c>
      <c r="B705" t="s">
        <v>1007</v>
      </c>
      <c r="C705" s="19"/>
      <c r="D705" s="19"/>
    </row>
    <row r="706" spans="1:4" x14ac:dyDescent="0.25">
      <c r="A706" t="s">
        <v>277</v>
      </c>
      <c r="B706" t="s">
        <v>985</v>
      </c>
      <c r="C706" s="19"/>
      <c r="D706" s="19"/>
    </row>
    <row r="707" spans="1:4" x14ac:dyDescent="0.25">
      <c r="A707" t="s">
        <v>277</v>
      </c>
      <c r="B707" t="s">
        <v>1027</v>
      </c>
      <c r="C707" s="19"/>
      <c r="D707" s="19"/>
    </row>
    <row r="708" spans="1:4" x14ac:dyDescent="0.25">
      <c r="A708" t="s">
        <v>277</v>
      </c>
      <c r="B708" t="s">
        <v>977</v>
      </c>
      <c r="C708" s="19"/>
      <c r="D708" s="19"/>
    </row>
    <row r="709" spans="1:4" x14ac:dyDescent="0.25">
      <c r="A709" t="s">
        <v>277</v>
      </c>
      <c r="B709" t="s">
        <v>1048</v>
      </c>
      <c r="C709" s="19"/>
      <c r="D709" s="19"/>
    </row>
    <row r="710" spans="1:4" x14ac:dyDescent="0.25">
      <c r="A710" t="s">
        <v>279</v>
      </c>
      <c r="B710" t="s">
        <v>974</v>
      </c>
      <c r="C710" s="19"/>
      <c r="D710" s="19"/>
    </row>
    <row r="711" spans="1:4" x14ac:dyDescent="0.25">
      <c r="A711" t="s">
        <v>279</v>
      </c>
      <c r="B711" t="s">
        <v>973</v>
      </c>
      <c r="C711" s="19"/>
      <c r="D711" s="19"/>
    </row>
    <row r="712" spans="1:4" x14ac:dyDescent="0.25">
      <c r="A712" t="s">
        <v>280</v>
      </c>
      <c r="B712" t="s">
        <v>978</v>
      </c>
      <c r="C712" s="19"/>
      <c r="D712" s="19"/>
    </row>
    <row r="713" spans="1:4" x14ac:dyDescent="0.25">
      <c r="A713" t="s">
        <v>280</v>
      </c>
      <c r="B713" t="s">
        <v>993</v>
      </c>
      <c r="C713" s="19"/>
      <c r="D713" s="19"/>
    </row>
    <row r="714" spans="1:4" x14ac:dyDescent="0.25">
      <c r="A714" t="s">
        <v>280</v>
      </c>
      <c r="B714" t="s">
        <v>1008</v>
      </c>
      <c r="C714" s="19"/>
      <c r="D714" s="19"/>
    </row>
    <row r="715" spans="1:4" x14ac:dyDescent="0.25">
      <c r="A715" t="s">
        <v>280</v>
      </c>
      <c r="B715" t="s">
        <v>980</v>
      </c>
      <c r="C715" s="19"/>
      <c r="D715" s="19"/>
    </row>
    <row r="716" spans="1:4" x14ac:dyDescent="0.25">
      <c r="A716" t="s">
        <v>284</v>
      </c>
      <c r="B716" t="s">
        <v>1008</v>
      </c>
      <c r="C716" s="19"/>
      <c r="D716" s="19"/>
    </row>
    <row r="717" spans="1:4" x14ac:dyDescent="0.25">
      <c r="A717" t="s">
        <v>284</v>
      </c>
      <c r="B717" t="s">
        <v>993</v>
      </c>
      <c r="C717" s="19"/>
      <c r="D717" s="19"/>
    </row>
    <row r="718" spans="1:4" x14ac:dyDescent="0.25">
      <c r="A718" t="s">
        <v>284</v>
      </c>
      <c r="B718" t="s">
        <v>973</v>
      </c>
      <c r="C718" s="19"/>
      <c r="D718" s="19"/>
    </row>
    <row r="719" spans="1:4" x14ac:dyDescent="0.25">
      <c r="A719" t="s">
        <v>284</v>
      </c>
      <c r="B719" t="s">
        <v>978</v>
      </c>
      <c r="C719" s="19"/>
      <c r="D719" s="19"/>
    </row>
    <row r="720" spans="1:4" x14ac:dyDescent="0.25">
      <c r="A720" t="s">
        <v>284</v>
      </c>
      <c r="B720" t="s">
        <v>1037</v>
      </c>
      <c r="C720" s="19"/>
      <c r="D720" s="19"/>
    </row>
    <row r="721" spans="1:4" x14ac:dyDescent="0.25">
      <c r="A721" t="s">
        <v>284</v>
      </c>
      <c r="B721" t="s">
        <v>1047</v>
      </c>
      <c r="C721" s="19"/>
      <c r="D721" s="19"/>
    </row>
    <row r="722" spans="1:4" x14ac:dyDescent="0.25">
      <c r="A722" t="s">
        <v>287</v>
      </c>
      <c r="B722" t="s">
        <v>985</v>
      </c>
      <c r="C722" s="19"/>
      <c r="D722" s="19"/>
    </row>
    <row r="723" spans="1:4" x14ac:dyDescent="0.25">
      <c r="A723" t="s">
        <v>287</v>
      </c>
      <c r="B723" t="s">
        <v>1027</v>
      </c>
      <c r="C723" s="19"/>
      <c r="D723" s="19"/>
    </row>
    <row r="724" spans="1:4" x14ac:dyDescent="0.25">
      <c r="A724" t="s">
        <v>287</v>
      </c>
      <c r="B724" t="s">
        <v>977</v>
      </c>
      <c r="C724" s="19"/>
      <c r="D724" s="19"/>
    </row>
    <row r="725" spans="1:4" x14ac:dyDescent="0.25">
      <c r="A725" t="s">
        <v>287</v>
      </c>
      <c r="B725" t="s">
        <v>1048</v>
      </c>
      <c r="C725" s="19"/>
      <c r="D725" s="19"/>
    </row>
    <row r="726" spans="1:4" x14ac:dyDescent="0.25">
      <c r="A726" t="s">
        <v>288</v>
      </c>
      <c r="B726" t="s">
        <v>974</v>
      </c>
      <c r="C726" s="19"/>
      <c r="D726" s="19"/>
    </row>
    <row r="727" spans="1:4" x14ac:dyDescent="0.25">
      <c r="A727" t="s">
        <v>289</v>
      </c>
      <c r="B727" t="s">
        <v>993</v>
      </c>
      <c r="C727" s="19"/>
      <c r="D727" s="19"/>
    </row>
    <row r="728" spans="1:4" x14ac:dyDescent="0.25">
      <c r="A728" t="s">
        <v>289</v>
      </c>
      <c r="B728" t="s">
        <v>973</v>
      </c>
      <c r="C728" s="19"/>
      <c r="D728" s="19"/>
    </row>
    <row r="729" spans="1:4" x14ac:dyDescent="0.25">
      <c r="A729" t="s">
        <v>289</v>
      </c>
      <c r="B729" t="s">
        <v>1047</v>
      </c>
      <c r="C729" s="19"/>
      <c r="D729" s="19"/>
    </row>
    <row r="730" spans="1:4" x14ac:dyDescent="0.25">
      <c r="A730" t="s">
        <v>289</v>
      </c>
      <c r="B730" t="s">
        <v>1037</v>
      </c>
      <c r="C730" s="19"/>
      <c r="D730" s="19"/>
    </row>
    <row r="731" spans="1:4" x14ac:dyDescent="0.25">
      <c r="A731" t="s">
        <v>290</v>
      </c>
      <c r="B731" t="s">
        <v>1002</v>
      </c>
      <c r="C731" s="19"/>
      <c r="D731" s="19"/>
    </row>
    <row r="732" spans="1:4" x14ac:dyDescent="0.25">
      <c r="A732" t="s">
        <v>290</v>
      </c>
      <c r="B732" t="s">
        <v>1016</v>
      </c>
      <c r="C732" s="19"/>
      <c r="D732" s="19"/>
    </row>
    <row r="733" spans="1:4" x14ac:dyDescent="0.25">
      <c r="A733" t="s">
        <v>290</v>
      </c>
      <c r="B733" t="s">
        <v>1049</v>
      </c>
      <c r="C733" s="19"/>
      <c r="D733" s="19"/>
    </row>
    <row r="734" spans="1:4" x14ac:dyDescent="0.25">
      <c r="A734" t="s">
        <v>291</v>
      </c>
      <c r="B734" t="s">
        <v>1001</v>
      </c>
      <c r="C734" s="19"/>
      <c r="D734" s="19"/>
    </row>
    <row r="735" spans="1:4" x14ac:dyDescent="0.25">
      <c r="A735" t="s">
        <v>292</v>
      </c>
      <c r="B735" t="s">
        <v>1022</v>
      </c>
      <c r="C735" s="19"/>
      <c r="D735" s="19"/>
    </row>
    <row r="736" spans="1:4" x14ac:dyDescent="0.25">
      <c r="A736" t="s">
        <v>292</v>
      </c>
      <c r="B736" t="s">
        <v>988</v>
      </c>
      <c r="C736" s="19"/>
      <c r="D736" s="19"/>
    </row>
    <row r="737" spans="1:4" x14ac:dyDescent="0.25">
      <c r="A737" t="s">
        <v>292</v>
      </c>
      <c r="B737" t="s">
        <v>1019</v>
      </c>
      <c r="C737" s="19"/>
      <c r="D737" s="19"/>
    </row>
    <row r="738" spans="1:4" x14ac:dyDescent="0.25">
      <c r="A738" t="s">
        <v>292</v>
      </c>
      <c r="B738" t="s">
        <v>999</v>
      </c>
      <c r="C738" s="19"/>
      <c r="D738" s="19"/>
    </row>
    <row r="739" spans="1:4" x14ac:dyDescent="0.25">
      <c r="A739" t="s">
        <v>293</v>
      </c>
      <c r="B739" t="s">
        <v>1022</v>
      </c>
      <c r="C739" s="19"/>
      <c r="D739" s="19"/>
    </row>
    <row r="740" spans="1:4" x14ac:dyDescent="0.25">
      <c r="A740" t="s">
        <v>293</v>
      </c>
      <c r="B740" t="s">
        <v>988</v>
      </c>
      <c r="C740" s="19"/>
      <c r="D740" s="19"/>
    </row>
    <row r="741" spans="1:4" x14ac:dyDescent="0.25">
      <c r="A741" t="s">
        <v>293</v>
      </c>
      <c r="B741" t="s">
        <v>1019</v>
      </c>
      <c r="C741" s="19"/>
      <c r="D741" s="19"/>
    </row>
    <row r="742" spans="1:4" x14ac:dyDescent="0.25">
      <c r="A742" t="s">
        <v>293</v>
      </c>
      <c r="B742" t="s">
        <v>999</v>
      </c>
      <c r="C742" s="19"/>
      <c r="D742" s="19"/>
    </row>
    <row r="743" spans="1:4" x14ac:dyDescent="0.25">
      <c r="A743" t="s">
        <v>293</v>
      </c>
      <c r="B743" t="s">
        <v>1040</v>
      </c>
      <c r="C743" s="19"/>
      <c r="D743" s="19"/>
    </row>
    <row r="744" spans="1:4" x14ac:dyDescent="0.25">
      <c r="A744" t="s">
        <v>294</v>
      </c>
      <c r="B744" t="s">
        <v>1002</v>
      </c>
      <c r="C744" s="19"/>
      <c r="D744" s="19"/>
    </row>
    <row r="745" spans="1:4" x14ac:dyDescent="0.25">
      <c r="A745" t="s">
        <v>294</v>
      </c>
      <c r="B745" t="s">
        <v>1016</v>
      </c>
      <c r="C745" s="19"/>
      <c r="D745" s="19"/>
    </row>
    <row r="746" spans="1:4" x14ac:dyDescent="0.25">
      <c r="A746" t="s">
        <v>294</v>
      </c>
      <c r="B746" t="s">
        <v>1049</v>
      </c>
      <c r="C746" s="19"/>
      <c r="D746" s="19"/>
    </row>
    <row r="747" spans="1:4" x14ac:dyDescent="0.25">
      <c r="A747" t="s">
        <v>294</v>
      </c>
      <c r="B747" t="s">
        <v>1045</v>
      </c>
      <c r="C747" s="19"/>
      <c r="D747" s="19"/>
    </row>
    <row r="748" spans="1:4" x14ac:dyDescent="0.25">
      <c r="A748" t="s">
        <v>295</v>
      </c>
      <c r="B748" t="s">
        <v>1007</v>
      </c>
      <c r="C748" s="19"/>
      <c r="D748" s="19"/>
    </row>
    <row r="749" spans="1:4" x14ac:dyDescent="0.25">
      <c r="A749" t="s">
        <v>295</v>
      </c>
      <c r="B749" t="s">
        <v>997</v>
      </c>
      <c r="C749" s="19"/>
      <c r="D749" s="19"/>
    </row>
    <row r="750" spans="1:4" x14ac:dyDescent="0.25">
      <c r="A750" t="s">
        <v>295</v>
      </c>
      <c r="B750" t="s">
        <v>1001</v>
      </c>
      <c r="C750" s="19"/>
      <c r="D750" s="19"/>
    </row>
    <row r="751" spans="1:4" x14ac:dyDescent="0.25">
      <c r="A751" t="s">
        <v>296</v>
      </c>
      <c r="B751" t="s">
        <v>1007</v>
      </c>
      <c r="C751" s="19"/>
      <c r="D751" s="19"/>
    </row>
    <row r="752" spans="1:4" x14ac:dyDescent="0.25">
      <c r="A752" t="s">
        <v>296</v>
      </c>
      <c r="B752" t="s">
        <v>997</v>
      </c>
      <c r="C752" s="19"/>
      <c r="D752" s="19"/>
    </row>
    <row r="753" spans="1:4" x14ac:dyDescent="0.25">
      <c r="A753" t="s">
        <v>297</v>
      </c>
      <c r="B753" t="s">
        <v>1007</v>
      </c>
      <c r="C753" s="19"/>
      <c r="D753" s="19"/>
    </row>
    <row r="754" spans="1:4" x14ac:dyDescent="0.25">
      <c r="A754" t="s">
        <v>297</v>
      </c>
      <c r="B754" t="s">
        <v>997</v>
      </c>
      <c r="C754" s="19"/>
      <c r="D754" s="19"/>
    </row>
    <row r="755" spans="1:4" x14ac:dyDescent="0.25">
      <c r="A755" t="s">
        <v>298</v>
      </c>
      <c r="B755" t="s">
        <v>1004</v>
      </c>
      <c r="C755" s="19"/>
      <c r="D755" s="19"/>
    </row>
    <row r="756" spans="1:4" x14ac:dyDescent="0.25">
      <c r="A756" t="s">
        <v>298</v>
      </c>
      <c r="B756" t="s">
        <v>1017</v>
      </c>
      <c r="C756" s="19"/>
      <c r="D756" s="19"/>
    </row>
    <row r="757" spans="1:4" x14ac:dyDescent="0.25">
      <c r="A757" t="s">
        <v>298</v>
      </c>
      <c r="B757" t="s">
        <v>1015</v>
      </c>
      <c r="C757" s="19"/>
      <c r="D757" s="19"/>
    </row>
    <row r="758" spans="1:4" x14ac:dyDescent="0.25">
      <c r="A758" t="s">
        <v>299</v>
      </c>
      <c r="B758" t="s">
        <v>1011</v>
      </c>
      <c r="C758" s="19"/>
      <c r="D758" s="19"/>
    </row>
    <row r="759" spans="1:4" x14ac:dyDescent="0.25">
      <c r="A759" t="s">
        <v>299</v>
      </c>
      <c r="B759" t="s">
        <v>1013</v>
      </c>
      <c r="C759" s="19"/>
      <c r="D759" s="19"/>
    </row>
    <row r="760" spans="1:4" x14ac:dyDescent="0.25">
      <c r="A760" t="s">
        <v>299</v>
      </c>
      <c r="B760" t="s">
        <v>1023</v>
      </c>
      <c r="C760" s="19"/>
      <c r="D760" s="19"/>
    </row>
    <row r="761" spans="1:4" x14ac:dyDescent="0.25">
      <c r="A761" t="s">
        <v>300</v>
      </c>
      <c r="B761" t="s">
        <v>986</v>
      </c>
      <c r="C761" s="19"/>
      <c r="D761" s="19"/>
    </row>
    <row r="762" spans="1:4" x14ac:dyDescent="0.25">
      <c r="A762" t="s">
        <v>301</v>
      </c>
      <c r="B762" t="s">
        <v>993</v>
      </c>
      <c r="C762" s="19"/>
      <c r="D762" s="19"/>
    </row>
    <row r="763" spans="1:4" x14ac:dyDescent="0.25">
      <c r="A763" t="s">
        <v>301</v>
      </c>
      <c r="B763" t="s">
        <v>1008</v>
      </c>
      <c r="C763" s="19"/>
      <c r="D763" s="19"/>
    </row>
    <row r="764" spans="1:4" x14ac:dyDescent="0.25">
      <c r="A764" t="s">
        <v>301</v>
      </c>
      <c r="B764" t="s">
        <v>978</v>
      </c>
      <c r="C764" s="19"/>
      <c r="D764" s="19"/>
    </row>
    <row r="765" spans="1:4" x14ac:dyDescent="0.25">
      <c r="A765" t="s">
        <v>301</v>
      </c>
      <c r="B765" t="s">
        <v>980</v>
      </c>
      <c r="C765" s="19"/>
      <c r="D765" s="19"/>
    </row>
    <row r="766" spans="1:4" x14ac:dyDescent="0.25">
      <c r="A766" t="s">
        <v>302</v>
      </c>
      <c r="B766" t="s">
        <v>973</v>
      </c>
      <c r="C766" s="19"/>
      <c r="D766" s="19"/>
    </row>
    <row r="767" spans="1:4" x14ac:dyDescent="0.25">
      <c r="A767" t="s">
        <v>302</v>
      </c>
      <c r="B767" t="s">
        <v>979</v>
      </c>
      <c r="C767" s="19"/>
      <c r="D767" s="19"/>
    </row>
    <row r="768" spans="1:4" x14ac:dyDescent="0.25">
      <c r="A768" t="s">
        <v>303</v>
      </c>
      <c r="B768" t="s">
        <v>977</v>
      </c>
      <c r="C768" s="19"/>
      <c r="D768" s="19"/>
    </row>
    <row r="769" spans="1:4" x14ac:dyDescent="0.25">
      <c r="A769" t="s">
        <v>303</v>
      </c>
      <c r="B769" t="s">
        <v>985</v>
      </c>
      <c r="C769" s="19"/>
      <c r="D769" s="19"/>
    </row>
    <row r="770" spans="1:4" x14ac:dyDescent="0.25">
      <c r="A770" t="s">
        <v>303</v>
      </c>
      <c r="B770" t="s">
        <v>1048</v>
      </c>
      <c r="C770" s="19"/>
      <c r="D770" s="19"/>
    </row>
    <row r="771" spans="1:4" x14ac:dyDescent="0.25">
      <c r="A771" t="s">
        <v>304</v>
      </c>
      <c r="B771" t="s">
        <v>1029</v>
      </c>
      <c r="C771" s="19"/>
      <c r="D771" s="19"/>
    </row>
    <row r="772" spans="1:4" x14ac:dyDescent="0.25">
      <c r="A772" t="s">
        <v>304</v>
      </c>
      <c r="B772" t="s">
        <v>989</v>
      </c>
      <c r="C772" s="19"/>
      <c r="D772" s="19"/>
    </row>
    <row r="773" spans="1:4" x14ac:dyDescent="0.25">
      <c r="A773" t="s">
        <v>304</v>
      </c>
      <c r="B773" t="s">
        <v>1027</v>
      </c>
      <c r="C773" s="19"/>
      <c r="D773" s="19"/>
    </row>
    <row r="774" spans="1:4" x14ac:dyDescent="0.25">
      <c r="A774" t="s">
        <v>304</v>
      </c>
      <c r="B774" t="s">
        <v>987</v>
      </c>
      <c r="C774" s="19"/>
      <c r="D774" s="19"/>
    </row>
    <row r="775" spans="1:4" x14ac:dyDescent="0.25">
      <c r="A775" t="s">
        <v>305</v>
      </c>
      <c r="B775" t="s">
        <v>1022</v>
      </c>
      <c r="C775" s="19"/>
      <c r="D775" s="19"/>
    </row>
    <row r="776" spans="1:4" x14ac:dyDescent="0.25">
      <c r="A776" t="s">
        <v>305</v>
      </c>
      <c r="B776" t="s">
        <v>999</v>
      </c>
      <c r="C776" s="19"/>
      <c r="D776" s="19"/>
    </row>
    <row r="777" spans="1:4" x14ac:dyDescent="0.25">
      <c r="A777" t="s">
        <v>305</v>
      </c>
      <c r="B777" t="s">
        <v>986</v>
      </c>
      <c r="C777" s="19"/>
      <c r="D777" s="19"/>
    </row>
    <row r="778" spans="1:4" x14ac:dyDescent="0.25">
      <c r="A778" t="s">
        <v>305</v>
      </c>
      <c r="B778" t="s">
        <v>1040</v>
      </c>
      <c r="C778" s="19"/>
      <c r="D778" s="19"/>
    </row>
    <row r="779" spans="1:4" x14ac:dyDescent="0.25">
      <c r="A779" t="s">
        <v>307</v>
      </c>
      <c r="B779" t="s">
        <v>973</v>
      </c>
      <c r="C779" s="19"/>
      <c r="D779" s="19"/>
    </row>
    <row r="780" spans="1:4" x14ac:dyDescent="0.25">
      <c r="A780" t="s">
        <v>307</v>
      </c>
      <c r="B780" t="s">
        <v>979</v>
      </c>
      <c r="C780" s="19"/>
      <c r="D780" s="19"/>
    </row>
    <row r="781" spans="1:4" x14ac:dyDescent="0.25">
      <c r="A781" t="s">
        <v>308</v>
      </c>
      <c r="B781" t="s">
        <v>997</v>
      </c>
      <c r="C781" s="19"/>
      <c r="D781" s="19"/>
    </row>
    <row r="782" spans="1:4" x14ac:dyDescent="0.25">
      <c r="A782" t="s">
        <v>308</v>
      </c>
      <c r="B782" t="s">
        <v>1007</v>
      </c>
      <c r="C782" s="19"/>
      <c r="D782" s="19"/>
    </row>
    <row r="783" spans="1:4" x14ac:dyDescent="0.25">
      <c r="A783" t="s">
        <v>310</v>
      </c>
      <c r="B783" t="s">
        <v>973</v>
      </c>
      <c r="C783" s="19"/>
      <c r="D783" s="19"/>
    </row>
    <row r="784" spans="1:4" x14ac:dyDescent="0.25">
      <c r="A784" t="s">
        <v>310</v>
      </c>
      <c r="B784" t="s">
        <v>979</v>
      </c>
      <c r="C784" s="19"/>
      <c r="D784" s="19"/>
    </row>
    <row r="785" spans="1:4" x14ac:dyDescent="0.25">
      <c r="A785" t="s">
        <v>311</v>
      </c>
      <c r="B785" t="s">
        <v>993</v>
      </c>
      <c r="C785" s="19"/>
      <c r="D785" s="19"/>
    </row>
    <row r="786" spans="1:4" x14ac:dyDescent="0.25">
      <c r="A786" t="s">
        <v>311</v>
      </c>
      <c r="B786" t="s">
        <v>978</v>
      </c>
      <c r="C786" s="19"/>
      <c r="D786" s="19"/>
    </row>
    <row r="787" spans="1:4" x14ac:dyDescent="0.25">
      <c r="A787" t="s">
        <v>311</v>
      </c>
      <c r="B787" t="s">
        <v>980</v>
      </c>
      <c r="C787" s="19"/>
      <c r="D787" s="19"/>
    </row>
    <row r="788" spans="1:4" x14ac:dyDescent="0.25">
      <c r="A788" t="s">
        <v>312</v>
      </c>
      <c r="B788" t="s">
        <v>988</v>
      </c>
      <c r="C788" s="19"/>
      <c r="D788" s="19"/>
    </row>
    <row r="789" spans="1:4" x14ac:dyDescent="0.25">
      <c r="A789" t="s">
        <v>312</v>
      </c>
      <c r="B789" t="s">
        <v>1019</v>
      </c>
      <c r="C789" s="19"/>
      <c r="D789" s="19"/>
    </row>
    <row r="790" spans="1:4" x14ac:dyDescent="0.25">
      <c r="A790" t="s">
        <v>313</v>
      </c>
      <c r="B790" t="s">
        <v>1047</v>
      </c>
      <c r="C790" s="19"/>
      <c r="D790" s="19"/>
    </row>
    <row r="791" spans="1:4" x14ac:dyDescent="0.25">
      <c r="A791" t="s">
        <v>313</v>
      </c>
      <c r="B791" t="s">
        <v>995</v>
      </c>
      <c r="C791" s="19"/>
      <c r="D791" s="19"/>
    </row>
    <row r="792" spans="1:4" x14ac:dyDescent="0.25">
      <c r="A792" t="s">
        <v>313</v>
      </c>
      <c r="B792" t="s">
        <v>1028</v>
      </c>
      <c r="C792" s="19"/>
      <c r="D792" s="19"/>
    </row>
    <row r="793" spans="1:4" x14ac:dyDescent="0.25">
      <c r="A793" t="s">
        <v>314</v>
      </c>
      <c r="B793" t="s">
        <v>1047</v>
      </c>
      <c r="C793" s="19"/>
      <c r="D793" s="19"/>
    </row>
    <row r="794" spans="1:4" x14ac:dyDescent="0.25">
      <c r="A794" t="s">
        <v>314</v>
      </c>
      <c r="B794" t="s">
        <v>995</v>
      </c>
      <c r="C794" s="19"/>
      <c r="D794" s="19"/>
    </row>
    <row r="795" spans="1:4" x14ac:dyDescent="0.25">
      <c r="A795" t="s">
        <v>314</v>
      </c>
      <c r="B795" t="s">
        <v>1028</v>
      </c>
      <c r="C795" s="19"/>
      <c r="D795" s="19"/>
    </row>
    <row r="796" spans="1:4" x14ac:dyDescent="0.25">
      <c r="A796" t="s">
        <v>314</v>
      </c>
      <c r="B796" t="s">
        <v>999</v>
      </c>
      <c r="C796" s="19"/>
      <c r="D796" s="19"/>
    </row>
    <row r="797" spans="1:4" x14ac:dyDescent="0.25">
      <c r="A797" t="s">
        <v>315</v>
      </c>
      <c r="B797" t="s">
        <v>988</v>
      </c>
      <c r="C797" s="19"/>
      <c r="D797" s="19"/>
    </row>
    <row r="798" spans="1:4" x14ac:dyDescent="0.25">
      <c r="A798" t="s">
        <v>315</v>
      </c>
      <c r="B798" t="s">
        <v>1019</v>
      </c>
      <c r="C798" s="19"/>
      <c r="D798" s="19"/>
    </row>
    <row r="799" spans="1:4" x14ac:dyDescent="0.25">
      <c r="A799" t="s">
        <v>315</v>
      </c>
      <c r="B799" t="s">
        <v>1022</v>
      </c>
      <c r="C799" s="19"/>
      <c r="D799" s="19"/>
    </row>
    <row r="800" spans="1:4" x14ac:dyDescent="0.25">
      <c r="A800" t="s">
        <v>315</v>
      </c>
      <c r="B800" t="s">
        <v>1040</v>
      </c>
      <c r="C800" s="19"/>
      <c r="D800" s="19"/>
    </row>
    <row r="801" spans="1:4" x14ac:dyDescent="0.25">
      <c r="A801" t="s">
        <v>316</v>
      </c>
      <c r="B801" t="s">
        <v>1013</v>
      </c>
      <c r="C801" s="19"/>
      <c r="D801" s="19"/>
    </row>
    <row r="802" spans="1:4" x14ac:dyDescent="0.25">
      <c r="A802" t="s">
        <v>316</v>
      </c>
      <c r="B802" t="s">
        <v>1023</v>
      </c>
      <c r="C802" s="19"/>
      <c r="D802" s="19"/>
    </row>
    <row r="803" spans="1:4" x14ac:dyDescent="0.25">
      <c r="A803" t="s">
        <v>317</v>
      </c>
      <c r="B803" t="s">
        <v>992</v>
      </c>
      <c r="C803" s="19"/>
      <c r="D803" s="19"/>
    </row>
    <row r="804" spans="1:4" x14ac:dyDescent="0.25">
      <c r="A804" t="s">
        <v>317</v>
      </c>
      <c r="B804" t="s">
        <v>1030</v>
      </c>
      <c r="C804" s="19"/>
      <c r="D804" s="19"/>
    </row>
    <row r="805" spans="1:4" x14ac:dyDescent="0.25">
      <c r="A805" t="s">
        <v>318</v>
      </c>
      <c r="B805" t="s">
        <v>1004</v>
      </c>
      <c r="C805" s="19"/>
      <c r="D805" s="19"/>
    </row>
    <row r="806" spans="1:4" x14ac:dyDescent="0.25">
      <c r="A806" t="s">
        <v>318</v>
      </c>
      <c r="B806" t="s">
        <v>1017</v>
      </c>
      <c r="C806" s="19"/>
      <c r="D806" s="19"/>
    </row>
    <row r="807" spans="1:4" x14ac:dyDescent="0.25">
      <c r="A807" t="s">
        <v>318</v>
      </c>
      <c r="B807" t="s">
        <v>1015</v>
      </c>
      <c r="C807" s="19"/>
      <c r="D807" s="19"/>
    </row>
    <row r="808" spans="1:4" x14ac:dyDescent="0.25">
      <c r="A808" t="s">
        <v>319</v>
      </c>
      <c r="B808" t="s">
        <v>1008</v>
      </c>
      <c r="C808" s="19"/>
      <c r="D808" s="19"/>
    </row>
    <row r="809" spans="1:4" x14ac:dyDescent="0.25">
      <c r="A809" t="s">
        <v>319</v>
      </c>
      <c r="B809" t="s">
        <v>987</v>
      </c>
      <c r="C809" s="19"/>
      <c r="D809" s="19"/>
    </row>
    <row r="810" spans="1:4" x14ac:dyDescent="0.25">
      <c r="A810" t="s">
        <v>319</v>
      </c>
      <c r="B810" t="s">
        <v>1037</v>
      </c>
      <c r="C810" s="19"/>
      <c r="D810" s="19"/>
    </row>
    <row r="811" spans="1:4" x14ac:dyDescent="0.25">
      <c r="A811" t="s">
        <v>320</v>
      </c>
      <c r="B811" t="s">
        <v>1027</v>
      </c>
      <c r="C811" s="19"/>
      <c r="D811" s="19"/>
    </row>
    <row r="812" spans="1:4" x14ac:dyDescent="0.25">
      <c r="A812" t="s">
        <v>320</v>
      </c>
      <c r="B812" t="s">
        <v>1029</v>
      </c>
      <c r="C812" s="19"/>
      <c r="D812" s="19"/>
    </row>
    <row r="813" spans="1:4" x14ac:dyDescent="0.25">
      <c r="A813" t="s">
        <v>320</v>
      </c>
      <c r="B813" t="s">
        <v>989</v>
      </c>
      <c r="C813" s="19"/>
      <c r="D813" s="19"/>
    </row>
    <row r="814" spans="1:4" x14ac:dyDescent="0.25">
      <c r="A814" t="s">
        <v>321</v>
      </c>
      <c r="B814" t="s">
        <v>993</v>
      </c>
      <c r="C814" s="19"/>
      <c r="D814" s="19"/>
    </row>
    <row r="815" spans="1:4" x14ac:dyDescent="0.25">
      <c r="A815" t="s">
        <v>321</v>
      </c>
      <c r="B815" t="s">
        <v>976</v>
      </c>
      <c r="C815" s="19"/>
      <c r="D815" s="19"/>
    </row>
    <row r="816" spans="1:4" x14ac:dyDescent="0.25">
      <c r="A816" t="s">
        <v>321</v>
      </c>
      <c r="B816" t="s">
        <v>978</v>
      </c>
      <c r="C816" s="19"/>
      <c r="D816" s="19"/>
    </row>
    <row r="817" spans="1:4" x14ac:dyDescent="0.25">
      <c r="A817" t="s">
        <v>321</v>
      </c>
      <c r="B817" t="s">
        <v>980</v>
      </c>
      <c r="C817" s="19"/>
      <c r="D817" s="19"/>
    </row>
    <row r="818" spans="1:4" x14ac:dyDescent="0.25">
      <c r="A818" t="s">
        <v>322</v>
      </c>
      <c r="B818" t="s">
        <v>977</v>
      </c>
      <c r="C818" s="19"/>
      <c r="D818" s="19"/>
    </row>
    <row r="819" spans="1:4" x14ac:dyDescent="0.25">
      <c r="A819" t="s">
        <v>322</v>
      </c>
      <c r="B819" t="s">
        <v>979</v>
      </c>
      <c r="C819" s="19"/>
      <c r="D819" s="19"/>
    </row>
    <row r="820" spans="1:4" x14ac:dyDescent="0.25">
      <c r="A820" t="s">
        <v>322</v>
      </c>
      <c r="B820" t="s">
        <v>985</v>
      </c>
      <c r="C820" s="19"/>
      <c r="D820" s="19"/>
    </row>
    <row r="821" spans="1:4" x14ac:dyDescent="0.25">
      <c r="A821" t="s">
        <v>322</v>
      </c>
      <c r="B821" t="s">
        <v>1048</v>
      </c>
      <c r="C821" s="19"/>
      <c r="D821" s="19"/>
    </row>
    <row r="822" spans="1:4" x14ac:dyDescent="0.25">
      <c r="A822" t="s">
        <v>323</v>
      </c>
      <c r="B822" t="s">
        <v>1047</v>
      </c>
      <c r="C822" s="19"/>
      <c r="D822" s="19"/>
    </row>
    <row r="823" spans="1:4" x14ac:dyDescent="0.25">
      <c r="A823" t="s">
        <v>323</v>
      </c>
      <c r="B823" t="s">
        <v>973</v>
      </c>
      <c r="C823" s="19"/>
      <c r="D823" s="19"/>
    </row>
    <row r="824" spans="1:4" x14ac:dyDescent="0.25">
      <c r="A824" t="s">
        <v>323</v>
      </c>
      <c r="B824" t="s">
        <v>974</v>
      </c>
      <c r="C824" s="19"/>
      <c r="D824" s="19"/>
    </row>
    <row r="825" spans="1:4" x14ac:dyDescent="0.25">
      <c r="A825" t="s">
        <v>326</v>
      </c>
      <c r="B825" t="s">
        <v>993</v>
      </c>
      <c r="C825" s="19"/>
      <c r="D825" s="19"/>
    </row>
    <row r="826" spans="1:4" x14ac:dyDescent="0.25">
      <c r="A826" t="s">
        <v>326</v>
      </c>
      <c r="B826" t="s">
        <v>1008</v>
      </c>
      <c r="C826" s="19"/>
      <c r="D826" s="19"/>
    </row>
    <row r="827" spans="1:4" x14ac:dyDescent="0.25">
      <c r="A827" t="s">
        <v>326</v>
      </c>
      <c r="B827" t="s">
        <v>977</v>
      </c>
      <c r="C827" s="19"/>
      <c r="D827" s="19"/>
    </row>
    <row r="828" spans="1:4" x14ac:dyDescent="0.25">
      <c r="A828" t="s">
        <v>326</v>
      </c>
      <c r="B828" t="s">
        <v>1029</v>
      </c>
      <c r="C828" s="19"/>
      <c r="D828" s="19"/>
    </row>
    <row r="829" spans="1:4" x14ac:dyDescent="0.25">
      <c r="A829" t="s">
        <v>326</v>
      </c>
      <c r="B829" t="s">
        <v>989</v>
      </c>
      <c r="C829" s="19"/>
      <c r="D829" s="19"/>
    </row>
    <row r="830" spans="1:4" x14ac:dyDescent="0.25">
      <c r="A830" t="s">
        <v>326</v>
      </c>
      <c r="B830" t="s">
        <v>979</v>
      </c>
      <c r="C830" s="19"/>
      <c r="D830" s="19"/>
    </row>
    <row r="831" spans="1:4" x14ac:dyDescent="0.25">
      <c r="A831" t="s">
        <v>326</v>
      </c>
      <c r="B831" t="s">
        <v>976</v>
      </c>
      <c r="C831" s="19"/>
      <c r="D831" s="19"/>
    </row>
    <row r="832" spans="1:4" x14ac:dyDescent="0.25">
      <c r="A832" t="s">
        <v>326</v>
      </c>
      <c r="B832" t="s">
        <v>973</v>
      </c>
      <c r="C832" s="19"/>
      <c r="D832" s="19"/>
    </row>
    <row r="833" spans="1:4" x14ac:dyDescent="0.25">
      <c r="A833" t="s">
        <v>326</v>
      </c>
      <c r="B833" t="s">
        <v>978</v>
      </c>
      <c r="C833" s="19"/>
      <c r="D833" s="19"/>
    </row>
    <row r="834" spans="1:4" x14ac:dyDescent="0.25">
      <c r="A834" t="s">
        <v>326</v>
      </c>
      <c r="B834" t="s">
        <v>985</v>
      </c>
      <c r="C834" s="19"/>
      <c r="D834" s="19"/>
    </row>
    <row r="835" spans="1:4" x14ac:dyDescent="0.25">
      <c r="A835" t="s">
        <v>326</v>
      </c>
      <c r="B835" t="s">
        <v>974</v>
      </c>
      <c r="C835" s="19"/>
      <c r="D835" s="19"/>
    </row>
    <row r="836" spans="1:4" x14ac:dyDescent="0.25">
      <c r="A836" t="s">
        <v>326</v>
      </c>
      <c r="B836" t="s">
        <v>987</v>
      </c>
      <c r="C836" s="19"/>
      <c r="D836" s="19"/>
    </row>
    <row r="837" spans="1:4" x14ac:dyDescent="0.25">
      <c r="A837" t="s">
        <v>326</v>
      </c>
      <c r="B837" t="s">
        <v>1027</v>
      </c>
      <c r="C837" s="19"/>
      <c r="D837" s="19"/>
    </row>
    <row r="838" spans="1:4" x14ac:dyDescent="0.25">
      <c r="A838" t="s">
        <v>326</v>
      </c>
      <c r="B838" t="s">
        <v>1048</v>
      </c>
      <c r="C838" s="19"/>
      <c r="D838" s="19"/>
    </row>
    <row r="839" spans="1:4" x14ac:dyDescent="0.25">
      <c r="A839" t="s">
        <v>326</v>
      </c>
      <c r="B839" t="s">
        <v>1047</v>
      </c>
      <c r="C839" s="19"/>
      <c r="D839" s="19"/>
    </row>
    <row r="840" spans="1:4" x14ac:dyDescent="0.25">
      <c r="A840" t="s">
        <v>326</v>
      </c>
      <c r="B840" t="s">
        <v>1037</v>
      </c>
      <c r="C840" s="19"/>
      <c r="D840" s="19"/>
    </row>
    <row r="841" spans="1:4" x14ac:dyDescent="0.25">
      <c r="A841" t="s">
        <v>326</v>
      </c>
      <c r="B841" t="s">
        <v>980</v>
      </c>
      <c r="C841" s="19"/>
      <c r="D841" s="19"/>
    </row>
    <row r="842" spans="1:4" x14ac:dyDescent="0.25">
      <c r="A842" t="s">
        <v>329</v>
      </c>
      <c r="B842" t="s">
        <v>997</v>
      </c>
      <c r="C842" s="19"/>
      <c r="D842" s="19"/>
    </row>
    <row r="843" spans="1:4" x14ac:dyDescent="0.25">
      <c r="A843" t="s">
        <v>329</v>
      </c>
      <c r="B843" t="s">
        <v>1007</v>
      </c>
      <c r="C843" s="19"/>
      <c r="D843" s="19"/>
    </row>
    <row r="844" spans="1:4" x14ac:dyDescent="0.25">
      <c r="A844" t="s">
        <v>329</v>
      </c>
      <c r="B844" t="s">
        <v>1001</v>
      </c>
      <c r="C844" s="19"/>
      <c r="D844" s="19"/>
    </row>
    <row r="845" spans="1:4" x14ac:dyDescent="0.25">
      <c r="A845" t="s">
        <v>330</v>
      </c>
      <c r="B845" t="s">
        <v>1047</v>
      </c>
      <c r="C845" s="19"/>
      <c r="D845" s="19"/>
    </row>
    <row r="846" spans="1:4" x14ac:dyDescent="0.25">
      <c r="A846" t="s">
        <v>330</v>
      </c>
      <c r="B846" t="s">
        <v>1022</v>
      </c>
      <c r="C846" s="19"/>
      <c r="D846" s="19"/>
    </row>
    <row r="847" spans="1:4" x14ac:dyDescent="0.25">
      <c r="A847" t="s">
        <v>330</v>
      </c>
      <c r="B847" t="s">
        <v>988</v>
      </c>
      <c r="C847" s="19"/>
      <c r="D847" s="19"/>
    </row>
    <row r="848" spans="1:4" x14ac:dyDescent="0.25">
      <c r="A848" t="s">
        <v>331</v>
      </c>
      <c r="B848" t="s">
        <v>995</v>
      </c>
      <c r="C848" s="19"/>
      <c r="D848" s="19"/>
    </row>
    <row r="849" spans="1:4" x14ac:dyDescent="0.25">
      <c r="A849" t="s">
        <v>331</v>
      </c>
      <c r="B849" t="s">
        <v>999</v>
      </c>
      <c r="C849" s="19"/>
      <c r="D849" s="19"/>
    </row>
    <row r="850" spans="1:4" x14ac:dyDescent="0.25">
      <c r="A850" t="s">
        <v>331</v>
      </c>
      <c r="B850" t="s">
        <v>1019</v>
      </c>
      <c r="C850" s="19"/>
      <c r="D850" s="19"/>
    </row>
    <row r="851" spans="1:4" x14ac:dyDescent="0.25">
      <c r="A851" t="s">
        <v>332</v>
      </c>
      <c r="B851" t="s">
        <v>995</v>
      </c>
      <c r="C851" s="19"/>
      <c r="D851" s="19"/>
    </row>
    <row r="852" spans="1:4" x14ac:dyDescent="0.25">
      <c r="A852" t="s">
        <v>332</v>
      </c>
      <c r="B852" t="s">
        <v>986</v>
      </c>
      <c r="C852" s="19"/>
      <c r="D852" s="19"/>
    </row>
    <row r="853" spans="1:4" x14ac:dyDescent="0.25">
      <c r="A853" t="s">
        <v>332</v>
      </c>
      <c r="B853" t="s">
        <v>1040</v>
      </c>
      <c r="C853" s="19"/>
      <c r="D853" s="19"/>
    </row>
    <row r="854" spans="1:4" x14ac:dyDescent="0.25">
      <c r="A854" t="s">
        <v>333</v>
      </c>
      <c r="B854" t="s">
        <v>1004</v>
      </c>
      <c r="C854" s="19"/>
      <c r="D854" s="19"/>
    </row>
    <row r="855" spans="1:4" x14ac:dyDescent="0.25">
      <c r="A855" t="s">
        <v>333</v>
      </c>
      <c r="B855" t="s">
        <v>1017</v>
      </c>
      <c r="C855" s="19"/>
      <c r="D855" s="19"/>
    </row>
    <row r="856" spans="1:4" x14ac:dyDescent="0.25">
      <c r="A856" t="s">
        <v>333</v>
      </c>
      <c r="B856" t="s">
        <v>1015</v>
      </c>
      <c r="C856" s="19"/>
      <c r="D856" s="19"/>
    </row>
    <row r="857" spans="1:4" x14ac:dyDescent="0.25">
      <c r="A857" t="s">
        <v>334</v>
      </c>
      <c r="B857" t="s">
        <v>1013</v>
      </c>
      <c r="C857" s="19"/>
      <c r="D857" s="19"/>
    </row>
    <row r="858" spans="1:4" x14ac:dyDescent="0.25">
      <c r="A858" t="s">
        <v>334</v>
      </c>
      <c r="B858" t="s">
        <v>1011</v>
      </c>
      <c r="C858" s="19"/>
      <c r="D858" s="19"/>
    </row>
    <row r="859" spans="1:4" x14ac:dyDescent="0.25">
      <c r="A859" t="s">
        <v>334</v>
      </c>
      <c r="B859" t="s">
        <v>1023</v>
      </c>
      <c r="C859" s="19"/>
      <c r="D859" s="19"/>
    </row>
    <row r="860" spans="1:4" x14ac:dyDescent="0.25">
      <c r="A860" t="s">
        <v>334</v>
      </c>
      <c r="B860" t="s">
        <v>1030</v>
      </c>
      <c r="C860" s="19"/>
      <c r="D860" s="19"/>
    </row>
    <row r="861" spans="1:4" x14ac:dyDescent="0.25">
      <c r="A861" t="s">
        <v>335</v>
      </c>
      <c r="B861" t="s">
        <v>993</v>
      </c>
      <c r="C861" s="19"/>
      <c r="D861" s="19"/>
    </row>
    <row r="862" spans="1:4" x14ac:dyDescent="0.25">
      <c r="A862" t="s">
        <v>335</v>
      </c>
      <c r="B862" t="s">
        <v>976</v>
      </c>
      <c r="C862" s="19"/>
      <c r="D862" s="19"/>
    </row>
    <row r="863" spans="1:4" x14ac:dyDescent="0.25">
      <c r="A863" t="s">
        <v>335</v>
      </c>
      <c r="B863" t="s">
        <v>978</v>
      </c>
      <c r="C863" s="19"/>
      <c r="D863" s="19"/>
    </row>
    <row r="864" spans="1:4" x14ac:dyDescent="0.25">
      <c r="A864" t="s">
        <v>335</v>
      </c>
      <c r="B864" t="s">
        <v>980</v>
      </c>
      <c r="C864" s="19"/>
      <c r="D864" s="19"/>
    </row>
    <row r="865" spans="1:4" x14ac:dyDescent="0.25">
      <c r="A865" t="s">
        <v>336</v>
      </c>
      <c r="B865" t="s">
        <v>1008</v>
      </c>
      <c r="C865" s="19"/>
      <c r="D865" s="19"/>
    </row>
    <row r="866" spans="1:4" x14ac:dyDescent="0.25">
      <c r="A866" t="s">
        <v>336</v>
      </c>
      <c r="B866" t="s">
        <v>987</v>
      </c>
      <c r="C866" s="19"/>
      <c r="D866" s="19"/>
    </row>
    <row r="867" spans="1:4" x14ac:dyDescent="0.25">
      <c r="A867" t="s">
        <v>336</v>
      </c>
      <c r="B867" t="s">
        <v>1037</v>
      </c>
      <c r="C867" s="19"/>
      <c r="D867" s="19"/>
    </row>
    <row r="868" spans="1:4" x14ac:dyDescent="0.25">
      <c r="A868" t="s">
        <v>337</v>
      </c>
      <c r="B868" t="s">
        <v>977</v>
      </c>
      <c r="C868" s="19"/>
      <c r="D868" s="19"/>
    </row>
    <row r="869" spans="1:4" x14ac:dyDescent="0.25">
      <c r="A869" t="s">
        <v>337</v>
      </c>
      <c r="B869" t="s">
        <v>979</v>
      </c>
      <c r="C869" s="19"/>
      <c r="D869" s="19"/>
    </row>
    <row r="870" spans="1:4" x14ac:dyDescent="0.25">
      <c r="A870" t="s">
        <v>337</v>
      </c>
      <c r="B870" t="s">
        <v>985</v>
      </c>
      <c r="C870" s="19"/>
      <c r="D870" s="19"/>
    </row>
    <row r="871" spans="1:4" x14ac:dyDescent="0.25">
      <c r="A871" t="s">
        <v>337</v>
      </c>
      <c r="B871" t="s">
        <v>1048</v>
      </c>
      <c r="C871" s="19"/>
      <c r="D871" s="19"/>
    </row>
    <row r="872" spans="1:4" x14ac:dyDescent="0.25">
      <c r="A872" t="s">
        <v>338</v>
      </c>
      <c r="B872" t="s">
        <v>1027</v>
      </c>
      <c r="C872" s="19"/>
      <c r="D872" s="19"/>
    </row>
    <row r="873" spans="1:4" x14ac:dyDescent="0.25">
      <c r="A873" t="s">
        <v>338</v>
      </c>
      <c r="B873" t="s">
        <v>1029</v>
      </c>
      <c r="C873" s="19"/>
      <c r="D873" s="19"/>
    </row>
    <row r="874" spans="1:4" x14ac:dyDescent="0.25">
      <c r="A874" t="s">
        <v>338</v>
      </c>
      <c r="B874" t="s">
        <v>989</v>
      </c>
      <c r="C874" s="19"/>
      <c r="D874" s="19"/>
    </row>
    <row r="875" spans="1:4" x14ac:dyDescent="0.25">
      <c r="A875" t="s">
        <v>339</v>
      </c>
      <c r="B875" t="s">
        <v>1047</v>
      </c>
      <c r="C875" s="19"/>
      <c r="D875" s="19"/>
    </row>
    <row r="876" spans="1:4" x14ac:dyDescent="0.25">
      <c r="A876" t="s">
        <v>339</v>
      </c>
      <c r="B876" t="s">
        <v>973</v>
      </c>
      <c r="C876" s="19"/>
      <c r="D876" s="19"/>
    </row>
    <row r="877" spans="1:4" x14ac:dyDescent="0.25">
      <c r="A877" t="s">
        <v>339</v>
      </c>
      <c r="B877" t="s">
        <v>974</v>
      </c>
      <c r="C877" s="19"/>
      <c r="D877" s="19"/>
    </row>
    <row r="878" spans="1:4" x14ac:dyDescent="0.25">
      <c r="A878" t="s">
        <v>340</v>
      </c>
      <c r="B878" t="s">
        <v>978</v>
      </c>
      <c r="C878" s="19"/>
      <c r="D878" s="19"/>
    </row>
    <row r="879" spans="1:4" x14ac:dyDescent="0.25">
      <c r="A879" t="s">
        <v>340</v>
      </c>
      <c r="B879" t="s">
        <v>976</v>
      </c>
      <c r="C879" s="19"/>
      <c r="D879" s="19"/>
    </row>
    <row r="880" spans="1:4" x14ac:dyDescent="0.25">
      <c r="A880" t="s">
        <v>340</v>
      </c>
      <c r="B880" t="s">
        <v>993</v>
      </c>
      <c r="C880" s="19"/>
      <c r="D880" s="19"/>
    </row>
    <row r="881" spans="1:4" x14ac:dyDescent="0.25">
      <c r="A881" t="s">
        <v>340</v>
      </c>
      <c r="B881" t="s">
        <v>980</v>
      </c>
      <c r="C881" s="19"/>
      <c r="D881" s="19"/>
    </row>
    <row r="882" spans="1:4" x14ac:dyDescent="0.25">
      <c r="A882" t="s">
        <v>341</v>
      </c>
      <c r="B882" t="s">
        <v>1008</v>
      </c>
      <c r="C882" s="19"/>
      <c r="D882" s="19"/>
    </row>
    <row r="883" spans="1:4" x14ac:dyDescent="0.25">
      <c r="A883" t="s">
        <v>341</v>
      </c>
      <c r="B883" t="s">
        <v>987</v>
      </c>
      <c r="C883" s="19"/>
      <c r="D883" s="19"/>
    </row>
    <row r="884" spans="1:4" x14ac:dyDescent="0.25">
      <c r="A884" t="s">
        <v>341</v>
      </c>
      <c r="B884" t="s">
        <v>1037</v>
      </c>
      <c r="C884" s="19"/>
      <c r="D884" s="19"/>
    </row>
    <row r="885" spans="1:4" x14ac:dyDescent="0.25">
      <c r="A885" t="s">
        <v>342</v>
      </c>
      <c r="B885" t="s">
        <v>977</v>
      </c>
      <c r="C885" s="19"/>
      <c r="D885" s="19"/>
    </row>
    <row r="886" spans="1:4" x14ac:dyDescent="0.25">
      <c r="A886" t="s">
        <v>342</v>
      </c>
      <c r="B886" t="s">
        <v>979</v>
      </c>
      <c r="C886" s="19"/>
      <c r="D886" s="19"/>
    </row>
    <row r="887" spans="1:4" x14ac:dyDescent="0.25">
      <c r="A887" t="s">
        <v>342</v>
      </c>
      <c r="B887" t="s">
        <v>985</v>
      </c>
      <c r="C887" s="19"/>
      <c r="D887" s="19"/>
    </row>
    <row r="888" spans="1:4" x14ac:dyDescent="0.25">
      <c r="A888" t="s">
        <v>342</v>
      </c>
      <c r="B888" t="s">
        <v>981</v>
      </c>
      <c r="C888" s="19"/>
      <c r="D888" s="19"/>
    </row>
    <row r="889" spans="1:4" x14ac:dyDescent="0.25">
      <c r="A889" t="s">
        <v>343</v>
      </c>
      <c r="B889" t="s">
        <v>974</v>
      </c>
      <c r="C889" s="19"/>
      <c r="D889" s="19"/>
    </row>
    <row r="890" spans="1:4" x14ac:dyDescent="0.25">
      <c r="A890" t="s">
        <v>343</v>
      </c>
      <c r="B890" t="s">
        <v>973</v>
      </c>
      <c r="C890" s="19"/>
      <c r="D890" s="19"/>
    </row>
    <row r="891" spans="1:4" x14ac:dyDescent="0.25">
      <c r="A891" t="s">
        <v>343</v>
      </c>
      <c r="B891" t="s">
        <v>1047</v>
      </c>
      <c r="C891" s="19"/>
      <c r="D891" s="19"/>
    </row>
    <row r="892" spans="1:4" x14ac:dyDescent="0.25">
      <c r="A892" t="s">
        <v>343</v>
      </c>
      <c r="B892" t="s">
        <v>1040</v>
      </c>
      <c r="C892" s="19"/>
      <c r="D892" s="19"/>
    </row>
    <row r="893" spans="1:4" x14ac:dyDescent="0.25">
      <c r="A893" t="s">
        <v>344</v>
      </c>
      <c r="B893" t="s">
        <v>989</v>
      </c>
      <c r="C893" s="19"/>
      <c r="D893" s="19"/>
    </row>
    <row r="894" spans="1:4" x14ac:dyDescent="0.25">
      <c r="A894" t="s">
        <v>344</v>
      </c>
      <c r="B894" t="s">
        <v>1029</v>
      </c>
      <c r="C894" s="19"/>
      <c r="D894" s="19"/>
    </row>
    <row r="895" spans="1:4" x14ac:dyDescent="0.25">
      <c r="A895" t="s">
        <v>344</v>
      </c>
      <c r="B895" t="s">
        <v>1027</v>
      </c>
      <c r="C895" s="19"/>
      <c r="D895" s="19"/>
    </row>
    <row r="896" spans="1:4" x14ac:dyDescent="0.25">
      <c r="A896" t="s">
        <v>345</v>
      </c>
      <c r="B896" t="s">
        <v>1016</v>
      </c>
      <c r="C896" s="19"/>
      <c r="D896" s="19"/>
    </row>
    <row r="897" spans="1:4" x14ac:dyDescent="0.25">
      <c r="A897" t="s">
        <v>345</v>
      </c>
      <c r="B897" t="s">
        <v>1049</v>
      </c>
      <c r="C897" s="19"/>
      <c r="D897" s="19"/>
    </row>
    <row r="898" spans="1:4" x14ac:dyDescent="0.25">
      <c r="A898" t="s">
        <v>346</v>
      </c>
      <c r="B898" t="s">
        <v>997</v>
      </c>
      <c r="C898" s="19"/>
      <c r="D898" s="19"/>
    </row>
    <row r="899" spans="1:4" x14ac:dyDescent="0.25">
      <c r="A899" t="s">
        <v>346</v>
      </c>
      <c r="B899" t="s">
        <v>1001</v>
      </c>
      <c r="C899" s="19"/>
      <c r="D899" s="19"/>
    </row>
    <row r="900" spans="1:4" x14ac:dyDescent="0.25">
      <c r="A900" t="s">
        <v>346</v>
      </c>
      <c r="B900" t="s">
        <v>1007</v>
      </c>
      <c r="C900" s="19"/>
      <c r="D900" s="19"/>
    </row>
    <row r="901" spans="1:4" x14ac:dyDescent="0.25">
      <c r="A901" t="s">
        <v>347</v>
      </c>
      <c r="B901" t="s">
        <v>1030</v>
      </c>
      <c r="C901" s="19"/>
      <c r="D901" s="19"/>
    </row>
    <row r="902" spans="1:4" x14ac:dyDescent="0.25">
      <c r="A902" t="s">
        <v>347</v>
      </c>
      <c r="B902" t="s">
        <v>1017</v>
      </c>
      <c r="C902" s="19"/>
      <c r="D902" s="19"/>
    </row>
    <row r="903" spans="1:4" x14ac:dyDescent="0.25">
      <c r="A903" t="s">
        <v>347</v>
      </c>
      <c r="B903" t="s">
        <v>1015</v>
      </c>
      <c r="C903" s="19"/>
      <c r="D903" s="19"/>
    </row>
    <row r="904" spans="1:4" x14ac:dyDescent="0.25">
      <c r="A904" t="s">
        <v>348</v>
      </c>
      <c r="B904" t="s">
        <v>1023</v>
      </c>
      <c r="C904" s="19"/>
      <c r="D904" s="19"/>
    </row>
    <row r="905" spans="1:4" x14ac:dyDescent="0.25">
      <c r="A905" t="s">
        <v>348</v>
      </c>
      <c r="B905" t="s">
        <v>1013</v>
      </c>
      <c r="C905" s="19"/>
      <c r="D905" s="19"/>
    </row>
    <row r="906" spans="1:4" x14ac:dyDescent="0.25">
      <c r="A906" t="s">
        <v>348</v>
      </c>
      <c r="B906" t="s">
        <v>1011</v>
      </c>
      <c r="C906" s="19"/>
      <c r="D906" s="19"/>
    </row>
    <row r="907" spans="1:4" x14ac:dyDescent="0.25">
      <c r="A907" t="s">
        <v>349</v>
      </c>
      <c r="B907" t="s">
        <v>999</v>
      </c>
      <c r="C907" s="19"/>
      <c r="D907" s="19"/>
    </row>
    <row r="908" spans="1:4" x14ac:dyDescent="0.25">
      <c r="A908" t="s">
        <v>349</v>
      </c>
      <c r="B908" t="s">
        <v>1019</v>
      </c>
      <c r="C908" s="19"/>
      <c r="D908" s="19"/>
    </row>
    <row r="909" spans="1:4" x14ac:dyDescent="0.25">
      <c r="A909" t="s">
        <v>350</v>
      </c>
      <c r="B909" t="s">
        <v>995</v>
      </c>
      <c r="C909" s="19"/>
      <c r="D909" s="19"/>
    </row>
    <row r="910" spans="1:4" x14ac:dyDescent="0.25">
      <c r="A910" t="s">
        <v>350</v>
      </c>
      <c r="B910" t="s">
        <v>986</v>
      </c>
      <c r="C910" s="19"/>
      <c r="D910" s="19"/>
    </row>
    <row r="911" spans="1:4" x14ac:dyDescent="0.25">
      <c r="A911" t="s">
        <v>350</v>
      </c>
      <c r="B911" t="s">
        <v>1040</v>
      </c>
      <c r="C911" s="19"/>
      <c r="D911" s="19"/>
    </row>
    <row r="912" spans="1:4" x14ac:dyDescent="0.25">
      <c r="A912" t="s">
        <v>351</v>
      </c>
      <c r="B912" t="s">
        <v>1022</v>
      </c>
      <c r="C912" s="19"/>
      <c r="D912" s="19"/>
    </row>
    <row r="913" spans="1:4" x14ac:dyDescent="0.25">
      <c r="A913" t="s">
        <v>351</v>
      </c>
      <c r="B913" t="s">
        <v>988</v>
      </c>
      <c r="C913" s="19"/>
      <c r="D913" s="19"/>
    </row>
    <row r="914" spans="1:4" x14ac:dyDescent="0.25">
      <c r="A914" t="s">
        <v>351</v>
      </c>
      <c r="B914" t="s">
        <v>1012</v>
      </c>
      <c r="C914" s="19"/>
      <c r="D914" s="19"/>
    </row>
    <row r="915" spans="1:4" x14ac:dyDescent="0.25">
      <c r="A915" t="s">
        <v>352</v>
      </c>
      <c r="B915" t="s">
        <v>974</v>
      </c>
      <c r="C915" s="19"/>
      <c r="D915" s="19"/>
    </row>
    <row r="916" spans="1:4" x14ac:dyDescent="0.25">
      <c r="A916" t="s">
        <v>352</v>
      </c>
      <c r="B916" t="s">
        <v>973</v>
      </c>
      <c r="C916" s="19"/>
      <c r="D916" s="19"/>
    </row>
    <row r="917" spans="1:4" x14ac:dyDescent="0.25">
      <c r="A917" t="s">
        <v>352</v>
      </c>
      <c r="B917" t="s">
        <v>1048</v>
      </c>
      <c r="C917" s="19"/>
      <c r="D917" s="19"/>
    </row>
    <row r="918" spans="1:4" x14ac:dyDescent="0.25">
      <c r="A918" t="s">
        <v>353</v>
      </c>
      <c r="B918" t="s">
        <v>976</v>
      </c>
      <c r="C918" s="19"/>
      <c r="D918" s="19"/>
    </row>
    <row r="919" spans="1:4" x14ac:dyDescent="0.25">
      <c r="A919" t="s">
        <v>353</v>
      </c>
      <c r="B919" t="s">
        <v>978</v>
      </c>
      <c r="C919" s="19"/>
      <c r="D919" s="19"/>
    </row>
    <row r="920" spans="1:4" x14ac:dyDescent="0.25">
      <c r="A920" t="s">
        <v>353</v>
      </c>
      <c r="B920" t="s">
        <v>980</v>
      </c>
      <c r="C920" s="19"/>
      <c r="D920" s="19"/>
    </row>
    <row r="921" spans="1:4" x14ac:dyDescent="0.25">
      <c r="A921" t="s">
        <v>354</v>
      </c>
      <c r="B921" t="s">
        <v>1027</v>
      </c>
      <c r="C921" s="19"/>
      <c r="D921" s="19"/>
    </row>
    <row r="922" spans="1:4" x14ac:dyDescent="0.25">
      <c r="A922" t="s">
        <v>354</v>
      </c>
      <c r="B922" t="s">
        <v>989</v>
      </c>
      <c r="C922" s="19"/>
      <c r="D922" s="19"/>
    </row>
    <row r="923" spans="1:4" x14ac:dyDescent="0.25">
      <c r="A923" t="s">
        <v>354</v>
      </c>
      <c r="B923" t="s">
        <v>1029</v>
      </c>
      <c r="C923" s="19"/>
      <c r="D923" s="19"/>
    </row>
    <row r="924" spans="1:4" x14ac:dyDescent="0.25">
      <c r="A924" t="s">
        <v>355</v>
      </c>
      <c r="B924" t="s">
        <v>985</v>
      </c>
      <c r="C924" s="19"/>
      <c r="D924" s="19"/>
    </row>
    <row r="925" spans="1:4" x14ac:dyDescent="0.25">
      <c r="A925" t="s">
        <v>355</v>
      </c>
      <c r="B925" t="s">
        <v>1008</v>
      </c>
      <c r="C925" s="19"/>
      <c r="D925" s="19"/>
    </row>
    <row r="926" spans="1:4" x14ac:dyDescent="0.25">
      <c r="A926" t="s">
        <v>355</v>
      </c>
      <c r="B926" t="s">
        <v>987</v>
      </c>
      <c r="C926" s="19"/>
      <c r="D926" s="19"/>
    </row>
    <row r="927" spans="1:4" x14ac:dyDescent="0.25">
      <c r="A927" t="s">
        <v>356</v>
      </c>
      <c r="B927" t="s">
        <v>1047</v>
      </c>
      <c r="C927" s="19"/>
      <c r="D927" s="19"/>
    </row>
    <row r="928" spans="1:4" x14ac:dyDescent="0.25">
      <c r="A928" t="s">
        <v>356</v>
      </c>
      <c r="B928" t="s">
        <v>993</v>
      </c>
      <c r="C928" s="19"/>
      <c r="D928" s="19"/>
    </row>
    <row r="929" spans="1:4" x14ac:dyDescent="0.25">
      <c r="A929" t="s">
        <v>357</v>
      </c>
      <c r="B929" t="s">
        <v>981</v>
      </c>
      <c r="C929" s="19"/>
      <c r="D929" s="19"/>
    </row>
    <row r="930" spans="1:4" x14ac:dyDescent="0.25">
      <c r="A930" t="s">
        <v>357</v>
      </c>
      <c r="B930" t="s">
        <v>977</v>
      </c>
      <c r="C930" s="19"/>
      <c r="D930" s="19"/>
    </row>
    <row r="931" spans="1:4" x14ac:dyDescent="0.25">
      <c r="A931" t="s">
        <v>357</v>
      </c>
      <c r="B931" t="s">
        <v>979</v>
      </c>
      <c r="C931" s="19"/>
      <c r="D931" s="19"/>
    </row>
    <row r="932" spans="1:4" x14ac:dyDescent="0.25">
      <c r="A932" t="s">
        <v>358</v>
      </c>
      <c r="B932" t="s">
        <v>1016</v>
      </c>
      <c r="C932" s="19"/>
      <c r="D932" s="19"/>
    </row>
    <row r="933" spans="1:4" x14ac:dyDescent="0.25">
      <c r="A933" t="s">
        <v>358</v>
      </c>
      <c r="B933" t="s">
        <v>1049</v>
      </c>
      <c r="C933" s="19"/>
      <c r="D933" s="19"/>
    </row>
    <row r="934" spans="1:4" x14ac:dyDescent="0.25">
      <c r="A934" t="s">
        <v>361</v>
      </c>
      <c r="B934" t="s">
        <v>1001</v>
      </c>
      <c r="C934" s="19"/>
      <c r="D934" s="19"/>
    </row>
    <row r="935" spans="1:4" x14ac:dyDescent="0.25">
      <c r="A935" t="s">
        <v>361</v>
      </c>
      <c r="B935" t="s">
        <v>997</v>
      </c>
      <c r="C935" s="19"/>
      <c r="D935" s="19"/>
    </row>
    <row r="936" spans="1:4" x14ac:dyDescent="0.25">
      <c r="A936" t="s">
        <v>361</v>
      </c>
      <c r="B936" t="s">
        <v>1007</v>
      </c>
      <c r="C936" s="19"/>
      <c r="D936" s="19"/>
    </row>
    <row r="937" spans="1:4" x14ac:dyDescent="0.25">
      <c r="A937" t="s">
        <v>362</v>
      </c>
      <c r="B937" t="s">
        <v>1013</v>
      </c>
      <c r="C937" s="19"/>
      <c r="D937" s="19"/>
    </row>
    <row r="938" spans="1:4" x14ac:dyDescent="0.25">
      <c r="A938" t="s">
        <v>362</v>
      </c>
      <c r="B938" t="s">
        <v>1011</v>
      </c>
      <c r="C938" s="19"/>
      <c r="D938" s="19"/>
    </row>
    <row r="939" spans="1:4" x14ac:dyDescent="0.25">
      <c r="A939" t="s">
        <v>362</v>
      </c>
      <c r="B939" t="s">
        <v>1030</v>
      </c>
      <c r="C939" s="19"/>
      <c r="D939" s="19"/>
    </row>
    <row r="940" spans="1:4" x14ac:dyDescent="0.25">
      <c r="A940" t="s">
        <v>362</v>
      </c>
      <c r="B940" t="s">
        <v>1004</v>
      </c>
      <c r="C940" s="19"/>
      <c r="D940" s="19"/>
    </row>
    <row r="941" spans="1:4" x14ac:dyDescent="0.25">
      <c r="A941" t="s">
        <v>363</v>
      </c>
      <c r="B941" t="s">
        <v>1023</v>
      </c>
      <c r="C941" s="19"/>
      <c r="D941" s="19"/>
    </row>
    <row r="942" spans="1:4" x14ac:dyDescent="0.25">
      <c r="A942" t="s">
        <v>363</v>
      </c>
      <c r="B942" t="s">
        <v>1017</v>
      </c>
      <c r="C942" s="19"/>
      <c r="D942" s="19"/>
    </row>
    <row r="943" spans="1:4" x14ac:dyDescent="0.25">
      <c r="A943" t="s">
        <v>363</v>
      </c>
      <c r="B943" t="s">
        <v>1015</v>
      </c>
      <c r="C943" s="19"/>
      <c r="D943" s="19"/>
    </row>
    <row r="944" spans="1:4" x14ac:dyDescent="0.25">
      <c r="A944" t="s">
        <v>364</v>
      </c>
      <c r="B944" t="s">
        <v>1022</v>
      </c>
      <c r="C944" s="19"/>
      <c r="D944" s="19"/>
    </row>
    <row r="945" spans="1:4" x14ac:dyDescent="0.25">
      <c r="A945" t="s">
        <v>364</v>
      </c>
      <c r="B945" t="s">
        <v>988</v>
      </c>
      <c r="C945" s="19"/>
      <c r="D945" s="19"/>
    </row>
    <row r="946" spans="1:4" x14ac:dyDescent="0.25">
      <c r="A946" t="s">
        <v>364</v>
      </c>
      <c r="B946" t="s">
        <v>1019</v>
      </c>
      <c r="C946" s="19"/>
      <c r="D946" s="19"/>
    </row>
    <row r="947" spans="1:4" x14ac:dyDescent="0.25">
      <c r="A947" t="s">
        <v>364</v>
      </c>
      <c r="B947" t="s">
        <v>986</v>
      </c>
      <c r="C947" s="19"/>
      <c r="D947" s="19"/>
    </row>
    <row r="948" spans="1:4" x14ac:dyDescent="0.25">
      <c r="A948" t="s">
        <v>365</v>
      </c>
      <c r="B948" t="s">
        <v>995</v>
      </c>
      <c r="C948" s="19"/>
      <c r="D948" s="19"/>
    </row>
    <row r="949" spans="1:4" x14ac:dyDescent="0.25">
      <c r="A949" t="s">
        <v>365</v>
      </c>
      <c r="B949" t="s">
        <v>1047</v>
      </c>
      <c r="C949" s="19"/>
      <c r="D949" s="19"/>
    </row>
    <row r="950" spans="1:4" x14ac:dyDescent="0.25">
      <c r="A950" t="s">
        <v>365</v>
      </c>
      <c r="B950" t="s">
        <v>999</v>
      </c>
      <c r="C950" s="19"/>
      <c r="D950" s="19"/>
    </row>
    <row r="951" spans="1:4" x14ac:dyDescent="0.25">
      <c r="A951" t="s">
        <v>365</v>
      </c>
      <c r="B951" t="s">
        <v>1028</v>
      </c>
      <c r="C951" s="19"/>
      <c r="D951" s="19"/>
    </row>
    <row r="952" spans="1:4" x14ac:dyDescent="0.25">
      <c r="A952" t="s">
        <v>365</v>
      </c>
      <c r="B952" t="s">
        <v>1040</v>
      </c>
      <c r="C952" s="19"/>
      <c r="D952" s="19"/>
    </row>
    <row r="953" spans="1:4" x14ac:dyDescent="0.25">
      <c r="A953" t="s">
        <v>366</v>
      </c>
      <c r="B953" t="s">
        <v>976</v>
      </c>
      <c r="C953" s="19"/>
      <c r="D953" s="19"/>
    </row>
    <row r="954" spans="1:4" x14ac:dyDescent="0.25">
      <c r="A954" t="s">
        <v>366</v>
      </c>
      <c r="B954" t="s">
        <v>978</v>
      </c>
      <c r="C954" s="19"/>
      <c r="D954" s="19"/>
    </row>
    <row r="955" spans="1:4" x14ac:dyDescent="0.25">
      <c r="A955" t="s">
        <v>366</v>
      </c>
      <c r="B955" t="s">
        <v>980</v>
      </c>
      <c r="C955" s="19"/>
      <c r="D955" s="19"/>
    </row>
    <row r="956" spans="1:4" x14ac:dyDescent="0.25">
      <c r="A956" t="s">
        <v>367</v>
      </c>
      <c r="B956" t="s">
        <v>989</v>
      </c>
      <c r="C956" s="19"/>
      <c r="D956" s="19"/>
    </row>
    <row r="957" spans="1:4" x14ac:dyDescent="0.25">
      <c r="A957" t="s">
        <v>367</v>
      </c>
      <c r="B957" t="s">
        <v>1027</v>
      </c>
      <c r="C957" s="19"/>
      <c r="D957" s="19"/>
    </row>
    <row r="958" spans="1:4" x14ac:dyDescent="0.25">
      <c r="A958" t="s">
        <v>367</v>
      </c>
      <c r="B958" t="s">
        <v>1047</v>
      </c>
      <c r="C958" s="19"/>
      <c r="D958" s="19"/>
    </row>
    <row r="959" spans="1:4" x14ac:dyDescent="0.25">
      <c r="A959" t="s">
        <v>368</v>
      </c>
      <c r="B959" t="s">
        <v>981</v>
      </c>
      <c r="C959" s="19"/>
      <c r="D959" s="19"/>
    </row>
    <row r="960" spans="1:4" x14ac:dyDescent="0.25">
      <c r="A960" t="s">
        <v>368</v>
      </c>
      <c r="B960" t="s">
        <v>979</v>
      </c>
      <c r="C960" s="19"/>
      <c r="D960" s="19"/>
    </row>
    <row r="961" spans="1:4" x14ac:dyDescent="0.25">
      <c r="A961" t="s">
        <v>369</v>
      </c>
      <c r="B961" t="s">
        <v>974</v>
      </c>
      <c r="C961" s="19"/>
      <c r="D961" s="19"/>
    </row>
    <row r="962" spans="1:4" x14ac:dyDescent="0.25">
      <c r="A962" t="s">
        <v>369</v>
      </c>
      <c r="B962" t="s">
        <v>973</v>
      </c>
      <c r="C962" s="19"/>
      <c r="D962" s="19"/>
    </row>
    <row r="963" spans="1:4" x14ac:dyDescent="0.25">
      <c r="A963" t="s">
        <v>369</v>
      </c>
      <c r="B963" t="s">
        <v>1037</v>
      </c>
      <c r="C963" s="19"/>
      <c r="D963" s="19"/>
    </row>
    <row r="964" spans="1:4" x14ac:dyDescent="0.25">
      <c r="A964" t="s">
        <v>370</v>
      </c>
      <c r="B964" t="s">
        <v>987</v>
      </c>
      <c r="C964" s="19"/>
      <c r="D964" s="19"/>
    </row>
    <row r="965" spans="1:4" x14ac:dyDescent="0.25">
      <c r="A965" t="s">
        <v>370</v>
      </c>
      <c r="B965" t="s">
        <v>985</v>
      </c>
      <c r="C965" s="19"/>
      <c r="D965" s="19"/>
    </row>
    <row r="966" spans="1:4" x14ac:dyDescent="0.25">
      <c r="A966" t="s">
        <v>370</v>
      </c>
      <c r="B966" t="s">
        <v>1008</v>
      </c>
      <c r="C966" s="19"/>
      <c r="D966" s="19"/>
    </row>
    <row r="967" spans="1:4" x14ac:dyDescent="0.25">
      <c r="A967" t="s">
        <v>370</v>
      </c>
      <c r="B967" t="s">
        <v>1048</v>
      </c>
      <c r="C967" s="19"/>
      <c r="D967" s="19"/>
    </row>
    <row r="968" spans="1:4" x14ac:dyDescent="0.25">
      <c r="A968" t="s">
        <v>371</v>
      </c>
      <c r="B968" t="s">
        <v>974</v>
      </c>
      <c r="C968" s="19"/>
      <c r="D968" s="19"/>
    </row>
    <row r="969" spans="1:4" x14ac:dyDescent="0.25">
      <c r="A969" t="s">
        <v>371</v>
      </c>
      <c r="B969" t="s">
        <v>973</v>
      </c>
      <c r="C969" s="19"/>
      <c r="D969" s="19"/>
    </row>
    <row r="970" spans="1:4" x14ac:dyDescent="0.25">
      <c r="A970" t="s">
        <v>371</v>
      </c>
      <c r="B970" t="s">
        <v>993</v>
      </c>
      <c r="C970" s="19"/>
      <c r="D970" s="19"/>
    </row>
    <row r="971" spans="1:4" x14ac:dyDescent="0.25">
      <c r="A971" t="s">
        <v>372</v>
      </c>
      <c r="B971" t="s">
        <v>974</v>
      </c>
      <c r="C971" s="19"/>
      <c r="D971" s="19"/>
    </row>
    <row r="972" spans="1:4" x14ac:dyDescent="0.25">
      <c r="A972" t="s">
        <v>372</v>
      </c>
      <c r="B972" t="s">
        <v>973</v>
      </c>
      <c r="C972" s="19"/>
      <c r="D972" s="19"/>
    </row>
    <row r="973" spans="1:4" x14ac:dyDescent="0.25">
      <c r="A973" t="s">
        <v>372</v>
      </c>
      <c r="B973" t="s">
        <v>1037</v>
      </c>
      <c r="C973" s="19"/>
      <c r="D973" s="19"/>
    </row>
    <row r="974" spans="1:4" x14ac:dyDescent="0.25">
      <c r="A974" t="s">
        <v>373</v>
      </c>
      <c r="B974" t="s">
        <v>987</v>
      </c>
      <c r="C974" s="19"/>
      <c r="D974" s="19"/>
    </row>
    <row r="975" spans="1:4" x14ac:dyDescent="0.25">
      <c r="A975" t="s">
        <v>373</v>
      </c>
      <c r="B975" t="s">
        <v>985</v>
      </c>
      <c r="C975" s="19"/>
      <c r="D975" s="19"/>
    </row>
    <row r="976" spans="1:4" x14ac:dyDescent="0.25">
      <c r="A976" t="s">
        <v>373</v>
      </c>
      <c r="B976" t="s">
        <v>1008</v>
      </c>
      <c r="C976" s="19"/>
      <c r="D976" s="19"/>
    </row>
    <row r="977" spans="1:4" x14ac:dyDescent="0.25">
      <c r="A977" t="s">
        <v>373</v>
      </c>
      <c r="B977" t="s">
        <v>1048</v>
      </c>
      <c r="C977" s="19"/>
      <c r="D977" s="19"/>
    </row>
    <row r="978" spans="1:4" x14ac:dyDescent="0.25">
      <c r="A978" t="s">
        <v>374</v>
      </c>
      <c r="B978" t="s">
        <v>989</v>
      </c>
      <c r="C978" s="19"/>
      <c r="D978" s="19"/>
    </row>
    <row r="979" spans="1:4" x14ac:dyDescent="0.25">
      <c r="A979" t="s">
        <v>374</v>
      </c>
      <c r="B979" t="s">
        <v>1027</v>
      </c>
      <c r="C979" s="19"/>
      <c r="D979" s="19"/>
    </row>
    <row r="980" spans="1:4" x14ac:dyDescent="0.25">
      <c r="A980" t="s">
        <v>374</v>
      </c>
      <c r="B980" t="s">
        <v>1047</v>
      </c>
      <c r="C980" s="19"/>
      <c r="D980" s="19"/>
    </row>
    <row r="981" spans="1:4" x14ac:dyDescent="0.25">
      <c r="A981" t="s">
        <v>375</v>
      </c>
      <c r="B981" t="s">
        <v>976</v>
      </c>
      <c r="C981" s="19"/>
      <c r="D981" s="19"/>
    </row>
    <row r="982" spans="1:4" x14ac:dyDescent="0.25">
      <c r="A982" t="s">
        <v>375</v>
      </c>
      <c r="B982" t="s">
        <v>978</v>
      </c>
      <c r="C982" s="19"/>
      <c r="D982" s="19"/>
    </row>
    <row r="983" spans="1:4" x14ac:dyDescent="0.25">
      <c r="A983" t="s">
        <v>375</v>
      </c>
      <c r="B983" t="s">
        <v>980</v>
      </c>
      <c r="C983" s="19"/>
      <c r="D983" s="19"/>
    </row>
    <row r="984" spans="1:4" x14ac:dyDescent="0.25">
      <c r="A984" t="s">
        <v>376</v>
      </c>
      <c r="B984" t="s">
        <v>981</v>
      </c>
      <c r="C984" s="19"/>
      <c r="D984" s="19"/>
    </row>
    <row r="985" spans="1:4" x14ac:dyDescent="0.25">
      <c r="A985" t="s">
        <v>376</v>
      </c>
      <c r="B985" t="s">
        <v>979</v>
      </c>
      <c r="C985" s="19"/>
      <c r="D985" s="19"/>
    </row>
    <row r="986" spans="1:4" x14ac:dyDescent="0.25">
      <c r="A986" t="s">
        <v>377</v>
      </c>
      <c r="B986" t="s">
        <v>1016</v>
      </c>
      <c r="C986" s="19"/>
      <c r="D986" s="19"/>
    </row>
    <row r="987" spans="1:4" x14ac:dyDescent="0.25">
      <c r="A987" t="s">
        <v>377</v>
      </c>
      <c r="B987" t="s">
        <v>1049</v>
      </c>
      <c r="C987" s="19"/>
      <c r="D987" s="19"/>
    </row>
    <row r="988" spans="1:4" x14ac:dyDescent="0.25">
      <c r="A988" t="s">
        <v>378</v>
      </c>
      <c r="B988" t="s">
        <v>1001</v>
      </c>
      <c r="C988" s="19"/>
      <c r="D988" s="19"/>
    </row>
    <row r="989" spans="1:4" x14ac:dyDescent="0.25">
      <c r="A989" t="s">
        <v>378</v>
      </c>
      <c r="B989" t="s">
        <v>997</v>
      </c>
      <c r="C989" s="19"/>
      <c r="D989" s="19"/>
    </row>
    <row r="990" spans="1:4" x14ac:dyDescent="0.25">
      <c r="A990" t="s">
        <v>378</v>
      </c>
      <c r="B990" t="s">
        <v>1007</v>
      </c>
      <c r="C990" s="19"/>
      <c r="D990" s="19"/>
    </row>
    <row r="991" spans="1:4" x14ac:dyDescent="0.25">
      <c r="A991" t="s">
        <v>379</v>
      </c>
      <c r="B991" t="s">
        <v>1013</v>
      </c>
      <c r="C991" s="19"/>
      <c r="D991" s="19"/>
    </row>
    <row r="992" spans="1:4" x14ac:dyDescent="0.25">
      <c r="A992" t="s">
        <v>379</v>
      </c>
      <c r="B992" t="s">
        <v>1004</v>
      </c>
      <c r="C992" s="19"/>
      <c r="D992" s="19"/>
    </row>
    <row r="993" spans="1:4" x14ac:dyDescent="0.25">
      <c r="A993" t="s">
        <v>379</v>
      </c>
      <c r="B993" t="s">
        <v>1023</v>
      </c>
      <c r="C993" s="19"/>
      <c r="D993" s="19"/>
    </row>
    <row r="994" spans="1:4" x14ac:dyDescent="0.25">
      <c r="A994" t="s">
        <v>379</v>
      </c>
      <c r="B994" t="s">
        <v>1030</v>
      </c>
      <c r="C994" s="19"/>
      <c r="D994" s="19"/>
    </row>
    <row r="995" spans="1:4" x14ac:dyDescent="0.25">
      <c r="A995" t="s">
        <v>380</v>
      </c>
      <c r="B995" t="s">
        <v>1011</v>
      </c>
      <c r="C995" s="19"/>
      <c r="D995" s="19"/>
    </row>
    <row r="996" spans="1:4" x14ac:dyDescent="0.25">
      <c r="A996" t="s">
        <v>380</v>
      </c>
      <c r="B996" t="s">
        <v>1017</v>
      </c>
      <c r="C996" s="19"/>
      <c r="D996" s="19"/>
    </row>
    <row r="997" spans="1:4" x14ac:dyDescent="0.25">
      <c r="A997" t="s">
        <v>380</v>
      </c>
      <c r="B997" t="s">
        <v>1015</v>
      </c>
      <c r="C997" s="19"/>
      <c r="D997" s="19"/>
    </row>
    <row r="998" spans="1:4" x14ac:dyDescent="0.25">
      <c r="A998" t="s">
        <v>381</v>
      </c>
      <c r="B998" t="s">
        <v>999</v>
      </c>
      <c r="C998" s="19"/>
      <c r="D998" s="19"/>
    </row>
    <row r="999" spans="1:4" x14ac:dyDescent="0.25">
      <c r="A999" t="s">
        <v>381</v>
      </c>
      <c r="B999" t="s">
        <v>1047</v>
      </c>
      <c r="C999" s="19"/>
      <c r="D999" s="19"/>
    </row>
    <row r="1000" spans="1:4" x14ac:dyDescent="0.25">
      <c r="A1000" t="s">
        <v>381</v>
      </c>
      <c r="B1000" t="s">
        <v>995</v>
      </c>
      <c r="C1000" s="19"/>
      <c r="D1000" s="19"/>
    </row>
    <row r="1001" spans="1:4" x14ac:dyDescent="0.25">
      <c r="A1001" t="s">
        <v>381</v>
      </c>
      <c r="B1001" t="s">
        <v>1028</v>
      </c>
      <c r="C1001" s="19"/>
      <c r="D1001" s="19"/>
    </row>
    <row r="1002" spans="1:4" x14ac:dyDescent="0.25">
      <c r="A1002" t="s">
        <v>382</v>
      </c>
      <c r="B1002" t="s">
        <v>988</v>
      </c>
      <c r="C1002" s="19"/>
      <c r="D1002" s="19"/>
    </row>
    <row r="1003" spans="1:4" x14ac:dyDescent="0.25">
      <c r="A1003" t="s">
        <v>382</v>
      </c>
      <c r="B1003" t="s">
        <v>1022</v>
      </c>
      <c r="C1003" s="19"/>
      <c r="D1003" s="19"/>
    </row>
    <row r="1004" spans="1:4" x14ac:dyDescent="0.25">
      <c r="A1004" t="s">
        <v>382</v>
      </c>
      <c r="B1004" t="s">
        <v>986</v>
      </c>
      <c r="C1004" s="19"/>
      <c r="D1004" s="19"/>
    </row>
    <row r="1005" spans="1:4" x14ac:dyDescent="0.25">
      <c r="A1005" t="s">
        <v>382</v>
      </c>
      <c r="B1005" t="s">
        <v>1040</v>
      </c>
      <c r="C1005" s="19"/>
      <c r="D1005" s="19"/>
    </row>
    <row r="1006" spans="1:4" x14ac:dyDescent="0.25">
      <c r="A1006" t="s">
        <v>383</v>
      </c>
      <c r="B1006" t="s">
        <v>979</v>
      </c>
      <c r="C1006" s="19"/>
      <c r="D1006" s="19"/>
    </row>
    <row r="1007" spans="1:4" x14ac:dyDescent="0.25">
      <c r="A1007" t="s">
        <v>383</v>
      </c>
      <c r="B1007" t="s">
        <v>1047</v>
      </c>
      <c r="C1007" s="19"/>
      <c r="D1007" s="19"/>
    </row>
    <row r="1008" spans="1:4" x14ac:dyDescent="0.25">
      <c r="A1008" t="s">
        <v>383</v>
      </c>
      <c r="B1008" t="s">
        <v>980</v>
      </c>
      <c r="C1008" s="19"/>
      <c r="D1008" s="19"/>
    </row>
    <row r="1009" spans="1:4" x14ac:dyDescent="0.25">
      <c r="A1009" t="s">
        <v>384</v>
      </c>
      <c r="B1009" t="s">
        <v>1027</v>
      </c>
      <c r="C1009" s="19"/>
      <c r="D1009" s="19"/>
    </row>
    <row r="1010" spans="1:4" x14ac:dyDescent="0.25">
      <c r="A1010" t="s">
        <v>384</v>
      </c>
      <c r="B1010" t="s">
        <v>976</v>
      </c>
      <c r="C1010" s="19"/>
      <c r="D1010" s="19"/>
    </row>
    <row r="1011" spans="1:4" x14ac:dyDescent="0.25">
      <c r="A1011" t="s">
        <v>384</v>
      </c>
      <c r="B1011" t="s">
        <v>1029</v>
      </c>
      <c r="C1011" s="19"/>
      <c r="D1011" s="19"/>
    </row>
    <row r="1012" spans="1:4" x14ac:dyDescent="0.25">
      <c r="A1012" t="s">
        <v>385</v>
      </c>
      <c r="B1012" t="s">
        <v>974</v>
      </c>
      <c r="C1012" s="19"/>
      <c r="D1012" s="19"/>
    </row>
    <row r="1013" spans="1:4" x14ac:dyDescent="0.25">
      <c r="A1013" t="s">
        <v>385</v>
      </c>
      <c r="B1013" t="s">
        <v>993</v>
      </c>
      <c r="C1013" s="19"/>
      <c r="D1013" s="19"/>
    </row>
    <row r="1014" spans="1:4" x14ac:dyDescent="0.25">
      <c r="A1014" t="s">
        <v>385</v>
      </c>
      <c r="B1014" t="s">
        <v>973</v>
      </c>
      <c r="C1014" s="19"/>
      <c r="D1014" s="19"/>
    </row>
    <row r="1015" spans="1:4" x14ac:dyDescent="0.25">
      <c r="A1015" t="s">
        <v>386</v>
      </c>
      <c r="B1015" t="s">
        <v>987</v>
      </c>
      <c r="C1015" s="19"/>
      <c r="D1015" s="19"/>
    </row>
    <row r="1016" spans="1:4" x14ac:dyDescent="0.25">
      <c r="A1016" t="s">
        <v>386</v>
      </c>
      <c r="B1016" t="s">
        <v>1008</v>
      </c>
      <c r="C1016" s="19"/>
      <c r="D1016" s="19"/>
    </row>
    <row r="1017" spans="1:4" x14ac:dyDescent="0.25">
      <c r="A1017" t="s">
        <v>386</v>
      </c>
      <c r="B1017" t="s">
        <v>977</v>
      </c>
      <c r="C1017" s="19"/>
      <c r="D1017" s="19"/>
    </row>
    <row r="1018" spans="1:4" x14ac:dyDescent="0.25">
      <c r="A1018" t="s">
        <v>387</v>
      </c>
      <c r="B1018" t="s">
        <v>987</v>
      </c>
      <c r="C1018" s="19"/>
      <c r="D1018" s="19"/>
    </row>
    <row r="1019" spans="1:4" x14ac:dyDescent="0.25">
      <c r="A1019" t="s">
        <v>387</v>
      </c>
      <c r="B1019" t="s">
        <v>1008</v>
      </c>
      <c r="C1019" s="19"/>
      <c r="D1019" s="19"/>
    </row>
    <row r="1020" spans="1:4" x14ac:dyDescent="0.25">
      <c r="A1020" t="s">
        <v>387</v>
      </c>
      <c r="B1020" t="s">
        <v>977</v>
      </c>
      <c r="C1020" s="19"/>
      <c r="D1020" s="19"/>
    </row>
    <row r="1021" spans="1:4" x14ac:dyDescent="0.25">
      <c r="A1021" t="s">
        <v>388</v>
      </c>
      <c r="B1021" t="s">
        <v>987</v>
      </c>
      <c r="C1021" s="19"/>
      <c r="D1021" s="19"/>
    </row>
    <row r="1022" spans="1:4" x14ac:dyDescent="0.25">
      <c r="A1022" t="s">
        <v>388</v>
      </c>
      <c r="B1022" t="s">
        <v>1008</v>
      </c>
      <c r="C1022" s="19"/>
      <c r="D1022" s="19"/>
    </row>
    <row r="1023" spans="1:4" x14ac:dyDescent="0.25">
      <c r="A1023" t="s">
        <v>388</v>
      </c>
      <c r="B1023" t="s">
        <v>977</v>
      </c>
      <c r="C1023" s="19"/>
      <c r="D1023" s="19"/>
    </row>
    <row r="1024" spans="1:4" x14ac:dyDescent="0.25">
      <c r="A1024" t="s">
        <v>389</v>
      </c>
      <c r="B1024" t="s">
        <v>1029</v>
      </c>
      <c r="C1024" s="19"/>
      <c r="D1024" s="19"/>
    </row>
    <row r="1025" spans="1:4" x14ac:dyDescent="0.25">
      <c r="A1025" t="s">
        <v>389</v>
      </c>
      <c r="B1025" t="s">
        <v>976</v>
      </c>
      <c r="C1025" s="19"/>
      <c r="D1025" s="19"/>
    </row>
    <row r="1026" spans="1:4" x14ac:dyDescent="0.25">
      <c r="A1026" t="s">
        <v>389</v>
      </c>
      <c r="B1026" t="s">
        <v>1027</v>
      </c>
      <c r="C1026" s="19"/>
      <c r="D1026" s="19"/>
    </row>
    <row r="1027" spans="1:4" x14ac:dyDescent="0.25">
      <c r="A1027" t="s">
        <v>390</v>
      </c>
      <c r="B1027" t="s">
        <v>1033</v>
      </c>
      <c r="C1027" s="19"/>
      <c r="D1027" s="19"/>
    </row>
    <row r="1028" spans="1:4" x14ac:dyDescent="0.25">
      <c r="A1028" t="s">
        <v>390</v>
      </c>
      <c r="B1028" t="s">
        <v>1009</v>
      </c>
      <c r="C1028" s="19"/>
      <c r="D1028" s="19"/>
    </row>
    <row r="1029" spans="1:4" x14ac:dyDescent="0.25">
      <c r="A1029" t="s">
        <v>390</v>
      </c>
      <c r="B1029" t="s">
        <v>1038</v>
      </c>
      <c r="C1029" s="19"/>
      <c r="D1029" s="19"/>
    </row>
    <row r="1030" spans="1:4" x14ac:dyDescent="0.25">
      <c r="A1030" t="s">
        <v>391</v>
      </c>
      <c r="B1030" t="s">
        <v>1016</v>
      </c>
      <c r="C1030" s="19"/>
      <c r="D1030" s="19"/>
    </row>
    <row r="1031" spans="1:4" x14ac:dyDescent="0.25">
      <c r="A1031" t="s">
        <v>391</v>
      </c>
      <c r="B1031" t="s">
        <v>1049</v>
      </c>
      <c r="C1031" s="19"/>
      <c r="D1031" s="19"/>
    </row>
    <row r="1032" spans="1:4" x14ac:dyDescent="0.25">
      <c r="A1032" t="s">
        <v>391</v>
      </c>
      <c r="B1032" t="s">
        <v>983</v>
      </c>
      <c r="C1032" s="19"/>
      <c r="D1032" s="19"/>
    </row>
    <row r="1033" spans="1:4" x14ac:dyDescent="0.25">
      <c r="A1033" t="s">
        <v>392</v>
      </c>
      <c r="B1033" t="s">
        <v>1016</v>
      </c>
      <c r="C1033" s="19"/>
      <c r="D1033" s="19"/>
    </row>
    <row r="1034" spans="1:4" x14ac:dyDescent="0.25">
      <c r="A1034" t="s">
        <v>392</v>
      </c>
      <c r="B1034" t="s">
        <v>1049</v>
      </c>
      <c r="C1034" s="19"/>
      <c r="D1034" s="19"/>
    </row>
    <row r="1035" spans="1:4" x14ac:dyDescent="0.25">
      <c r="A1035" t="s">
        <v>392</v>
      </c>
      <c r="B1035" t="s">
        <v>983</v>
      </c>
      <c r="C1035" s="19"/>
      <c r="D1035" s="19"/>
    </row>
    <row r="1036" spans="1:4" x14ac:dyDescent="0.25">
      <c r="A1036" t="s">
        <v>393</v>
      </c>
      <c r="B1036" t="s">
        <v>1035</v>
      </c>
      <c r="C1036" s="19"/>
      <c r="D1036" s="19"/>
    </row>
    <row r="1037" spans="1:4" x14ac:dyDescent="0.25">
      <c r="A1037" t="s">
        <v>393</v>
      </c>
      <c r="B1037" t="s">
        <v>997</v>
      </c>
      <c r="C1037" s="19"/>
      <c r="D1037" s="19"/>
    </row>
    <row r="1038" spans="1:4" x14ac:dyDescent="0.25">
      <c r="A1038" t="s">
        <v>393</v>
      </c>
      <c r="B1038" t="s">
        <v>1007</v>
      </c>
      <c r="C1038" s="19"/>
      <c r="D1038" s="19"/>
    </row>
    <row r="1039" spans="1:4" x14ac:dyDescent="0.25">
      <c r="A1039" t="s">
        <v>394</v>
      </c>
      <c r="B1039" t="s">
        <v>1013</v>
      </c>
      <c r="C1039" s="19"/>
      <c r="D1039" s="19"/>
    </row>
    <row r="1040" spans="1:4" x14ac:dyDescent="0.25">
      <c r="A1040" t="s">
        <v>395</v>
      </c>
      <c r="B1040" t="s">
        <v>1004</v>
      </c>
      <c r="C1040" s="19"/>
      <c r="D1040" s="19"/>
    </row>
    <row r="1041" spans="1:4" x14ac:dyDescent="0.25">
      <c r="A1041" t="s">
        <v>395</v>
      </c>
      <c r="B1041" t="s">
        <v>1011</v>
      </c>
      <c r="C1041" s="19"/>
      <c r="D1041" s="19"/>
    </row>
    <row r="1042" spans="1:4" x14ac:dyDescent="0.25">
      <c r="A1042" t="s">
        <v>395</v>
      </c>
      <c r="B1042" t="s">
        <v>1015</v>
      </c>
      <c r="C1042" s="19"/>
      <c r="D1042" s="19"/>
    </row>
    <row r="1043" spans="1:4" x14ac:dyDescent="0.25">
      <c r="A1043" t="s">
        <v>396</v>
      </c>
      <c r="B1043" t="s">
        <v>1030</v>
      </c>
      <c r="C1043" s="19"/>
      <c r="D1043" s="19"/>
    </row>
    <row r="1044" spans="1:4" x14ac:dyDescent="0.25">
      <c r="A1044" t="s">
        <v>396</v>
      </c>
      <c r="B1044" t="s">
        <v>1023</v>
      </c>
      <c r="C1044" s="19"/>
      <c r="D1044" s="19"/>
    </row>
    <row r="1045" spans="1:4" x14ac:dyDescent="0.25">
      <c r="A1045" t="s">
        <v>396</v>
      </c>
      <c r="B1045" t="s">
        <v>1017</v>
      </c>
      <c r="C1045" s="19"/>
      <c r="D1045" s="19"/>
    </row>
    <row r="1046" spans="1:4" x14ac:dyDescent="0.25">
      <c r="A1046" t="s">
        <v>397</v>
      </c>
      <c r="B1046" t="s">
        <v>1022</v>
      </c>
      <c r="C1046" s="19"/>
      <c r="D1046" s="19"/>
    </row>
    <row r="1047" spans="1:4" x14ac:dyDescent="0.25">
      <c r="A1047" t="s">
        <v>397</v>
      </c>
      <c r="B1047" t="s">
        <v>999</v>
      </c>
      <c r="C1047" s="19"/>
      <c r="D1047" s="19"/>
    </row>
    <row r="1048" spans="1:4" x14ac:dyDescent="0.25">
      <c r="A1048" t="s">
        <v>397</v>
      </c>
      <c r="B1048" t="s">
        <v>1019</v>
      </c>
      <c r="C1048" s="19"/>
      <c r="D1048" s="19"/>
    </row>
    <row r="1049" spans="1:4" x14ac:dyDescent="0.25">
      <c r="A1049" t="s">
        <v>397</v>
      </c>
      <c r="B1049" t="s">
        <v>986</v>
      </c>
      <c r="C1049" s="19"/>
      <c r="D1049" s="19"/>
    </row>
    <row r="1050" spans="1:4" x14ac:dyDescent="0.25">
      <c r="A1050" t="s">
        <v>397</v>
      </c>
      <c r="B1050" t="s">
        <v>1040</v>
      </c>
      <c r="C1050" s="19"/>
      <c r="D1050" s="19"/>
    </row>
    <row r="1051" spans="1:4" x14ac:dyDescent="0.25">
      <c r="A1051" t="s">
        <v>398</v>
      </c>
      <c r="B1051" t="s">
        <v>1047</v>
      </c>
      <c r="C1051" s="19"/>
      <c r="D1051" s="19"/>
    </row>
    <row r="1052" spans="1:4" x14ac:dyDescent="0.25">
      <c r="A1052" t="s">
        <v>398</v>
      </c>
      <c r="B1052" t="s">
        <v>995</v>
      </c>
      <c r="C1052" s="19"/>
      <c r="D1052" s="19"/>
    </row>
    <row r="1053" spans="1:4" x14ac:dyDescent="0.25">
      <c r="A1053" t="s">
        <v>398</v>
      </c>
      <c r="B1053" t="s">
        <v>1028</v>
      </c>
      <c r="C1053" s="19"/>
      <c r="D1053" s="19"/>
    </row>
    <row r="1054" spans="1:4" x14ac:dyDescent="0.25">
      <c r="A1054" t="s">
        <v>399</v>
      </c>
      <c r="B1054" t="s">
        <v>985</v>
      </c>
      <c r="C1054" s="19"/>
      <c r="D1054" s="19"/>
    </row>
    <row r="1055" spans="1:4" x14ac:dyDescent="0.25">
      <c r="A1055" t="s">
        <v>400</v>
      </c>
      <c r="B1055" t="s">
        <v>1047</v>
      </c>
      <c r="C1055" s="19"/>
      <c r="D1055" s="19"/>
    </row>
    <row r="1056" spans="1:4" x14ac:dyDescent="0.25">
      <c r="A1056" t="s">
        <v>400</v>
      </c>
      <c r="B1056" t="s">
        <v>983</v>
      </c>
      <c r="C1056" s="19"/>
      <c r="D1056" s="19"/>
    </row>
    <row r="1057" spans="1:4" x14ac:dyDescent="0.25">
      <c r="A1057" t="s">
        <v>401</v>
      </c>
      <c r="B1057" t="s">
        <v>1008</v>
      </c>
      <c r="C1057" s="19"/>
      <c r="D1057" s="19"/>
    </row>
    <row r="1058" spans="1:4" x14ac:dyDescent="0.25">
      <c r="A1058" t="s">
        <v>401</v>
      </c>
      <c r="B1058" t="s">
        <v>1037</v>
      </c>
      <c r="C1058" s="19"/>
      <c r="D1058" s="19"/>
    </row>
    <row r="1059" spans="1:4" x14ac:dyDescent="0.25">
      <c r="A1059" t="s">
        <v>402</v>
      </c>
      <c r="B1059" t="s">
        <v>987</v>
      </c>
      <c r="C1059" s="19"/>
      <c r="D1059" s="19"/>
    </row>
    <row r="1060" spans="1:4" x14ac:dyDescent="0.25">
      <c r="A1060" t="s">
        <v>402</v>
      </c>
      <c r="B1060" t="s">
        <v>977</v>
      </c>
      <c r="C1060" s="19"/>
      <c r="D1060" s="19"/>
    </row>
    <row r="1061" spans="1:4" x14ac:dyDescent="0.25">
      <c r="A1061" t="s">
        <v>402</v>
      </c>
      <c r="B1061" t="s">
        <v>979</v>
      </c>
      <c r="C1061" s="19"/>
      <c r="D1061" s="19"/>
    </row>
    <row r="1062" spans="1:4" x14ac:dyDescent="0.25">
      <c r="A1062" t="s">
        <v>402</v>
      </c>
      <c r="B1062" t="s">
        <v>989</v>
      </c>
      <c r="C1062" s="19"/>
      <c r="D1062" s="19"/>
    </row>
    <row r="1063" spans="1:4" x14ac:dyDescent="0.25">
      <c r="A1063" t="s">
        <v>402</v>
      </c>
      <c r="B1063" t="s">
        <v>976</v>
      </c>
      <c r="C1063" s="19"/>
      <c r="D1063" s="19"/>
    </row>
    <row r="1064" spans="1:4" x14ac:dyDescent="0.25">
      <c r="A1064" t="s">
        <v>402</v>
      </c>
      <c r="B1064" t="s">
        <v>1029</v>
      </c>
      <c r="C1064" s="19"/>
      <c r="D1064" s="19"/>
    </row>
    <row r="1065" spans="1:4" x14ac:dyDescent="0.25">
      <c r="A1065" t="s">
        <v>402</v>
      </c>
      <c r="B1065" t="s">
        <v>978</v>
      </c>
      <c r="C1065" s="19"/>
      <c r="D1065" s="19"/>
    </row>
    <row r="1066" spans="1:4" x14ac:dyDescent="0.25">
      <c r="A1066" t="s">
        <v>402</v>
      </c>
      <c r="B1066" t="s">
        <v>980</v>
      </c>
      <c r="C1066" s="19"/>
      <c r="D1066" s="19"/>
    </row>
    <row r="1067" spans="1:4" x14ac:dyDescent="0.25">
      <c r="A1067" t="s">
        <v>404</v>
      </c>
      <c r="B1067" t="s">
        <v>974</v>
      </c>
      <c r="C1067" s="19"/>
      <c r="D1067" s="19"/>
    </row>
    <row r="1068" spans="1:4" x14ac:dyDescent="0.25">
      <c r="A1068" t="s">
        <v>404</v>
      </c>
      <c r="B1068" t="s">
        <v>978</v>
      </c>
      <c r="C1068" s="19"/>
      <c r="D1068" s="19"/>
    </row>
    <row r="1069" spans="1:4" x14ac:dyDescent="0.25">
      <c r="A1069" t="s">
        <v>404</v>
      </c>
      <c r="B1069" t="s">
        <v>973</v>
      </c>
      <c r="C1069" s="19"/>
      <c r="D1069" s="19"/>
    </row>
    <row r="1070" spans="1:4" x14ac:dyDescent="0.25">
      <c r="A1070" t="s">
        <v>405</v>
      </c>
      <c r="B1070" t="s">
        <v>1033</v>
      </c>
      <c r="C1070" s="19"/>
      <c r="D1070" s="19"/>
    </row>
    <row r="1071" spans="1:4" x14ac:dyDescent="0.25">
      <c r="A1071" t="s">
        <v>405</v>
      </c>
      <c r="B1071" t="s">
        <v>1009</v>
      </c>
      <c r="C1071" s="19"/>
      <c r="D1071" s="19"/>
    </row>
    <row r="1072" spans="1:4" x14ac:dyDescent="0.25">
      <c r="A1072" t="s">
        <v>405</v>
      </c>
      <c r="B1072" t="s">
        <v>1038</v>
      </c>
      <c r="C1072" s="19"/>
      <c r="D1072" s="19"/>
    </row>
    <row r="1073" spans="1:4" x14ac:dyDescent="0.25">
      <c r="A1073" t="s">
        <v>406</v>
      </c>
      <c r="B1073" t="s">
        <v>1016</v>
      </c>
      <c r="C1073" s="19"/>
      <c r="D1073" s="19"/>
    </row>
    <row r="1074" spans="1:4" x14ac:dyDescent="0.25">
      <c r="A1074" t="s">
        <v>406</v>
      </c>
      <c r="B1074" t="s">
        <v>1049</v>
      </c>
      <c r="C1074" s="19"/>
      <c r="D1074" s="19"/>
    </row>
    <row r="1075" spans="1:4" x14ac:dyDescent="0.25">
      <c r="A1075" t="s">
        <v>406</v>
      </c>
      <c r="B1075" t="s">
        <v>1050</v>
      </c>
      <c r="C1075" s="19"/>
      <c r="D1075" s="19"/>
    </row>
    <row r="1076" spans="1:4" x14ac:dyDescent="0.25">
      <c r="A1076" t="s">
        <v>407</v>
      </c>
      <c r="B1076" t="s">
        <v>1033</v>
      </c>
      <c r="C1076" s="19"/>
      <c r="D1076" s="19"/>
    </row>
    <row r="1077" spans="1:4" x14ac:dyDescent="0.25">
      <c r="A1077" t="s">
        <v>407</v>
      </c>
      <c r="B1077" t="s">
        <v>1009</v>
      </c>
      <c r="C1077" s="19"/>
      <c r="D1077" s="19"/>
    </row>
    <row r="1078" spans="1:4" x14ac:dyDescent="0.25">
      <c r="A1078" t="s">
        <v>407</v>
      </c>
      <c r="B1078" t="s">
        <v>1038</v>
      </c>
      <c r="C1078" s="19"/>
      <c r="D1078" s="19"/>
    </row>
    <row r="1079" spans="1:4" x14ac:dyDescent="0.25">
      <c r="A1079" t="s">
        <v>408</v>
      </c>
      <c r="B1079" t="s">
        <v>997</v>
      </c>
      <c r="C1079" s="19"/>
      <c r="D1079" s="19"/>
    </row>
    <row r="1080" spans="1:4" x14ac:dyDescent="0.25">
      <c r="A1080" t="s">
        <v>408</v>
      </c>
      <c r="B1080" t="s">
        <v>1007</v>
      </c>
      <c r="C1080" s="19"/>
      <c r="D1080" s="19"/>
    </row>
    <row r="1081" spans="1:4" x14ac:dyDescent="0.25">
      <c r="A1081" t="s">
        <v>409</v>
      </c>
      <c r="B1081" t="s">
        <v>1011</v>
      </c>
      <c r="C1081" s="19"/>
      <c r="D1081" s="19"/>
    </row>
    <row r="1082" spans="1:4" x14ac:dyDescent="0.25">
      <c r="A1082" t="s">
        <v>410</v>
      </c>
      <c r="B1082" t="s">
        <v>1013</v>
      </c>
      <c r="C1082" s="19"/>
      <c r="D1082" s="19"/>
    </row>
    <row r="1083" spans="1:4" x14ac:dyDescent="0.25">
      <c r="A1083" t="s">
        <v>410</v>
      </c>
      <c r="B1083" t="s">
        <v>1023</v>
      </c>
      <c r="C1083" s="19"/>
      <c r="D1083" s="19"/>
    </row>
    <row r="1084" spans="1:4" x14ac:dyDescent="0.25">
      <c r="A1084" t="s">
        <v>410</v>
      </c>
      <c r="B1084" t="s">
        <v>1030</v>
      </c>
      <c r="C1084" s="19"/>
      <c r="D1084" s="19"/>
    </row>
    <row r="1085" spans="1:4" x14ac:dyDescent="0.25">
      <c r="A1085" t="s">
        <v>411</v>
      </c>
      <c r="B1085" t="s">
        <v>1017</v>
      </c>
      <c r="C1085" s="19"/>
      <c r="D1085" s="19"/>
    </row>
    <row r="1086" spans="1:4" x14ac:dyDescent="0.25">
      <c r="A1086" t="s">
        <v>411</v>
      </c>
      <c r="B1086" t="s">
        <v>1015</v>
      </c>
      <c r="C1086" s="19"/>
      <c r="D1086" s="19"/>
    </row>
    <row r="1087" spans="1:4" x14ac:dyDescent="0.25">
      <c r="A1087" t="s">
        <v>412</v>
      </c>
      <c r="B1087" t="s">
        <v>1022</v>
      </c>
      <c r="C1087" s="19"/>
      <c r="D1087" s="19"/>
    </row>
    <row r="1088" spans="1:4" x14ac:dyDescent="0.25">
      <c r="A1088" t="s">
        <v>412</v>
      </c>
      <c r="B1088" t="s">
        <v>988</v>
      </c>
      <c r="C1088" s="19"/>
      <c r="D1088" s="19"/>
    </row>
    <row r="1089" spans="1:4" x14ac:dyDescent="0.25">
      <c r="A1089" t="s">
        <v>412</v>
      </c>
      <c r="B1089" t="s">
        <v>1019</v>
      </c>
      <c r="C1089" s="19"/>
      <c r="D1089" s="19"/>
    </row>
    <row r="1090" spans="1:4" x14ac:dyDescent="0.25">
      <c r="A1090" t="s">
        <v>412</v>
      </c>
      <c r="B1090" t="s">
        <v>999</v>
      </c>
      <c r="C1090" s="19"/>
      <c r="D1090" s="19"/>
    </row>
    <row r="1091" spans="1:4" x14ac:dyDescent="0.25">
      <c r="A1091" t="s">
        <v>412</v>
      </c>
      <c r="B1091" t="s">
        <v>1040</v>
      </c>
      <c r="C1091" s="19"/>
      <c r="D1091" s="19"/>
    </row>
    <row r="1092" spans="1:4" x14ac:dyDescent="0.25">
      <c r="A1092" t="s">
        <v>413</v>
      </c>
      <c r="B1092" t="s">
        <v>1012</v>
      </c>
      <c r="C1092" s="19"/>
      <c r="D1092" s="19"/>
    </row>
    <row r="1093" spans="1:4" x14ac:dyDescent="0.25">
      <c r="A1093" t="s">
        <v>413</v>
      </c>
      <c r="B1093" t="s">
        <v>995</v>
      </c>
      <c r="C1093" s="19"/>
      <c r="D1093" s="19"/>
    </row>
    <row r="1094" spans="1:4" x14ac:dyDescent="0.25">
      <c r="A1094" t="s">
        <v>413</v>
      </c>
      <c r="B1094" t="s">
        <v>1028</v>
      </c>
      <c r="C1094" s="19"/>
      <c r="D1094" s="19"/>
    </row>
    <row r="1095" spans="1:4" x14ac:dyDescent="0.25">
      <c r="A1095" t="s">
        <v>414</v>
      </c>
      <c r="B1095" t="s">
        <v>1027</v>
      </c>
      <c r="C1095" s="19"/>
      <c r="D1095" s="19"/>
    </row>
    <row r="1096" spans="1:4" x14ac:dyDescent="0.25">
      <c r="A1096" t="s">
        <v>414</v>
      </c>
      <c r="B1096" t="s">
        <v>976</v>
      </c>
      <c r="C1096" s="19"/>
      <c r="D1096" s="19"/>
    </row>
    <row r="1097" spans="1:4" x14ac:dyDescent="0.25">
      <c r="A1097" t="s">
        <v>414</v>
      </c>
      <c r="B1097" t="s">
        <v>977</v>
      </c>
      <c r="C1097" s="19"/>
      <c r="D1097" s="19"/>
    </row>
    <row r="1098" spans="1:4" x14ac:dyDescent="0.25">
      <c r="A1098" t="s">
        <v>414</v>
      </c>
      <c r="B1098" t="s">
        <v>1029</v>
      </c>
      <c r="C1098" s="19"/>
      <c r="D1098" s="19"/>
    </row>
    <row r="1099" spans="1:4" x14ac:dyDescent="0.25">
      <c r="A1099" t="s">
        <v>414</v>
      </c>
      <c r="B1099" t="s">
        <v>979</v>
      </c>
      <c r="C1099" s="19"/>
      <c r="D1099" s="19"/>
    </row>
    <row r="1100" spans="1:4" x14ac:dyDescent="0.25">
      <c r="A1100" t="s">
        <v>414</v>
      </c>
      <c r="B1100" t="s">
        <v>993</v>
      </c>
      <c r="C1100" s="19"/>
      <c r="D1100" s="19"/>
    </row>
    <row r="1101" spans="1:4" x14ac:dyDescent="0.25">
      <c r="A1101" t="s">
        <v>414</v>
      </c>
      <c r="B1101" t="s">
        <v>989</v>
      </c>
      <c r="C1101" s="19"/>
      <c r="D1101" s="19"/>
    </row>
    <row r="1102" spans="1:4" x14ac:dyDescent="0.25">
      <c r="A1102" t="s">
        <v>414</v>
      </c>
      <c r="B1102" t="s">
        <v>987</v>
      </c>
      <c r="C1102" s="19"/>
      <c r="D1102" s="19"/>
    </row>
    <row r="1103" spans="1:4" x14ac:dyDescent="0.25">
      <c r="A1103" t="s">
        <v>415</v>
      </c>
      <c r="B1103" t="s">
        <v>985</v>
      </c>
      <c r="C1103" s="19"/>
      <c r="D1103" s="19"/>
    </row>
    <row r="1104" spans="1:4" x14ac:dyDescent="0.25">
      <c r="A1104" t="s">
        <v>416</v>
      </c>
      <c r="B1104" t="s">
        <v>1050</v>
      </c>
      <c r="C1104" s="19"/>
      <c r="D1104" s="19"/>
    </row>
    <row r="1105" spans="1:4" x14ac:dyDescent="0.25">
      <c r="A1105" t="s">
        <v>416</v>
      </c>
      <c r="B1105" t="s">
        <v>1047</v>
      </c>
      <c r="C1105" s="19"/>
      <c r="D1105" s="19"/>
    </row>
    <row r="1106" spans="1:4" x14ac:dyDescent="0.25">
      <c r="A1106" t="s">
        <v>417</v>
      </c>
      <c r="B1106" t="s">
        <v>1008</v>
      </c>
      <c r="C1106" s="19"/>
      <c r="D1106" s="19"/>
    </row>
    <row r="1107" spans="1:4" x14ac:dyDescent="0.25">
      <c r="A1107" t="s">
        <v>417</v>
      </c>
      <c r="B1107" t="s">
        <v>1037</v>
      </c>
      <c r="C1107" s="19"/>
      <c r="D1107" s="19"/>
    </row>
    <row r="1108" spans="1:4" x14ac:dyDescent="0.25">
      <c r="A1108" t="s">
        <v>418</v>
      </c>
      <c r="B1108" t="s">
        <v>974</v>
      </c>
      <c r="C1108" s="19"/>
      <c r="D1108" s="19"/>
    </row>
    <row r="1109" spans="1:4" x14ac:dyDescent="0.25">
      <c r="A1109" t="s">
        <v>418</v>
      </c>
      <c r="B1109" t="s">
        <v>978</v>
      </c>
      <c r="C1109" s="19"/>
      <c r="D1109" s="19"/>
    </row>
    <row r="1110" spans="1:4" x14ac:dyDescent="0.25">
      <c r="A1110" t="s">
        <v>418</v>
      </c>
      <c r="B1110" t="s">
        <v>973</v>
      </c>
      <c r="C1110" s="19"/>
      <c r="D1110" s="19"/>
    </row>
    <row r="1111" spans="1:4" x14ac:dyDescent="0.25">
      <c r="A1111" t="s">
        <v>419</v>
      </c>
      <c r="B1111" t="s">
        <v>974</v>
      </c>
      <c r="C1111" s="19"/>
      <c r="D1111" s="19"/>
    </row>
    <row r="1112" spans="1:4" x14ac:dyDescent="0.25">
      <c r="A1112" t="s">
        <v>419</v>
      </c>
      <c r="B1112" t="s">
        <v>978</v>
      </c>
      <c r="C1112" s="19"/>
      <c r="D1112" s="19"/>
    </row>
    <row r="1113" spans="1:4" x14ac:dyDescent="0.25">
      <c r="A1113" t="s">
        <v>419</v>
      </c>
      <c r="B1113" t="s">
        <v>973</v>
      </c>
      <c r="C1113" s="19"/>
      <c r="D1113" s="19"/>
    </row>
    <row r="1114" spans="1:4" x14ac:dyDescent="0.25">
      <c r="A1114" t="s">
        <v>422</v>
      </c>
      <c r="B1114" t="s">
        <v>1033</v>
      </c>
      <c r="C1114" s="19"/>
      <c r="D1114" s="19"/>
    </row>
    <row r="1115" spans="1:4" x14ac:dyDescent="0.25">
      <c r="A1115" t="s">
        <v>422</v>
      </c>
      <c r="B1115" t="s">
        <v>1009</v>
      </c>
      <c r="C1115" s="19"/>
      <c r="D1115" s="19"/>
    </row>
    <row r="1116" spans="1:4" x14ac:dyDescent="0.25">
      <c r="A1116" t="s">
        <v>422</v>
      </c>
      <c r="B1116" t="s">
        <v>1038</v>
      </c>
      <c r="C1116" s="19"/>
      <c r="D1116" s="19"/>
    </row>
    <row r="1117" spans="1:4" x14ac:dyDescent="0.25">
      <c r="A1117" t="s">
        <v>423</v>
      </c>
      <c r="B1117" t="s">
        <v>1016</v>
      </c>
      <c r="C1117" s="19"/>
      <c r="D1117" s="19"/>
    </row>
    <row r="1118" spans="1:4" x14ac:dyDescent="0.25">
      <c r="A1118" t="s">
        <v>423</v>
      </c>
      <c r="B1118" t="s">
        <v>1049</v>
      </c>
      <c r="C1118" s="19"/>
      <c r="D1118" s="19"/>
    </row>
    <row r="1119" spans="1:4" x14ac:dyDescent="0.25">
      <c r="A1119" t="s">
        <v>423</v>
      </c>
      <c r="B1119" t="s">
        <v>1050</v>
      </c>
      <c r="C1119" s="19"/>
      <c r="D1119" s="19"/>
    </row>
    <row r="1120" spans="1:4" x14ac:dyDescent="0.25">
      <c r="A1120" t="s">
        <v>424</v>
      </c>
      <c r="B1120" t="s">
        <v>997</v>
      </c>
      <c r="C1120" s="19"/>
      <c r="D1120" s="19"/>
    </row>
    <row r="1121" spans="1:4" x14ac:dyDescent="0.25">
      <c r="A1121" t="s">
        <v>424</v>
      </c>
      <c r="B1121" t="s">
        <v>1007</v>
      </c>
      <c r="C1121" s="19"/>
      <c r="D1121" s="19"/>
    </row>
    <row r="1122" spans="1:4" x14ac:dyDescent="0.25">
      <c r="A1122" t="s">
        <v>425</v>
      </c>
      <c r="B1122" t="s">
        <v>1017</v>
      </c>
      <c r="C1122" s="19"/>
      <c r="D1122" s="19"/>
    </row>
    <row r="1123" spans="1:4" x14ac:dyDescent="0.25">
      <c r="A1123" t="s">
        <v>425</v>
      </c>
      <c r="B1123" t="s">
        <v>1015</v>
      </c>
      <c r="C1123" s="19"/>
      <c r="D1123" s="19"/>
    </row>
    <row r="1124" spans="1:4" x14ac:dyDescent="0.25">
      <c r="A1124" t="s">
        <v>426</v>
      </c>
      <c r="B1124" t="s">
        <v>1013</v>
      </c>
      <c r="C1124" s="19"/>
      <c r="D1124" s="19"/>
    </row>
    <row r="1125" spans="1:4" x14ac:dyDescent="0.25">
      <c r="A1125" t="s">
        <v>426</v>
      </c>
      <c r="B1125" t="s">
        <v>1011</v>
      </c>
      <c r="C1125" s="19"/>
      <c r="D1125" s="19"/>
    </row>
    <row r="1126" spans="1:4" x14ac:dyDescent="0.25">
      <c r="A1126" t="s">
        <v>426</v>
      </c>
      <c r="B1126" t="s">
        <v>1023</v>
      </c>
      <c r="C1126" s="19"/>
      <c r="D1126" s="19"/>
    </row>
    <row r="1127" spans="1:4" x14ac:dyDescent="0.25">
      <c r="A1127" t="s">
        <v>427</v>
      </c>
      <c r="B1127" t="s">
        <v>1004</v>
      </c>
      <c r="C1127" s="19"/>
      <c r="D1127" s="19"/>
    </row>
    <row r="1128" spans="1:4" x14ac:dyDescent="0.25">
      <c r="A1128" t="s">
        <v>427</v>
      </c>
      <c r="B1128" t="s">
        <v>1025</v>
      </c>
      <c r="C1128" s="19"/>
      <c r="D1128" s="19"/>
    </row>
    <row r="1129" spans="1:4" x14ac:dyDescent="0.25">
      <c r="A1129" t="s">
        <v>428</v>
      </c>
      <c r="B1129" t="s">
        <v>1004</v>
      </c>
      <c r="C1129" s="19"/>
      <c r="D1129" s="19"/>
    </row>
    <row r="1130" spans="1:4" x14ac:dyDescent="0.25">
      <c r="A1130" t="s">
        <v>428</v>
      </c>
      <c r="B1130" t="s">
        <v>1025</v>
      </c>
      <c r="C1130" s="19"/>
      <c r="D1130" s="19"/>
    </row>
    <row r="1131" spans="1:4" x14ac:dyDescent="0.25">
      <c r="A1131" t="s">
        <v>429</v>
      </c>
      <c r="B1131" t="s">
        <v>1013</v>
      </c>
      <c r="C1131" s="19"/>
      <c r="D1131" s="19"/>
    </row>
    <row r="1132" spans="1:4" x14ac:dyDescent="0.25">
      <c r="A1132" t="s">
        <v>429</v>
      </c>
      <c r="B1132" t="s">
        <v>1011</v>
      </c>
      <c r="C1132" s="19"/>
      <c r="D1132" s="19"/>
    </row>
    <row r="1133" spans="1:4" x14ac:dyDescent="0.25">
      <c r="A1133" t="s">
        <v>429</v>
      </c>
      <c r="B1133" t="s">
        <v>1023</v>
      </c>
      <c r="C1133" s="19"/>
      <c r="D1133" s="19"/>
    </row>
    <row r="1134" spans="1:4" x14ac:dyDescent="0.25">
      <c r="A1134" t="s">
        <v>430</v>
      </c>
      <c r="B1134" t="s">
        <v>1017</v>
      </c>
      <c r="C1134" s="19"/>
      <c r="D1134" s="19"/>
    </row>
    <row r="1135" spans="1:4" x14ac:dyDescent="0.25">
      <c r="A1135" t="s">
        <v>430</v>
      </c>
      <c r="B1135" t="s">
        <v>1015</v>
      </c>
      <c r="C1135" s="19"/>
      <c r="D1135" s="19"/>
    </row>
    <row r="1136" spans="1:4" x14ac:dyDescent="0.25">
      <c r="A1136" t="s">
        <v>431</v>
      </c>
      <c r="B1136" t="s">
        <v>1022</v>
      </c>
      <c r="C1136" s="19"/>
      <c r="D1136" s="19"/>
    </row>
    <row r="1137" spans="1:4" x14ac:dyDescent="0.25">
      <c r="A1137" t="s">
        <v>431</v>
      </c>
      <c r="B1137" t="s">
        <v>1019</v>
      </c>
      <c r="C1137" s="19"/>
      <c r="D1137" s="19"/>
    </row>
    <row r="1138" spans="1:4" x14ac:dyDescent="0.25">
      <c r="A1138" t="s">
        <v>431</v>
      </c>
      <c r="B1138" t="s">
        <v>988</v>
      </c>
      <c r="C1138" s="19"/>
      <c r="D1138" s="19"/>
    </row>
    <row r="1139" spans="1:4" x14ac:dyDescent="0.25">
      <c r="A1139" t="s">
        <v>431</v>
      </c>
      <c r="B1139" t="s">
        <v>1026</v>
      </c>
      <c r="C1139" s="19"/>
      <c r="D1139" s="19"/>
    </row>
    <row r="1140" spans="1:4" x14ac:dyDescent="0.25">
      <c r="A1140" t="s">
        <v>431</v>
      </c>
      <c r="B1140" t="s">
        <v>986</v>
      </c>
      <c r="C1140" s="19"/>
      <c r="D1140" s="19"/>
    </row>
    <row r="1141" spans="1:4" x14ac:dyDescent="0.25">
      <c r="A1141" t="s">
        <v>431</v>
      </c>
      <c r="B1141" t="s">
        <v>1040</v>
      </c>
      <c r="C1141" s="19"/>
      <c r="D1141" s="19"/>
    </row>
    <row r="1142" spans="1:4" x14ac:dyDescent="0.25">
      <c r="A1142" t="s">
        <v>432</v>
      </c>
      <c r="B1142" t="s">
        <v>995</v>
      </c>
      <c r="C1142" s="19"/>
      <c r="D1142" s="19"/>
    </row>
    <row r="1143" spans="1:4" x14ac:dyDescent="0.25">
      <c r="A1143" t="s">
        <v>432</v>
      </c>
      <c r="B1143" t="s">
        <v>1012</v>
      </c>
      <c r="C1143" s="19"/>
      <c r="D1143" s="19"/>
    </row>
    <row r="1144" spans="1:4" x14ac:dyDescent="0.25">
      <c r="A1144" t="s">
        <v>432</v>
      </c>
      <c r="B1144" t="s">
        <v>1028</v>
      </c>
      <c r="C1144" s="19"/>
      <c r="D1144" s="19"/>
    </row>
    <row r="1145" spans="1:4" x14ac:dyDescent="0.25">
      <c r="A1145" t="s">
        <v>433</v>
      </c>
      <c r="B1145" t="s">
        <v>979</v>
      </c>
      <c r="C1145" s="19"/>
      <c r="D1145" s="19"/>
    </row>
    <row r="1146" spans="1:4" x14ac:dyDescent="0.25">
      <c r="A1146" t="s">
        <v>433</v>
      </c>
      <c r="B1146" t="s">
        <v>977</v>
      </c>
      <c r="C1146" s="19"/>
      <c r="D1146" s="19"/>
    </row>
    <row r="1147" spans="1:4" x14ac:dyDescent="0.25">
      <c r="A1147" t="s">
        <v>433</v>
      </c>
      <c r="B1147" t="s">
        <v>987</v>
      </c>
      <c r="C1147" s="19"/>
      <c r="D1147" s="19"/>
    </row>
    <row r="1148" spans="1:4" x14ac:dyDescent="0.25">
      <c r="A1148" t="s">
        <v>433</v>
      </c>
      <c r="B1148" t="s">
        <v>1027</v>
      </c>
      <c r="C1148" s="19"/>
      <c r="D1148" s="19"/>
    </row>
    <row r="1149" spans="1:4" x14ac:dyDescent="0.25">
      <c r="A1149" t="s">
        <v>433</v>
      </c>
      <c r="B1149" t="s">
        <v>989</v>
      </c>
      <c r="C1149" s="19"/>
      <c r="D1149" s="19"/>
    </row>
    <row r="1150" spans="1:4" x14ac:dyDescent="0.25">
      <c r="A1150" t="s">
        <v>433</v>
      </c>
      <c r="B1150" t="s">
        <v>993</v>
      </c>
      <c r="C1150" s="19"/>
      <c r="D1150" s="19"/>
    </row>
    <row r="1151" spans="1:4" x14ac:dyDescent="0.25">
      <c r="A1151" t="s">
        <v>436</v>
      </c>
      <c r="B1151" t="s">
        <v>980</v>
      </c>
      <c r="C1151" s="19"/>
      <c r="D1151" s="19"/>
    </row>
    <row r="1152" spans="1:4" x14ac:dyDescent="0.25">
      <c r="A1152" t="s">
        <v>437</v>
      </c>
      <c r="B1152" t="s">
        <v>1047</v>
      </c>
      <c r="C1152" s="19"/>
      <c r="D1152" s="19"/>
    </row>
    <row r="1153" spans="1:4" x14ac:dyDescent="0.25">
      <c r="A1153" t="s">
        <v>437</v>
      </c>
      <c r="B1153" t="s">
        <v>983</v>
      </c>
      <c r="C1153" s="19"/>
      <c r="D1153" s="19"/>
    </row>
    <row r="1154" spans="1:4" x14ac:dyDescent="0.25">
      <c r="A1154" t="s">
        <v>438</v>
      </c>
      <c r="B1154" t="s">
        <v>976</v>
      </c>
      <c r="C1154" s="19"/>
      <c r="D1154" s="19"/>
    </row>
    <row r="1155" spans="1:4" x14ac:dyDescent="0.25">
      <c r="A1155" t="s">
        <v>438</v>
      </c>
      <c r="B1155" t="s">
        <v>1008</v>
      </c>
      <c r="C1155" s="19"/>
      <c r="D1155" s="19"/>
    </row>
    <row r="1156" spans="1:4" x14ac:dyDescent="0.25">
      <c r="A1156" t="s">
        <v>438</v>
      </c>
      <c r="B1156" t="s">
        <v>1037</v>
      </c>
      <c r="C1156" s="19"/>
      <c r="D1156" s="19"/>
    </row>
    <row r="1157" spans="1:4" x14ac:dyDescent="0.25">
      <c r="A1157" t="s">
        <v>439</v>
      </c>
      <c r="B1157" t="s">
        <v>985</v>
      </c>
      <c r="C1157" s="19"/>
      <c r="D1157" s="19"/>
    </row>
    <row r="1158" spans="1:4" x14ac:dyDescent="0.25">
      <c r="A1158" t="s">
        <v>439</v>
      </c>
      <c r="B1158" t="s">
        <v>1029</v>
      </c>
      <c r="C1158" s="19"/>
      <c r="D1158" s="19"/>
    </row>
    <row r="1159" spans="1:4" x14ac:dyDescent="0.25">
      <c r="A1159" t="s">
        <v>439</v>
      </c>
      <c r="B1159" t="s">
        <v>980</v>
      </c>
      <c r="C1159" s="19"/>
      <c r="D1159" s="19"/>
    </row>
    <row r="1160" spans="1:4" x14ac:dyDescent="0.25">
      <c r="A1160" t="s">
        <v>440</v>
      </c>
      <c r="B1160" t="s">
        <v>974</v>
      </c>
      <c r="C1160" s="19"/>
      <c r="D1160" s="19"/>
    </row>
    <row r="1161" spans="1:4" x14ac:dyDescent="0.25">
      <c r="A1161" t="s">
        <v>440</v>
      </c>
      <c r="B1161" t="s">
        <v>973</v>
      </c>
      <c r="C1161" s="19"/>
      <c r="D1161" s="19"/>
    </row>
    <row r="1162" spans="1:4" x14ac:dyDescent="0.25">
      <c r="A1162" t="s">
        <v>440</v>
      </c>
      <c r="B1162" t="s">
        <v>978</v>
      </c>
      <c r="C1162" s="19"/>
      <c r="D1162" s="19"/>
    </row>
    <row r="1163" spans="1:4" x14ac:dyDescent="0.25">
      <c r="A1163" t="s">
        <v>442</v>
      </c>
      <c r="B1163" t="s">
        <v>985</v>
      </c>
      <c r="C1163" s="19"/>
      <c r="D1163" s="19"/>
    </row>
    <row r="1164" spans="1:4" x14ac:dyDescent="0.25">
      <c r="A1164" t="s">
        <v>442</v>
      </c>
      <c r="B1164" t="s">
        <v>1008</v>
      </c>
      <c r="C1164" s="19"/>
      <c r="D1164" s="19"/>
    </row>
    <row r="1165" spans="1:4" x14ac:dyDescent="0.25">
      <c r="A1165" t="s">
        <v>442</v>
      </c>
      <c r="B1165" t="s">
        <v>976</v>
      </c>
      <c r="C1165" s="19"/>
      <c r="D1165" s="19"/>
    </row>
    <row r="1166" spans="1:4" x14ac:dyDescent="0.25">
      <c r="A1166" t="s">
        <v>442</v>
      </c>
      <c r="B1166" t="s">
        <v>1029</v>
      </c>
      <c r="C1166" s="19"/>
      <c r="D1166" s="19"/>
    </row>
    <row r="1167" spans="1:4" x14ac:dyDescent="0.25">
      <c r="A1167" t="s">
        <v>442</v>
      </c>
      <c r="B1167" t="s">
        <v>980</v>
      </c>
      <c r="C1167" s="19"/>
      <c r="D1167" s="19"/>
    </row>
    <row r="1168" spans="1:4" x14ac:dyDescent="0.25">
      <c r="A1168" t="s">
        <v>442</v>
      </c>
      <c r="B1168" t="s">
        <v>1037</v>
      </c>
      <c r="C1168" s="19"/>
      <c r="D1168" s="19"/>
    </row>
    <row r="1169" spans="1:4" x14ac:dyDescent="0.25">
      <c r="A1169" t="s">
        <v>443</v>
      </c>
      <c r="B1169" t="s">
        <v>979</v>
      </c>
      <c r="C1169" s="19"/>
      <c r="D1169" s="19"/>
    </row>
    <row r="1170" spans="1:4" x14ac:dyDescent="0.25">
      <c r="A1170" t="s">
        <v>443</v>
      </c>
      <c r="B1170" t="s">
        <v>977</v>
      </c>
      <c r="C1170" s="19"/>
      <c r="D1170" s="19"/>
    </row>
    <row r="1171" spans="1:4" x14ac:dyDescent="0.25">
      <c r="A1171" t="s">
        <v>443</v>
      </c>
      <c r="B1171" t="s">
        <v>987</v>
      </c>
      <c r="C1171" s="19"/>
      <c r="D1171" s="19"/>
    </row>
    <row r="1172" spans="1:4" x14ac:dyDescent="0.25">
      <c r="A1172" t="s">
        <v>443</v>
      </c>
      <c r="B1172" t="s">
        <v>1027</v>
      </c>
      <c r="C1172" s="19"/>
      <c r="D1172" s="19"/>
    </row>
    <row r="1173" spans="1:4" x14ac:dyDescent="0.25">
      <c r="A1173" t="s">
        <v>443</v>
      </c>
      <c r="B1173" t="s">
        <v>989</v>
      </c>
      <c r="C1173" s="19"/>
      <c r="D1173" s="19"/>
    </row>
    <row r="1174" spans="1:4" x14ac:dyDescent="0.25">
      <c r="A1174" t="s">
        <v>446</v>
      </c>
      <c r="B1174" t="s">
        <v>974</v>
      </c>
      <c r="C1174" s="19"/>
      <c r="D1174" s="19"/>
    </row>
    <row r="1175" spans="1:4" x14ac:dyDescent="0.25">
      <c r="A1175" t="s">
        <v>446</v>
      </c>
      <c r="B1175" t="s">
        <v>973</v>
      </c>
      <c r="C1175" s="19"/>
      <c r="D1175" s="19"/>
    </row>
    <row r="1176" spans="1:4" x14ac:dyDescent="0.25">
      <c r="A1176" t="s">
        <v>446</v>
      </c>
      <c r="B1176" t="s">
        <v>978</v>
      </c>
      <c r="C1176" s="19"/>
      <c r="D1176" s="19"/>
    </row>
    <row r="1177" spans="1:4" x14ac:dyDescent="0.25">
      <c r="A1177" t="s">
        <v>447</v>
      </c>
      <c r="B1177" t="s">
        <v>1016</v>
      </c>
      <c r="C1177" s="19"/>
      <c r="D1177" s="19"/>
    </row>
    <row r="1178" spans="1:4" x14ac:dyDescent="0.25">
      <c r="A1178" t="s">
        <v>447</v>
      </c>
      <c r="B1178" t="s">
        <v>1049</v>
      </c>
      <c r="C1178" s="19"/>
      <c r="D1178" s="19"/>
    </row>
    <row r="1179" spans="1:4" x14ac:dyDescent="0.25">
      <c r="A1179" t="s">
        <v>447</v>
      </c>
      <c r="B1179" t="s">
        <v>1050</v>
      </c>
      <c r="C1179" s="19"/>
      <c r="D1179" s="19"/>
    </row>
    <row r="1180" spans="1:4" x14ac:dyDescent="0.25">
      <c r="A1180" t="s">
        <v>448</v>
      </c>
      <c r="B1180" t="s">
        <v>1009</v>
      </c>
      <c r="C1180" s="19"/>
      <c r="D1180" s="19"/>
    </row>
    <row r="1181" spans="1:4" x14ac:dyDescent="0.25">
      <c r="A1181" t="s">
        <v>448</v>
      </c>
      <c r="B1181" t="s">
        <v>1033</v>
      </c>
      <c r="C1181" s="19"/>
      <c r="D1181" s="19"/>
    </row>
    <row r="1182" spans="1:4" x14ac:dyDescent="0.25">
      <c r="A1182" t="s">
        <v>448</v>
      </c>
      <c r="B1182" t="s">
        <v>1038</v>
      </c>
      <c r="C1182" s="19"/>
      <c r="D1182" s="19"/>
    </row>
    <row r="1183" spans="1:4" x14ac:dyDescent="0.25">
      <c r="A1183" t="s">
        <v>449</v>
      </c>
      <c r="B1183" t="s">
        <v>1007</v>
      </c>
      <c r="C1183" s="19"/>
      <c r="D1183" s="19"/>
    </row>
    <row r="1184" spans="1:4" x14ac:dyDescent="0.25">
      <c r="A1184" t="s">
        <v>449</v>
      </c>
      <c r="B1184" t="s">
        <v>997</v>
      </c>
      <c r="C1184" s="19"/>
      <c r="D1184" s="19"/>
    </row>
    <row r="1185" spans="1:4" x14ac:dyDescent="0.25">
      <c r="A1185" t="s">
        <v>450</v>
      </c>
      <c r="B1185" t="s">
        <v>1001</v>
      </c>
      <c r="C1185" s="19"/>
      <c r="D1185" s="19"/>
    </row>
    <row r="1186" spans="1:4" x14ac:dyDescent="0.25">
      <c r="A1186" t="s">
        <v>451</v>
      </c>
      <c r="B1186" t="s">
        <v>1030</v>
      </c>
      <c r="C1186" s="19"/>
      <c r="D1186" s="19"/>
    </row>
    <row r="1187" spans="1:4" x14ac:dyDescent="0.25">
      <c r="A1187" t="s">
        <v>451</v>
      </c>
      <c r="B1187" t="s">
        <v>1017</v>
      </c>
      <c r="C1187" s="19"/>
      <c r="D1187" s="19"/>
    </row>
    <row r="1188" spans="1:4" x14ac:dyDescent="0.25">
      <c r="A1188" t="s">
        <v>451</v>
      </c>
      <c r="B1188" t="s">
        <v>1015</v>
      </c>
      <c r="C1188" s="19"/>
      <c r="D1188" s="19"/>
    </row>
    <row r="1189" spans="1:4" x14ac:dyDescent="0.25">
      <c r="A1189" t="s">
        <v>451</v>
      </c>
      <c r="B1189" t="s">
        <v>1025</v>
      </c>
      <c r="C1189" s="19"/>
      <c r="D1189" s="19"/>
    </row>
    <row r="1190" spans="1:4" x14ac:dyDescent="0.25">
      <c r="A1190" t="s">
        <v>452</v>
      </c>
      <c r="B1190" t="s">
        <v>1013</v>
      </c>
      <c r="C1190" s="19"/>
      <c r="D1190" s="19"/>
    </row>
    <row r="1191" spans="1:4" x14ac:dyDescent="0.25">
      <c r="A1191" t="s">
        <v>452</v>
      </c>
      <c r="B1191" t="s">
        <v>1011</v>
      </c>
      <c r="C1191" s="19"/>
      <c r="D1191" s="19"/>
    </row>
    <row r="1192" spans="1:4" x14ac:dyDescent="0.25">
      <c r="A1192" t="s">
        <v>452</v>
      </c>
      <c r="B1192" t="s">
        <v>1023</v>
      </c>
      <c r="C1192" s="19"/>
      <c r="D1192" s="19"/>
    </row>
    <row r="1193" spans="1:4" x14ac:dyDescent="0.25">
      <c r="A1193" t="s">
        <v>453</v>
      </c>
      <c r="B1193" t="s">
        <v>1004</v>
      </c>
      <c r="C1193" s="19"/>
      <c r="D1193" s="19"/>
    </row>
    <row r="1194" spans="1:4" x14ac:dyDescent="0.25">
      <c r="A1194" t="s">
        <v>454</v>
      </c>
      <c r="B1194" t="s">
        <v>1033</v>
      </c>
      <c r="C1194" s="19"/>
      <c r="D1194" s="19"/>
    </row>
    <row r="1195" spans="1:4" x14ac:dyDescent="0.25">
      <c r="A1195" t="s">
        <v>454</v>
      </c>
      <c r="B1195" t="s">
        <v>1009</v>
      </c>
      <c r="C1195" s="19"/>
      <c r="D1195" s="19"/>
    </row>
    <row r="1196" spans="1:4" x14ac:dyDescent="0.25">
      <c r="A1196" t="s">
        <v>454</v>
      </c>
      <c r="B1196" t="s">
        <v>1038</v>
      </c>
      <c r="C1196" s="19"/>
      <c r="D1196" s="19"/>
    </row>
    <row r="1197" spans="1:4" x14ac:dyDescent="0.25">
      <c r="A1197" t="s">
        <v>455</v>
      </c>
      <c r="B1197" t="s">
        <v>1022</v>
      </c>
      <c r="C1197" s="19"/>
      <c r="D1197" s="19"/>
    </row>
    <row r="1198" spans="1:4" x14ac:dyDescent="0.25">
      <c r="A1198" t="s">
        <v>455</v>
      </c>
      <c r="B1198" t="s">
        <v>1019</v>
      </c>
      <c r="C1198" s="19"/>
      <c r="D1198" s="19"/>
    </row>
    <row r="1199" spans="1:4" x14ac:dyDescent="0.25">
      <c r="A1199" t="s">
        <v>455</v>
      </c>
      <c r="B1199" t="s">
        <v>1026</v>
      </c>
      <c r="C1199" s="19"/>
      <c r="D1199" s="19"/>
    </row>
    <row r="1200" spans="1:4" x14ac:dyDescent="0.25">
      <c r="A1200" t="s">
        <v>455</v>
      </c>
      <c r="B1200" t="s">
        <v>999</v>
      </c>
      <c r="C1200" s="19"/>
      <c r="D1200" s="19"/>
    </row>
    <row r="1201" spans="1:4" x14ac:dyDescent="0.25">
      <c r="A1201" t="s">
        <v>455</v>
      </c>
      <c r="B1201" t="s">
        <v>1028</v>
      </c>
      <c r="C1201" s="19"/>
      <c r="D1201" s="19"/>
    </row>
    <row r="1202" spans="1:4" x14ac:dyDescent="0.25">
      <c r="A1202" t="s">
        <v>455</v>
      </c>
      <c r="B1202" t="s">
        <v>995</v>
      </c>
      <c r="C1202" s="19"/>
      <c r="D1202" s="19"/>
    </row>
    <row r="1203" spans="1:4" x14ac:dyDescent="0.25">
      <c r="A1203" t="s">
        <v>455</v>
      </c>
      <c r="B1203" t="s">
        <v>1012</v>
      </c>
      <c r="C1203" s="19"/>
      <c r="D1203" s="19"/>
    </row>
    <row r="1204" spans="1:4" x14ac:dyDescent="0.25">
      <c r="A1204" t="s">
        <v>455</v>
      </c>
      <c r="B1204" t="s">
        <v>986</v>
      </c>
      <c r="C1204" s="19"/>
      <c r="D1204" s="19"/>
    </row>
    <row r="1205" spans="1:4" x14ac:dyDescent="0.25">
      <c r="A1205" t="s">
        <v>455</v>
      </c>
      <c r="B1205" t="s">
        <v>1040</v>
      </c>
      <c r="C1205" s="19"/>
      <c r="D1205" s="19"/>
    </row>
    <row r="1206" spans="1:4" x14ac:dyDescent="0.25">
      <c r="A1206" t="s">
        <v>456</v>
      </c>
      <c r="B1206" t="s">
        <v>983</v>
      </c>
      <c r="C1206" s="19"/>
      <c r="D1206" s="19"/>
    </row>
    <row r="1207" spans="1:4" x14ac:dyDescent="0.25">
      <c r="A1207" t="s">
        <v>456</v>
      </c>
      <c r="B1207" t="s">
        <v>1047</v>
      </c>
      <c r="C1207" s="19"/>
      <c r="D1207" s="19"/>
    </row>
    <row r="1208" spans="1:4" x14ac:dyDescent="0.25">
      <c r="A1208" t="s">
        <v>456</v>
      </c>
      <c r="B1208" t="s">
        <v>978</v>
      </c>
      <c r="C1208" s="19"/>
      <c r="D1208" s="19"/>
    </row>
    <row r="1209" spans="1:4" x14ac:dyDescent="0.25">
      <c r="A1209" t="s">
        <v>457</v>
      </c>
      <c r="B1209" t="s">
        <v>980</v>
      </c>
      <c r="C1209" s="19"/>
      <c r="D1209" s="19"/>
    </row>
    <row r="1210" spans="1:4" x14ac:dyDescent="0.25">
      <c r="A1210" t="s">
        <v>458</v>
      </c>
      <c r="B1210" t="s">
        <v>987</v>
      </c>
      <c r="C1210" s="19"/>
      <c r="D1210" s="19"/>
    </row>
    <row r="1211" spans="1:4" x14ac:dyDescent="0.25">
      <c r="A1211" t="s">
        <v>458</v>
      </c>
      <c r="B1211" t="s">
        <v>989</v>
      </c>
      <c r="C1211" s="19"/>
      <c r="D1211" s="19"/>
    </row>
    <row r="1212" spans="1:4" x14ac:dyDescent="0.25">
      <c r="A1212" t="s">
        <v>458</v>
      </c>
      <c r="B1212" t="s">
        <v>1027</v>
      </c>
      <c r="C1212" s="19"/>
      <c r="D1212" s="19"/>
    </row>
    <row r="1213" spans="1:4" x14ac:dyDescent="0.25">
      <c r="A1213" t="s">
        <v>458</v>
      </c>
      <c r="B1213" t="s">
        <v>977</v>
      </c>
      <c r="C1213" s="19"/>
      <c r="D1213" s="19"/>
    </row>
    <row r="1214" spans="1:4" x14ac:dyDescent="0.25">
      <c r="A1214" t="s">
        <v>459</v>
      </c>
      <c r="B1214" t="s">
        <v>976</v>
      </c>
      <c r="C1214" s="19"/>
      <c r="D1214" s="19"/>
    </row>
    <row r="1215" spans="1:4" x14ac:dyDescent="0.25">
      <c r="A1215" t="s">
        <v>459</v>
      </c>
      <c r="B1215" t="s">
        <v>993</v>
      </c>
      <c r="C1215" s="19"/>
      <c r="D1215" s="19"/>
    </row>
    <row r="1216" spans="1:4" x14ac:dyDescent="0.25">
      <c r="A1216" t="s">
        <v>459</v>
      </c>
      <c r="B1216" t="s">
        <v>985</v>
      </c>
      <c r="C1216" s="19"/>
      <c r="D1216" s="19"/>
    </row>
    <row r="1217" spans="1:4" x14ac:dyDescent="0.25">
      <c r="A1217" t="s">
        <v>459</v>
      </c>
      <c r="B1217" t="s">
        <v>1008</v>
      </c>
      <c r="C1217" s="19"/>
      <c r="D1217" s="19"/>
    </row>
    <row r="1218" spans="1:4" x14ac:dyDescent="0.25">
      <c r="A1218" t="s">
        <v>459</v>
      </c>
      <c r="B1218" t="s">
        <v>1037</v>
      </c>
      <c r="C1218" s="19"/>
      <c r="D1218" s="19"/>
    </row>
    <row r="1219" spans="1:4" x14ac:dyDescent="0.25">
      <c r="A1219" t="s">
        <v>462</v>
      </c>
      <c r="B1219" t="s">
        <v>973</v>
      </c>
      <c r="C1219" s="19"/>
      <c r="D1219" s="19"/>
    </row>
    <row r="1220" spans="1:4" x14ac:dyDescent="0.25">
      <c r="A1220" t="s">
        <v>462</v>
      </c>
      <c r="B1220" t="s">
        <v>1016</v>
      </c>
      <c r="C1220" s="19"/>
      <c r="D1220" s="19"/>
    </row>
    <row r="1221" spans="1:4" x14ac:dyDescent="0.25">
      <c r="A1221" t="s">
        <v>463</v>
      </c>
      <c r="B1221" t="s">
        <v>974</v>
      </c>
      <c r="C1221" s="19"/>
      <c r="D1221" s="19"/>
    </row>
    <row r="1222" spans="1:4" x14ac:dyDescent="0.25">
      <c r="A1222" t="s">
        <v>463</v>
      </c>
      <c r="B1222" t="s">
        <v>978</v>
      </c>
      <c r="C1222" s="19"/>
      <c r="D1222" s="19"/>
    </row>
    <row r="1223" spans="1:4" x14ac:dyDescent="0.25">
      <c r="A1223" t="s">
        <v>463</v>
      </c>
      <c r="B1223" t="s">
        <v>983</v>
      </c>
      <c r="C1223" s="19"/>
      <c r="D1223" s="19"/>
    </row>
    <row r="1224" spans="1:4" x14ac:dyDescent="0.25">
      <c r="A1224" t="s">
        <v>463</v>
      </c>
      <c r="B1224" t="s">
        <v>1047</v>
      </c>
      <c r="C1224" s="19"/>
      <c r="D1224" s="19"/>
    </row>
    <row r="1225" spans="1:4" x14ac:dyDescent="0.25">
      <c r="A1225" t="s">
        <v>464</v>
      </c>
      <c r="B1225" t="s">
        <v>973</v>
      </c>
      <c r="C1225" s="19"/>
      <c r="D1225" s="19"/>
    </row>
    <row r="1226" spans="1:4" x14ac:dyDescent="0.25">
      <c r="A1226" t="s">
        <v>464</v>
      </c>
      <c r="B1226" t="s">
        <v>1016</v>
      </c>
      <c r="C1226" s="19"/>
      <c r="D1226" s="19"/>
    </row>
    <row r="1227" spans="1:4" x14ac:dyDescent="0.25">
      <c r="A1227" t="s">
        <v>465</v>
      </c>
      <c r="B1227" t="s">
        <v>1050</v>
      </c>
      <c r="C1227" s="19"/>
      <c r="D1227" s="19"/>
    </row>
    <row r="1228" spans="1:4" x14ac:dyDescent="0.25">
      <c r="A1228" t="s">
        <v>465</v>
      </c>
      <c r="B1228" t="s">
        <v>1049</v>
      </c>
      <c r="C1228" s="19"/>
      <c r="D1228" s="19"/>
    </row>
    <row r="1229" spans="1:4" x14ac:dyDescent="0.25">
      <c r="A1229" t="s">
        <v>465</v>
      </c>
      <c r="B1229" t="s">
        <v>1016</v>
      </c>
      <c r="C1229" s="19"/>
      <c r="D1229" s="19"/>
    </row>
    <row r="1230" spans="1:4" x14ac:dyDescent="0.25">
      <c r="A1230" t="s">
        <v>466</v>
      </c>
      <c r="B1230" t="s">
        <v>1009</v>
      </c>
      <c r="C1230" s="19"/>
      <c r="D1230" s="19"/>
    </row>
    <row r="1231" spans="1:4" x14ac:dyDescent="0.25">
      <c r="A1231" t="s">
        <v>466</v>
      </c>
      <c r="B1231" t="s">
        <v>1033</v>
      </c>
      <c r="C1231" s="19"/>
      <c r="D1231" s="19"/>
    </row>
    <row r="1232" spans="1:4" x14ac:dyDescent="0.25">
      <c r="A1232" t="s">
        <v>466</v>
      </c>
      <c r="B1232" t="s">
        <v>994</v>
      </c>
      <c r="C1232" s="19"/>
      <c r="D1232" s="19"/>
    </row>
    <row r="1233" spans="1:4" x14ac:dyDescent="0.25">
      <c r="A1233" t="s">
        <v>467</v>
      </c>
      <c r="B1233" t="s">
        <v>1001</v>
      </c>
      <c r="C1233" s="19"/>
      <c r="D1233" s="19"/>
    </row>
    <row r="1234" spans="1:4" x14ac:dyDescent="0.25">
      <c r="A1234" t="s">
        <v>467</v>
      </c>
      <c r="B1234" t="s">
        <v>997</v>
      </c>
      <c r="C1234" s="19"/>
      <c r="D1234" s="19"/>
    </row>
    <row r="1235" spans="1:4" x14ac:dyDescent="0.25">
      <c r="A1235" t="s">
        <v>467</v>
      </c>
      <c r="B1235" t="s">
        <v>1007</v>
      </c>
      <c r="C1235" s="19"/>
      <c r="D1235" s="19"/>
    </row>
    <row r="1236" spans="1:4" x14ac:dyDescent="0.25">
      <c r="A1236" t="s">
        <v>468</v>
      </c>
      <c r="B1236" t="s">
        <v>1004</v>
      </c>
      <c r="C1236" s="19"/>
      <c r="D1236" s="19"/>
    </row>
    <row r="1237" spans="1:4" x14ac:dyDescent="0.25">
      <c r="A1237" t="s">
        <v>468</v>
      </c>
      <c r="B1237" t="s">
        <v>1023</v>
      </c>
      <c r="C1237" s="19"/>
      <c r="D1237" s="19"/>
    </row>
    <row r="1238" spans="1:4" x14ac:dyDescent="0.25">
      <c r="A1238" t="s">
        <v>468</v>
      </c>
      <c r="B1238" t="s">
        <v>1011</v>
      </c>
      <c r="C1238" s="19"/>
      <c r="D1238" s="19"/>
    </row>
    <row r="1239" spans="1:4" x14ac:dyDescent="0.25">
      <c r="A1239" t="s">
        <v>468</v>
      </c>
      <c r="B1239" t="s">
        <v>1013</v>
      </c>
      <c r="C1239" s="19"/>
      <c r="D1239" s="19"/>
    </row>
    <row r="1240" spans="1:4" x14ac:dyDescent="0.25">
      <c r="A1240" t="s">
        <v>468</v>
      </c>
      <c r="B1240" t="s">
        <v>1025</v>
      </c>
      <c r="C1240" s="19"/>
      <c r="D1240" s="19"/>
    </row>
    <row r="1241" spans="1:4" x14ac:dyDescent="0.25">
      <c r="A1241" t="s">
        <v>469</v>
      </c>
      <c r="B1241" t="s">
        <v>1030</v>
      </c>
      <c r="C1241" s="19"/>
      <c r="D1241" s="19"/>
    </row>
    <row r="1242" spans="1:4" x14ac:dyDescent="0.25">
      <c r="A1242" t="s">
        <v>470</v>
      </c>
      <c r="B1242" t="s">
        <v>986</v>
      </c>
      <c r="C1242" s="19"/>
      <c r="D1242" s="19"/>
    </row>
    <row r="1243" spans="1:4" x14ac:dyDescent="0.25">
      <c r="A1243" t="s">
        <v>470</v>
      </c>
      <c r="B1243" t="s">
        <v>1047</v>
      </c>
      <c r="C1243" s="19"/>
      <c r="D1243" s="19"/>
    </row>
    <row r="1244" spans="1:4" x14ac:dyDescent="0.25">
      <c r="A1244" t="s">
        <v>471</v>
      </c>
      <c r="B1244" t="s">
        <v>995</v>
      </c>
      <c r="C1244" s="19"/>
      <c r="D1244" s="19"/>
    </row>
    <row r="1245" spans="1:4" x14ac:dyDescent="0.25">
      <c r="A1245" t="s">
        <v>472</v>
      </c>
      <c r="B1245" t="s">
        <v>999</v>
      </c>
      <c r="C1245" s="19"/>
      <c r="D1245" s="19"/>
    </row>
    <row r="1246" spans="1:4" x14ac:dyDescent="0.25">
      <c r="A1246" t="s">
        <v>472</v>
      </c>
      <c r="B1246" t="s">
        <v>1019</v>
      </c>
      <c r="C1246" s="19"/>
      <c r="D1246" s="19"/>
    </row>
    <row r="1247" spans="1:4" x14ac:dyDescent="0.25">
      <c r="A1247" t="s">
        <v>472</v>
      </c>
      <c r="B1247" t="s">
        <v>988</v>
      </c>
      <c r="C1247" s="19"/>
      <c r="D1247" s="19"/>
    </row>
    <row r="1248" spans="1:4" x14ac:dyDescent="0.25">
      <c r="A1248" t="s">
        <v>472</v>
      </c>
      <c r="B1248" t="s">
        <v>1047</v>
      </c>
      <c r="C1248" s="19"/>
      <c r="D1248" s="19"/>
    </row>
    <row r="1249" spans="1:4" x14ac:dyDescent="0.25">
      <c r="A1249" t="s">
        <v>472</v>
      </c>
      <c r="B1249" t="s">
        <v>1028</v>
      </c>
      <c r="C1249" s="19"/>
      <c r="D1249" s="19"/>
    </row>
    <row r="1250" spans="1:4" x14ac:dyDescent="0.25">
      <c r="A1250" t="s">
        <v>472</v>
      </c>
      <c r="B1250" t="s">
        <v>986</v>
      </c>
      <c r="C1250" s="19"/>
      <c r="D1250" s="19"/>
    </row>
    <row r="1251" spans="1:4" x14ac:dyDescent="0.25">
      <c r="A1251" t="s">
        <v>472</v>
      </c>
      <c r="B1251" t="s">
        <v>1026</v>
      </c>
      <c r="C1251" s="19"/>
      <c r="D1251" s="19"/>
    </row>
    <row r="1252" spans="1:4" x14ac:dyDescent="0.25">
      <c r="A1252" t="s">
        <v>603</v>
      </c>
      <c r="B1252" t="s">
        <v>999</v>
      </c>
      <c r="C1252" s="19">
        <v>0.88593155893536124</v>
      </c>
      <c r="D1252" s="19"/>
    </row>
    <row r="1253" spans="1:4" x14ac:dyDescent="0.25">
      <c r="A1253" t="s">
        <v>603</v>
      </c>
      <c r="B1253" t="s">
        <v>1012</v>
      </c>
      <c r="C1253" s="19">
        <v>0.88593155893536124</v>
      </c>
      <c r="D1253" s="19"/>
    </row>
    <row r="1254" spans="1:4" x14ac:dyDescent="0.25">
      <c r="A1254" t="s">
        <v>603</v>
      </c>
      <c r="B1254" t="s">
        <v>1005</v>
      </c>
      <c r="C1254" s="19">
        <v>0.88593155893536124</v>
      </c>
      <c r="D1254" s="19"/>
    </row>
    <row r="1255" spans="1:4" x14ac:dyDescent="0.25">
      <c r="A1255" t="s">
        <v>603</v>
      </c>
      <c r="B1255" t="s">
        <v>1019</v>
      </c>
      <c r="C1255" s="19">
        <v>0.88593155893536124</v>
      </c>
      <c r="D1255" s="19"/>
    </row>
    <row r="1256" spans="1:4" x14ac:dyDescent="0.25">
      <c r="A1256" t="s">
        <v>603</v>
      </c>
      <c r="B1256" t="s">
        <v>990</v>
      </c>
      <c r="C1256" s="19">
        <v>0.88593155893536124</v>
      </c>
      <c r="D1256" s="19"/>
    </row>
    <row r="1257" spans="1:4" x14ac:dyDescent="0.25">
      <c r="A1257" t="s">
        <v>603</v>
      </c>
      <c r="B1257" t="s">
        <v>988</v>
      </c>
      <c r="C1257" s="19">
        <v>0.88593155893536124</v>
      </c>
      <c r="D1257" s="19"/>
    </row>
    <row r="1258" spans="1:4" x14ac:dyDescent="0.25">
      <c r="A1258" t="s">
        <v>603</v>
      </c>
      <c r="B1258" t="s">
        <v>986</v>
      </c>
      <c r="C1258" s="19">
        <v>0.88593155893536124</v>
      </c>
      <c r="D1258" s="19"/>
    </row>
    <row r="1259" spans="1:4" x14ac:dyDescent="0.25">
      <c r="A1259" t="s">
        <v>604</v>
      </c>
      <c r="B1259" t="s">
        <v>1026</v>
      </c>
      <c r="C1259" s="19">
        <v>0.73157894736842111</v>
      </c>
      <c r="D1259" s="19"/>
    </row>
    <row r="1260" spans="1:4" x14ac:dyDescent="0.25">
      <c r="A1260" t="s">
        <v>604</v>
      </c>
      <c r="B1260" t="s">
        <v>995</v>
      </c>
      <c r="C1260" s="19">
        <v>0.73157894736842111</v>
      </c>
      <c r="D1260" s="19"/>
    </row>
    <row r="1261" spans="1:4" x14ac:dyDescent="0.25">
      <c r="A1261" t="s">
        <v>604</v>
      </c>
      <c r="B1261" t="s">
        <v>1028</v>
      </c>
      <c r="C1261" s="19">
        <v>0.73157894736842111</v>
      </c>
      <c r="D1261" s="19"/>
    </row>
    <row r="1262" spans="1:4" x14ac:dyDescent="0.25">
      <c r="A1262" t="s">
        <v>605</v>
      </c>
      <c r="B1262" t="s">
        <v>973</v>
      </c>
      <c r="C1262" s="19">
        <v>1.177142857142857</v>
      </c>
      <c r="D1262" s="19"/>
    </row>
    <row r="1263" spans="1:4" x14ac:dyDescent="0.25">
      <c r="A1263" t="s">
        <v>607</v>
      </c>
      <c r="B1263" t="s">
        <v>973</v>
      </c>
      <c r="C1263" s="19">
        <v>0.38333333333333336</v>
      </c>
      <c r="D1263" s="19"/>
    </row>
    <row r="1264" spans="1:4" x14ac:dyDescent="0.25">
      <c r="A1264" t="s">
        <v>608</v>
      </c>
      <c r="B1264" t="s">
        <v>993</v>
      </c>
      <c r="C1264" s="19">
        <v>0.8564593301435407</v>
      </c>
      <c r="D1264" s="19"/>
    </row>
    <row r="1265" spans="1:4" x14ac:dyDescent="0.25">
      <c r="A1265" t="s">
        <v>608</v>
      </c>
      <c r="B1265" t="s">
        <v>979</v>
      </c>
      <c r="C1265" s="19">
        <v>0.8564593301435407</v>
      </c>
      <c r="D1265" s="19"/>
    </row>
    <row r="1266" spans="1:4" x14ac:dyDescent="0.25">
      <c r="A1266" t="s">
        <v>608</v>
      </c>
      <c r="B1266" t="s">
        <v>987</v>
      </c>
      <c r="C1266" s="19">
        <v>0.8564593301435407</v>
      </c>
      <c r="D1266" s="19"/>
    </row>
    <row r="1267" spans="1:4" x14ac:dyDescent="0.25">
      <c r="A1267" t="s">
        <v>608</v>
      </c>
      <c r="B1267" t="s">
        <v>983</v>
      </c>
      <c r="C1267" s="19">
        <v>0.8564593301435407</v>
      </c>
      <c r="D1267" s="19"/>
    </row>
    <row r="1268" spans="1:4" x14ac:dyDescent="0.25">
      <c r="A1268" t="s">
        <v>608</v>
      </c>
      <c r="B1268" t="s">
        <v>976</v>
      </c>
      <c r="C1268" s="19">
        <v>0.8564593301435407</v>
      </c>
      <c r="D1268" s="19"/>
    </row>
    <row r="1269" spans="1:4" x14ac:dyDescent="0.25">
      <c r="A1269" t="s">
        <v>609</v>
      </c>
      <c r="B1269" t="s">
        <v>978</v>
      </c>
      <c r="C1269" s="19">
        <v>0.62190476190476196</v>
      </c>
      <c r="D1269" s="19"/>
    </row>
    <row r="1270" spans="1:4" x14ac:dyDescent="0.25">
      <c r="A1270" t="s">
        <v>609</v>
      </c>
      <c r="B1270" t="s">
        <v>1027</v>
      </c>
      <c r="C1270" s="19">
        <v>0.62190476190476196</v>
      </c>
      <c r="D1270" s="19"/>
    </row>
    <row r="1271" spans="1:4" x14ac:dyDescent="0.25">
      <c r="A1271" t="s">
        <v>609</v>
      </c>
      <c r="B1271" t="s">
        <v>974</v>
      </c>
      <c r="C1271" s="19">
        <v>0.62190476190476196</v>
      </c>
      <c r="D1271" s="19"/>
    </row>
    <row r="1272" spans="1:4" x14ac:dyDescent="0.25">
      <c r="A1272" t="s">
        <v>610</v>
      </c>
      <c r="B1272" t="s">
        <v>1008</v>
      </c>
      <c r="C1272" s="19">
        <v>0.82458770614692656</v>
      </c>
      <c r="D1272" s="19"/>
    </row>
    <row r="1273" spans="1:4" x14ac:dyDescent="0.25">
      <c r="A1273" t="s">
        <v>610</v>
      </c>
      <c r="B1273" t="s">
        <v>989</v>
      </c>
      <c r="C1273" s="19">
        <v>0.82458770614692656</v>
      </c>
      <c r="D1273" s="19"/>
    </row>
    <row r="1274" spans="1:4" x14ac:dyDescent="0.25">
      <c r="A1274" t="s">
        <v>611</v>
      </c>
      <c r="B1274" t="s">
        <v>1008</v>
      </c>
      <c r="C1274" s="19">
        <v>0.54642857142857137</v>
      </c>
      <c r="D1274" s="19"/>
    </row>
    <row r="1275" spans="1:4" x14ac:dyDescent="0.25">
      <c r="A1275" t="s">
        <v>611</v>
      </c>
      <c r="B1275" t="s">
        <v>989</v>
      </c>
      <c r="C1275" s="19">
        <v>0.54642857142857137</v>
      </c>
      <c r="D1275" s="19"/>
    </row>
    <row r="1276" spans="1:4" x14ac:dyDescent="0.25">
      <c r="A1276" t="s">
        <v>612</v>
      </c>
      <c r="B1276" t="s">
        <v>1014</v>
      </c>
      <c r="C1276" s="19">
        <v>0.82499999999999996</v>
      </c>
      <c r="D1276" s="19"/>
    </row>
    <row r="1277" spans="1:4" x14ac:dyDescent="0.25">
      <c r="A1277" t="s">
        <v>612</v>
      </c>
      <c r="B1277" t="s">
        <v>1031</v>
      </c>
      <c r="C1277" s="19">
        <v>0.82499999999999996</v>
      </c>
      <c r="D1277" s="19"/>
    </row>
    <row r="1278" spans="1:4" x14ac:dyDescent="0.25">
      <c r="A1278" t="s">
        <v>613</v>
      </c>
      <c r="B1278" t="s">
        <v>985</v>
      </c>
      <c r="C1278" s="19">
        <v>0.73333333333333328</v>
      </c>
      <c r="D1278" s="19"/>
    </row>
    <row r="1279" spans="1:4" x14ac:dyDescent="0.25">
      <c r="A1279" t="s">
        <v>613</v>
      </c>
      <c r="B1279" t="s">
        <v>1021</v>
      </c>
      <c r="C1279" s="19">
        <v>0.73333333333333328</v>
      </c>
      <c r="D1279" s="19"/>
    </row>
    <row r="1280" spans="1:4" x14ac:dyDescent="0.25">
      <c r="A1280" t="s">
        <v>613</v>
      </c>
      <c r="B1280" t="s">
        <v>1032</v>
      </c>
      <c r="C1280" s="19">
        <v>0.73333333333333328</v>
      </c>
      <c r="D1280" s="19"/>
    </row>
    <row r="1281" spans="1:4" x14ac:dyDescent="0.25">
      <c r="A1281" t="s">
        <v>614</v>
      </c>
      <c r="B1281" t="s">
        <v>1009</v>
      </c>
      <c r="C1281" s="19">
        <v>0.9692708333333333</v>
      </c>
      <c r="D1281" s="19"/>
    </row>
    <row r="1282" spans="1:4" x14ac:dyDescent="0.25">
      <c r="A1282" t="s">
        <v>614</v>
      </c>
      <c r="B1282" t="s">
        <v>1016</v>
      </c>
      <c r="C1282" s="19">
        <v>0.9692708333333333</v>
      </c>
      <c r="D1282" s="19"/>
    </row>
    <row r="1283" spans="1:4" x14ac:dyDescent="0.25">
      <c r="A1283" t="s">
        <v>614</v>
      </c>
      <c r="B1283" t="s">
        <v>1033</v>
      </c>
      <c r="C1283" s="19">
        <v>0.9692708333333333</v>
      </c>
      <c r="D1283" s="19"/>
    </row>
    <row r="1284" spans="1:4" x14ac:dyDescent="0.25">
      <c r="A1284" t="s">
        <v>615</v>
      </c>
      <c r="B1284" t="s">
        <v>1009</v>
      </c>
      <c r="C1284" s="19">
        <v>0.36</v>
      </c>
      <c r="D1284" s="19"/>
    </row>
    <row r="1285" spans="1:4" x14ac:dyDescent="0.25">
      <c r="A1285" t="s">
        <v>615</v>
      </c>
      <c r="B1285" t="s">
        <v>1016</v>
      </c>
      <c r="C1285" s="19">
        <v>0.36</v>
      </c>
      <c r="D1285" s="19"/>
    </row>
    <row r="1286" spans="1:4" x14ac:dyDescent="0.25">
      <c r="A1286" t="s">
        <v>615</v>
      </c>
      <c r="B1286" t="s">
        <v>1033</v>
      </c>
      <c r="C1286" s="19">
        <v>0.36</v>
      </c>
      <c r="D1286" s="19"/>
    </row>
    <row r="1287" spans="1:4" x14ac:dyDescent="0.25">
      <c r="A1287" t="s">
        <v>616</v>
      </c>
      <c r="B1287" t="s">
        <v>1034</v>
      </c>
      <c r="C1287" s="19">
        <v>0.625</v>
      </c>
      <c r="D1287" s="19"/>
    </row>
    <row r="1288" spans="1:4" x14ac:dyDescent="0.25">
      <c r="A1288" t="s">
        <v>616</v>
      </c>
      <c r="B1288" t="s">
        <v>1035</v>
      </c>
      <c r="C1288" s="19">
        <v>0.625</v>
      </c>
      <c r="D1288" s="19"/>
    </row>
    <row r="1289" spans="1:4" x14ac:dyDescent="0.25">
      <c r="A1289" t="s">
        <v>617</v>
      </c>
      <c r="B1289" t="s">
        <v>1034</v>
      </c>
      <c r="C1289" s="19">
        <v>0.51984126984126988</v>
      </c>
      <c r="D1289" s="19"/>
    </row>
    <row r="1290" spans="1:4" x14ac:dyDescent="0.25">
      <c r="A1290" t="s">
        <v>617</v>
      </c>
      <c r="B1290" t="s">
        <v>1035</v>
      </c>
      <c r="C1290" s="19">
        <v>0.51984126984126988</v>
      </c>
      <c r="D1290" s="19"/>
    </row>
    <row r="1291" spans="1:4" x14ac:dyDescent="0.25">
      <c r="A1291" t="s">
        <v>618</v>
      </c>
      <c r="B1291" t="s">
        <v>1007</v>
      </c>
      <c r="C1291" s="19">
        <v>0.77777777777777779</v>
      </c>
      <c r="D1291" s="19"/>
    </row>
    <row r="1292" spans="1:4" x14ac:dyDescent="0.25">
      <c r="A1292" t="s">
        <v>618</v>
      </c>
      <c r="B1292" t="s">
        <v>1001</v>
      </c>
      <c r="C1292" s="19">
        <v>0.77777777777777779</v>
      </c>
      <c r="D1292" s="19"/>
    </row>
    <row r="1293" spans="1:4" x14ac:dyDescent="0.25">
      <c r="A1293" t="s">
        <v>618</v>
      </c>
      <c r="B1293" t="s">
        <v>997</v>
      </c>
      <c r="C1293" s="19">
        <v>0.77777777777777779</v>
      </c>
      <c r="D1293" s="19"/>
    </row>
    <row r="1294" spans="1:4" x14ac:dyDescent="0.25">
      <c r="A1294" t="s">
        <v>619</v>
      </c>
      <c r="B1294" t="s">
        <v>1007</v>
      </c>
      <c r="C1294" s="19">
        <v>0.32666666666666666</v>
      </c>
      <c r="D1294" s="19"/>
    </row>
    <row r="1295" spans="1:4" x14ac:dyDescent="0.25">
      <c r="A1295" t="s">
        <v>619</v>
      </c>
      <c r="B1295" t="s">
        <v>1001</v>
      </c>
      <c r="C1295" s="19">
        <v>0.32666666666666666</v>
      </c>
      <c r="D1295" s="19"/>
    </row>
    <row r="1296" spans="1:4" x14ac:dyDescent="0.25">
      <c r="A1296" t="s">
        <v>619</v>
      </c>
      <c r="B1296" t="s">
        <v>997</v>
      </c>
      <c r="C1296" s="19">
        <v>0.32666666666666666</v>
      </c>
      <c r="D1296" s="19"/>
    </row>
    <row r="1297" spans="1:4" x14ac:dyDescent="0.25">
      <c r="A1297" t="s">
        <v>620</v>
      </c>
      <c r="B1297" t="s">
        <v>1023</v>
      </c>
      <c r="C1297" s="19">
        <v>0.56666666666666665</v>
      </c>
      <c r="D1297" s="19"/>
    </row>
    <row r="1298" spans="1:4" x14ac:dyDescent="0.25">
      <c r="A1298" t="s">
        <v>620</v>
      </c>
      <c r="B1298" t="s">
        <v>1011</v>
      </c>
      <c r="C1298" s="19">
        <v>0.56666666666666665</v>
      </c>
      <c r="D1298" s="19"/>
    </row>
    <row r="1299" spans="1:4" x14ac:dyDescent="0.25">
      <c r="A1299" t="s">
        <v>620</v>
      </c>
      <c r="B1299" t="s">
        <v>1013</v>
      </c>
      <c r="C1299" s="19">
        <v>0.56666666666666665</v>
      </c>
      <c r="D1299" s="19"/>
    </row>
    <row r="1300" spans="1:4" x14ac:dyDescent="0.25">
      <c r="A1300" t="s">
        <v>621</v>
      </c>
      <c r="B1300" t="s">
        <v>1025</v>
      </c>
      <c r="C1300" s="19">
        <v>0.5</v>
      </c>
      <c r="D1300" s="19"/>
    </row>
    <row r="1301" spans="1:4" x14ac:dyDescent="0.25">
      <c r="A1301" t="s">
        <v>621</v>
      </c>
      <c r="B1301" t="s">
        <v>1004</v>
      </c>
      <c r="C1301" s="19">
        <v>0.5</v>
      </c>
      <c r="D1301" s="19"/>
    </row>
    <row r="1302" spans="1:4" x14ac:dyDescent="0.25">
      <c r="A1302" t="s">
        <v>24</v>
      </c>
      <c r="B1302" t="s">
        <v>993</v>
      </c>
      <c r="C1302" s="19">
        <v>0.78991596638655459</v>
      </c>
      <c r="D1302" s="19"/>
    </row>
    <row r="1303" spans="1:4" x14ac:dyDescent="0.25">
      <c r="A1303" t="s">
        <v>24</v>
      </c>
      <c r="B1303" t="s">
        <v>979</v>
      </c>
      <c r="C1303" s="19">
        <v>0.78991596638655459</v>
      </c>
      <c r="D1303" s="19"/>
    </row>
    <row r="1304" spans="1:4" x14ac:dyDescent="0.25">
      <c r="A1304" t="s">
        <v>24</v>
      </c>
      <c r="B1304" t="s">
        <v>987</v>
      </c>
      <c r="C1304" s="19">
        <v>0.78991596638655459</v>
      </c>
      <c r="D1304" s="19"/>
    </row>
    <row r="1305" spans="1:4" x14ac:dyDescent="0.25">
      <c r="A1305" t="s">
        <v>24</v>
      </c>
      <c r="B1305" t="s">
        <v>981</v>
      </c>
      <c r="C1305" s="19">
        <v>0.78991596638655459</v>
      </c>
      <c r="D1305" s="19"/>
    </row>
    <row r="1306" spans="1:4" x14ac:dyDescent="0.25">
      <c r="A1306" t="s">
        <v>24</v>
      </c>
      <c r="B1306" t="s">
        <v>976</v>
      </c>
      <c r="C1306" s="19">
        <v>0.78991596638655459</v>
      </c>
      <c r="D1306" s="19"/>
    </row>
    <row r="1307" spans="1:4" x14ac:dyDescent="0.25">
      <c r="A1307" t="s">
        <v>24</v>
      </c>
      <c r="B1307" t="s">
        <v>973</v>
      </c>
      <c r="C1307" s="19">
        <v>0.78991596638655459</v>
      </c>
      <c r="D1307" s="19"/>
    </row>
    <row r="1308" spans="1:4" x14ac:dyDescent="0.25">
      <c r="A1308" t="s">
        <v>623</v>
      </c>
      <c r="B1308" t="s">
        <v>1008</v>
      </c>
      <c r="C1308" s="19">
        <v>0.63724489795918371</v>
      </c>
      <c r="D1308" s="19"/>
    </row>
    <row r="1309" spans="1:4" x14ac:dyDescent="0.25">
      <c r="A1309" t="s">
        <v>623</v>
      </c>
      <c r="B1309" t="s">
        <v>1029</v>
      </c>
      <c r="C1309" s="19">
        <v>0.63724489795918371</v>
      </c>
      <c r="D1309" s="19"/>
    </row>
    <row r="1310" spans="1:4" x14ac:dyDescent="0.25">
      <c r="A1310" t="s">
        <v>623</v>
      </c>
      <c r="B1310" t="s">
        <v>974</v>
      </c>
      <c r="C1310" s="19">
        <v>0.63724489795918371</v>
      </c>
      <c r="D1310" s="19"/>
    </row>
    <row r="1311" spans="1:4" x14ac:dyDescent="0.25">
      <c r="A1311" t="s">
        <v>626</v>
      </c>
      <c r="B1311" t="s">
        <v>1031</v>
      </c>
      <c r="C1311" s="19">
        <v>0.30753968253968256</v>
      </c>
      <c r="D1311" s="19"/>
    </row>
    <row r="1312" spans="1:4" x14ac:dyDescent="0.25">
      <c r="A1312" t="s">
        <v>626</v>
      </c>
      <c r="B1312" t="s">
        <v>1036</v>
      </c>
      <c r="C1312" s="19">
        <v>0.30753968253968256</v>
      </c>
      <c r="D1312" s="19"/>
    </row>
    <row r="1313" spans="1:4" x14ac:dyDescent="0.25">
      <c r="A1313" t="s">
        <v>626</v>
      </c>
      <c r="B1313" t="s">
        <v>1032</v>
      </c>
      <c r="C1313" s="19">
        <v>0.30753968253968256</v>
      </c>
      <c r="D1313" s="19"/>
    </row>
    <row r="1314" spans="1:4" x14ac:dyDescent="0.25">
      <c r="A1314" t="s">
        <v>629</v>
      </c>
      <c r="B1314" t="s">
        <v>1034</v>
      </c>
      <c r="C1314" s="19">
        <v>0.46130952380952384</v>
      </c>
      <c r="D1314" s="19"/>
    </row>
    <row r="1315" spans="1:4" x14ac:dyDescent="0.25">
      <c r="A1315" t="s">
        <v>629</v>
      </c>
      <c r="B1315" t="s">
        <v>1016</v>
      </c>
      <c r="C1315" s="19">
        <v>0.46130952380952384</v>
      </c>
      <c r="D1315" s="19"/>
    </row>
    <row r="1316" spans="1:4" x14ac:dyDescent="0.25">
      <c r="A1316" t="s">
        <v>629</v>
      </c>
      <c r="B1316" t="s">
        <v>1033</v>
      </c>
      <c r="C1316" s="19">
        <v>0.46130952380952384</v>
      </c>
      <c r="D1316" s="19"/>
    </row>
    <row r="1317" spans="1:4" x14ac:dyDescent="0.25">
      <c r="A1317" t="s">
        <v>629</v>
      </c>
      <c r="B1317" t="s">
        <v>1035</v>
      </c>
      <c r="C1317" s="19">
        <v>0.46130952380952384</v>
      </c>
      <c r="D1317" s="19"/>
    </row>
    <row r="1318" spans="1:4" x14ac:dyDescent="0.25">
      <c r="A1318" t="s">
        <v>631</v>
      </c>
      <c r="B1318" t="s">
        <v>1007</v>
      </c>
      <c r="C1318" s="19">
        <v>0.89086859688195996</v>
      </c>
      <c r="D1318" s="19"/>
    </row>
    <row r="1319" spans="1:4" x14ac:dyDescent="0.25">
      <c r="A1319" t="s">
        <v>631</v>
      </c>
      <c r="B1319" t="s">
        <v>997</v>
      </c>
      <c r="C1319" s="19">
        <v>0.89086859688195996</v>
      </c>
      <c r="D1319" s="19"/>
    </row>
    <row r="1320" spans="1:4" x14ac:dyDescent="0.25">
      <c r="A1320" t="s">
        <v>632</v>
      </c>
      <c r="B1320" t="s">
        <v>994</v>
      </c>
      <c r="C1320" s="19">
        <v>1</v>
      </c>
      <c r="D1320" s="19"/>
    </row>
    <row r="1321" spans="1:4" x14ac:dyDescent="0.25">
      <c r="A1321" t="s">
        <v>632</v>
      </c>
      <c r="B1321" t="s">
        <v>1006</v>
      </c>
      <c r="C1321" s="19">
        <v>1</v>
      </c>
      <c r="D1321" s="19"/>
    </row>
    <row r="1322" spans="1:4" x14ac:dyDescent="0.25">
      <c r="A1322" t="s">
        <v>633</v>
      </c>
      <c r="B1322" t="s">
        <v>1013</v>
      </c>
      <c r="C1322" s="19">
        <v>0.3968253968253968</v>
      </c>
      <c r="D1322" s="19"/>
    </row>
    <row r="1323" spans="1:4" x14ac:dyDescent="0.25">
      <c r="A1323" t="s">
        <v>633</v>
      </c>
      <c r="B1323" t="s">
        <v>1004</v>
      </c>
      <c r="C1323" s="19">
        <v>0.3968253968253968</v>
      </c>
      <c r="D1323" s="19"/>
    </row>
    <row r="1324" spans="1:4" x14ac:dyDescent="0.25">
      <c r="A1324" t="s">
        <v>633</v>
      </c>
      <c r="B1324" t="s">
        <v>1030</v>
      </c>
      <c r="C1324" s="19">
        <v>0.3968253968253968</v>
      </c>
      <c r="D1324" s="19"/>
    </row>
    <row r="1325" spans="1:4" x14ac:dyDescent="0.25">
      <c r="A1325" t="s">
        <v>634</v>
      </c>
      <c r="B1325" t="s">
        <v>1011</v>
      </c>
      <c r="C1325" s="19">
        <v>0.42857142857142855</v>
      </c>
      <c r="D1325" s="19"/>
    </row>
    <row r="1326" spans="1:4" x14ac:dyDescent="0.25">
      <c r="A1326" t="s">
        <v>634</v>
      </c>
      <c r="B1326" t="s">
        <v>1025</v>
      </c>
      <c r="C1326" s="19">
        <v>0.42857142857142855</v>
      </c>
      <c r="D1326" s="19"/>
    </row>
    <row r="1327" spans="1:4" x14ac:dyDescent="0.25">
      <c r="A1327" t="s">
        <v>635</v>
      </c>
      <c r="B1327" t="s">
        <v>999</v>
      </c>
      <c r="C1327" s="19">
        <v>0.88520055325034575</v>
      </c>
      <c r="D1327" s="19"/>
    </row>
    <row r="1328" spans="1:4" x14ac:dyDescent="0.25">
      <c r="A1328" t="s">
        <v>635</v>
      </c>
      <c r="B1328" t="s">
        <v>995</v>
      </c>
      <c r="C1328" s="19">
        <v>0.88520055325034575</v>
      </c>
      <c r="D1328" s="19"/>
    </row>
    <row r="1329" spans="1:4" x14ac:dyDescent="0.25">
      <c r="A1329" t="s">
        <v>635</v>
      </c>
      <c r="B1329" t="s">
        <v>1028</v>
      </c>
      <c r="C1329" s="19">
        <v>0.88520055325034575</v>
      </c>
      <c r="D1329" s="19"/>
    </row>
    <row r="1330" spans="1:4" x14ac:dyDescent="0.25">
      <c r="A1330" t="s">
        <v>635</v>
      </c>
      <c r="B1330" t="s">
        <v>1012</v>
      </c>
      <c r="C1330" s="19">
        <v>0.88520055325034575</v>
      </c>
      <c r="D1330" s="19"/>
    </row>
    <row r="1331" spans="1:4" x14ac:dyDescent="0.25">
      <c r="A1331" t="s">
        <v>635</v>
      </c>
      <c r="B1331" t="s">
        <v>1005</v>
      </c>
      <c r="C1331" s="19">
        <v>0.88520055325034575</v>
      </c>
      <c r="D1331" s="19"/>
    </row>
    <row r="1332" spans="1:4" x14ac:dyDescent="0.25">
      <c r="A1332" t="s">
        <v>635</v>
      </c>
      <c r="B1332" t="s">
        <v>1026</v>
      </c>
      <c r="C1332" s="19">
        <v>0.88520055325034575</v>
      </c>
      <c r="D1332" s="19"/>
    </row>
    <row r="1333" spans="1:4" x14ac:dyDescent="0.25">
      <c r="A1333" t="s">
        <v>635</v>
      </c>
      <c r="B1333" t="s">
        <v>990</v>
      </c>
      <c r="C1333" s="19">
        <v>0.88520055325034575</v>
      </c>
      <c r="D1333" s="19"/>
    </row>
    <row r="1334" spans="1:4" x14ac:dyDescent="0.25">
      <c r="A1334" t="s">
        <v>635</v>
      </c>
      <c r="B1334" t="s">
        <v>988</v>
      </c>
      <c r="C1334" s="19">
        <v>0.88520055325034575</v>
      </c>
      <c r="D1334" s="19"/>
    </row>
    <row r="1335" spans="1:4" x14ac:dyDescent="0.25">
      <c r="A1335" t="s">
        <v>635</v>
      </c>
      <c r="B1335" t="s">
        <v>1019</v>
      </c>
      <c r="C1335" s="19">
        <v>0.88520055325034575</v>
      </c>
      <c r="D1335" s="19"/>
    </row>
    <row r="1336" spans="1:4" x14ac:dyDescent="0.25">
      <c r="A1336" t="s">
        <v>635</v>
      </c>
      <c r="B1336" t="s">
        <v>986</v>
      </c>
      <c r="C1336" s="19">
        <v>0.88520055325034575</v>
      </c>
      <c r="D1336" s="19"/>
    </row>
    <row r="1337" spans="1:4" x14ac:dyDescent="0.25">
      <c r="A1337" t="s">
        <v>636</v>
      </c>
      <c r="B1337" t="s">
        <v>999</v>
      </c>
      <c r="C1337" s="19">
        <v>0.31346749226006193</v>
      </c>
      <c r="D1337" s="19"/>
    </row>
    <row r="1338" spans="1:4" x14ac:dyDescent="0.25">
      <c r="A1338" t="s">
        <v>636</v>
      </c>
      <c r="B1338" t="s">
        <v>995</v>
      </c>
      <c r="C1338" s="19">
        <v>0.31346749226006193</v>
      </c>
      <c r="D1338" s="19"/>
    </row>
    <row r="1339" spans="1:4" x14ac:dyDescent="0.25">
      <c r="A1339" t="s">
        <v>636</v>
      </c>
      <c r="B1339" t="s">
        <v>1028</v>
      </c>
      <c r="C1339" s="19">
        <v>0.31346749226006193</v>
      </c>
      <c r="D1339" s="19"/>
    </row>
    <row r="1340" spans="1:4" x14ac:dyDescent="0.25">
      <c r="A1340" t="s">
        <v>636</v>
      </c>
      <c r="B1340" t="s">
        <v>1012</v>
      </c>
      <c r="C1340" s="19">
        <v>0.31346749226006193</v>
      </c>
      <c r="D1340" s="19"/>
    </row>
    <row r="1341" spans="1:4" x14ac:dyDescent="0.25">
      <c r="A1341" t="s">
        <v>636</v>
      </c>
      <c r="B1341" t="s">
        <v>1005</v>
      </c>
      <c r="C1341" s="19">
        <v>0.31346749226006193</v>
      </c>
      <c r="D1341" s="19"/>
    </row>
    <row r="1342" spans="1:4" x14ac:dyDescent="0.25">
      <c r="A1342" t="s">
        <v>636</v>
      </c>
      <c r="B1342" t="s">
        <v>1026</v>
      </c>
      <c r="C1342" s="19">
        <v>0.31346749226006193</v>
      </c>
      <c r="D1342" s="19"/>
    </row>
    <row r="1343" spans="1:4" x14ac:dyDescent="0.25">
      <c r="A1343" t="s">
        <v>636</v>
      </c>
      <c r="B1343" t="s">
        <v>990</v>
      </c>
      <c r="C1343" s="19">
        <v>0.31346749226006193</v>
      </c>
      <c r="D1343" s="19"/>
    </row>
    <row r="1344" spans="1:4" x14ac:dyDescent="0.25">
      <c r="A1344" t="s">
        <v>636</v>
      </c>
      <c r="B1344" t="s">
        <v>988</v>
      </c>
      <c r="C1344" s="19">
        <v>0.31346749226006193</v>
      </c>
      <c r="D1344" s="19"/>
    </row>
    <row r="1345" spans="1:4" x14ac:dyDescent="0.25">
      <c r="A1345" t="s">
        <v>636</v>
      </c>
      <c r="B1345" t="s">
        <v>1019</v>
      </c>
      <c r="C1345" s="19">
        <v>0.31346749226006193</v>
      </c>
      <c r="D1345" s="19"/>
    </row>
    <row r="1346" spans="1:4" x14ac:dyDescent="0.25">
      <c r="A1346" t="s">
        <v>636</v>
      </c>
      <c r="B1346" t="s">
        <v>986</v>
      </c>
      <c r="C1346" s="19">
        <v>0.31346749226006193</v>
      </c>
      <c r="D1346" s="19"/>
    </row>
    <row r="1347" spans="1:4" x14ac:dyDescent="0.25">
      <c r="A1347" t="s">
        <v>644</v>
      </c>
      <c r="B1347" t="s">
        <v>987</v>
      </c>
      <c r="C1347" s="19">
        <v>0.55333333333333334</v>
      </c>
      <c r="D1347" s="19"/>
    </row>
    <row r="1348" spans="1:4" x14ac:dyDescent="0.25">
      <c r="A1348" t="s">
        <v>644</v>
      </c>
      <c r="B1348" t="s">
        <v>985</v>
      </c>
      <c r="C1348" s="19">
        <v>0.55333333333333334</v>
      </c>
      <c r="D1348" s="19"/>
    </row>
    <row r="1349" spans="1:4" x14ac:dyDescent="0.25">
      <c r="A1349" t="s">
        <v>644</v>
      </c>
      <c r="B1349" t="s">
        <v>976</v>
      </c>
      <c r="C1349" s="19">
        <v>0.55333333333333334</v>
      </c>
      <c r="D1349" s="19"/>
    </row>
    <row r="1350" spans="1:4" x14ac:dyDescent="0.25">
      <c r="A1350" t="s">
        <v>646</v>
      </c>
      <c r="B1350" t="s">
        <v>974</v>
      </c>
      <c r="C1350" s="19">
        <v>0.78</v>
      </c>
      <c r="D1350" s="19"/>
    </row>
    <row r="1351" spans="1:4" x14ac:dyDescent="0.25">
      <c r="A1351" t="s">
        <v>646</v>
      </c>
      <c r="B1351" t="s">
        <v>989</v>
      </c>
      <c r="C1351" s="19">
        <v>0.78</v>
      </c>
      <c r="D1351" s="19"/>
    </row>
    <row r="1352" spans="1:4" x14ac:dyDescent="0.25">
      <c r="A1352" t="s">
        <v>646</v>
      </c>
      <c r="B1352" t="s">
        <v>983</v>
      </c>
      <c r="C1352" s="19">
        <v>0.78</v>
      </c>
      <c r="D1352" s="19"/>
    </row>
    <row r="1353" spans="1:4" x14ac:dyDescent="0.25">
      <c r="A1353" t="s">
        <v>647</v>
      </c>
      <c r="B1353" t="s">
        <v>981</v>
      </c>
      <c r="C1353" s="19">
        <v>0.81333333333333335</v>
      </c>
      <c r="D1353" s="19"/>
    </row>
    <row r="1354" spans="1:4" x14ac:dyDescent="0.25">
      <c r="A1354" t="s">
        <v>647</v>
      </c>
      <c r="B1354" t="s">
        <v>993</v>
      </c>
      <c r="C1354" s="19">
        <v>0.81333333333333335</v>
      </c>
      <c r="D1354" s="19"/>
    </row>
    <row r="1355" spans="1:4" x14ac:dyDescent="0.25">
      <c r="A1355" t="s">
        <v>647</v>
      </c>
      <c r="B1355" t="s">
        <v>1014</v>
      </c>
      <c r="C1355" s="19">
        <v>0.81333333333333335</v>
      </c>
      <c r="D1355" s="19"/>
    </row>
    <row r="1356" spans="1:4" x14ac:dyDescent="0.25">
      <c r="A1356" t="s">
        <v>650</v>
      </c>
      <c r="B1356" t="s">
        <v>973</v>
      </c>
      <c r="C1356" s="19">
        <v>1.0526315789473684</v>
      </c>
      <c r="D1356" s="19"/>
    </row>
    <row r="1357" spans="1:4" x14ac:dyDescent="0.25">
      <c r="A1357" t="s">
        <v>650</v>
      </c>
      <c r="B1357" t="s">
        <v>1008</v>
      </c>
      <c r="C1357" s="19">
        <v>1.0526315789473684</v>
      </c>
      <c r="D1357" s="19"/>
    </row>
    <row r="1358" spans="1:4" x14ac:dyDescent="0.25">
      <c r="A1358" t="s">
        <v>650</v>
      </c>
      <c r="B1358" t="s">
        <v>1027</v>
      </c>
      <c r="C1358" s="19">
        <v>1.0526315789473684</v>
      </c>
      <c r="D1358" s="19"/>
    </row>
    <row r="1359" spans="1:4" x14ac:dyDescent="0.25">
      <c r="A1359" t="s">
        <v>654</v>
      </c>
      <c r="B1359" t="s">
        <v>973</v>
      </c>
      <c r="C1359" s="19">
        <v>1</v>
      </c>
      <c r="D1359" s="19"/>
    </row>
    <row r="1360" spans="1:4" x14ac:dyDescent="0.25">
      <c r="A1360" t="s">
        <v>654</v>
      </c>
      <c r="B1360" t="s">
        <v>1008</v>
      </c>
      <c r="C1360" s="19">
        <v>1</v>
      </c>
      <c r="D1360" s="19"/>
    </row>
    <row r="1361" spans="1:4" x14ac:dyDescent="0.25">
      <c r="A1361" t="s">
        <v>654</v>
      </c>
      <c r="B1361" t="s">
        <v>1027</v>
      </c>
      <c r="C1361" s="19">
        <v>1</v>
      </c>
      <c r="D1361" s="19"/>
    </row>
    <row r="1362" spans="1:4" x14ac:dyDescent="0.25">
      <c r="A1362" t="s">
        <v>655</v>
      </c>
      <c r="B1362" t="s">
        <v>978</v>
      </c>
      <c r="C1362" s="19">
        <v>0.48849206349206348</v>
      </c>
      <c r="D1362" s="19"/>
    </row>
    <row r="1363" spans="1:4" x14ac:dyDescent="0.25">
      <c r="A1363" t="s">
        <v>655</v>
      </c>
      <c r="B1363" t="s">
        <v>1032</v>
      </c>
      <c r="C1363" s="19">
        <v>0.48849206349206348</v>
      </c>
      <c r="D1363" s="19"/>
    </row>
    <row r="1364" spans="1:4" x14ac:dyDescent="0.25">
      <c r="A1364" t="s">
        <v>655</v>
      </c>
      <c r="B1364" t="s">
        <v>1031</v>
      </c>
      <c r="C1364" s="19">
        <v>0.48849206349206348</v>
      </c>
      <c r="D1364" s="19"/>
    </row>
    <row r="1365" spans="1:4" x14ac:dyDescent="0.25">
      <c r="A1365" t="s">
        <v>658</v>
      </c>
      <c r="B1365" t="s">
        <v>1033</v>
      </c>
      <c r="C1365" s="19">
        <v>0.30158730158730157</v>
      </c>
      <c r="D1365" s="19"/>
    </row>
    <row r="1366" spans="1:4" x14ac:dyDescent="0.25">
      <c r="A1366" t="s">
        <v>658</v>
      </c>
      <c r="B1366" t="s">
        <v>1009</v>
      </c>
      <c r="C1366" s="19">
        <v>0.30158730158730157</v>
      </c>
      <c r="D1366" s="19"/>
    </row>
    <row r="1367" spans="1:4" x14ac:dyDescent="0.25">
      <c r="A1367" t="s">
        <v>658</v>
      </c>
      <c r="B1367" t="s">
        <v>1016</v>
      </c>
      <c r="C1367" s="19">
        <v>0.30158730158730157</v>
      </c>
      <c r="D1367" s="19"/>
    </row>
    <row r="1368" spans="1:4" x14ac:dyDescent="0.25">
      <c r="A1368" t="s">
        <v>659</v>
      </c>
      <c r="B1368" t="s">
        <v>1034</v>
      </c>
      <c r="C1368" s="19">
        <v>0.20105820105820105</v>
      </c>
      <c r="D1368" s="19"/>
    </row>
    <row r="1369" spans="1:4" x14ac:dyDescent="0.25">
      <c r="A1369" t="s">
        <v>659</v>
      </c>
      <c r="B1369" t="s">
        <v>1035</v>
      </c>
      <c r="C1369" s="19">
        <v>0.20105820105820105</v>
      </c>
      <c r="D1369" s="19"/>
    </row>
    <row r="1370" spans="1:4" x14ac:dyDescent="0.25">
      <c r="A1370" t="s">
        <v>660</v>
      </c>
      <c r="B1370" t="s">
        <v>1007</v>
      </c>
      <c r="C1370" s="19">
        <v>1</v>
      </c>
      <c r="D1370" s="19"/>
    </row>
    <row r="1371" spans="1:4" x14ac:dyDescent="0.25">
      <c r="A1371" t="s">
        <v>660</v>
      </c>
      <c r="B1371" t="s">
        <v>997</v>
      </c>
      <c r="C1371" s="19">
        <v>1</v>
      </c>
      <c r="D1371" s="19"/>
    </row>
    <row r="1372" spans="1:4" x14ac:dyDescent="0.25">
      <c r="A1372" t="s">
        <v>660</v>
      </c>
      <c r="B1372" t="s">
        <v>1001</v>
      </c>
      <c r="C1372" s="19">
        <v>1</v>
      </c>
      <c r="D1372" s="19"/>
    </row>
    <row r="1373" spans="1:4" x14ac:dyDescent="0.25">
      <c r="A1373" t="s">
        <v>661</v>
      </c>
      <c r="B1373" t="s">
        <v>994</v>
      </c>
      <c r="C1373" s="19">
        <v>0.62962962962962965</v>
      </c>
      <c r="D1373" s="19"/>
    </row>
    <row r="1374" spans="1:4" x14ac:dyDescent="0.25">
      <c r="A1374" t="s">
        <v>661</v>
      </c>
      <c r="B1374" t="s">
        <v>1006</v>
      </c>
      <c r="C1374" s="19">
        <v>0.62962962962962965</v>
      </c>
      <c r="D1374" s="19"/>
    </row>
    <row r="1375" spans="1:4" x14ac:dyDescent="0.25">
      <c r="A1375" t="s">
        <v>662</v>
      </c>
      <c r="B1375" t="s">
        <v>1013</v>
      </c>
      <c r="C1375" s="19">
        <v>0.61111111111111116</v>
      </c>
      <c r="D1375" s="19"/>
    </row>
    <row r="1376" spans="1:4" x14ac:dyDescent="0.25">
      <c r="A1376" t="s">
        <v>662</v>
      </c>
      <c r="B1376" t="s">
        <v>1023</v>
      </c>
      <c r="C1376" s="19">
        <v>0.61111111111111116</v>
      </c>
      <c r="D1376" s="19"/>
    </row>
    <row r="1377" spans="1:4" x14ac:dyDescent="0.25">
      <c r="A1377" t="s">
        <v>662</v>
      </c>
      <c r="B1377" t="s">
        <v>1011</v>
      </c>
      <c r="C1377" s="19">
        <v>0.61111111111111116</v>
      </c>
      <c r="D1377" s="19"/>
    </row>
    <row r="1378" spans="1:4" x14ac:dyDescent="0.25">
      <c r="A1378" t="s">
        <v>663</v>
      </c>
      <c r="B1378" t="s">
        <v>1025</v>
      </c>
      <c r="C1378" s="19">
        <v>0.5714285714285714</v>
      </c>
      <c r="D1378" s="19"/>
    </row>
    <row r="1379" spans="1:4" x14ac:dyDescent="0.25">
      <c r="A1379" t="s">
        <v>663</v>
      </c>
      <c r="B1379" t="s">
        <v>1030</v>
      </c>
      <c r="C1379" s="19">
        <v>0.5714285714285714</v>
      </c>
      <c r="D1379" s="19"/>
    </row>
    <row r="1380" spans="1:4" x14ac:dyDescent="0.25">
      <c r="A1380" t="s">
        <v>664</v>
      </c>
      <c r="B1380" t="s">
        <v>995</v>
      </c>
      <c r="C1380" s="19">
        <v>1.6319999999999999</v>
      </c>
      <c r="D1380" s="19"/>
    </row>
    <row r="1381" spans="1:4" x14ac:dyDescent="0.25">
      <c r="A1381" t="s">
        <v>667</v>
      </c>
      <c r="B1381" t="s">
        <v>986</v>
      </c>
      <c r="C1381" s="19">
        <v>0.80303030303030298</v>
      </c>
      <c r="D1381" s="19"/>
    </row>
    <row r="1382" spans="1:4" x14ac:dyDescent="0.25">
      <c r="A1382" t="s">
        <v>667</v>
      </c>
      <c r="B1382" t="s">
        <v>988</v>
      </c>
      <c r="C1382" s="19">
        <v>0.80303030303030298</v>
      </c>
      <c r="D1382" s="19"/>
    </row>
    <row r="1383" spans="1:4" x14ac:dyDescent="0.25">
      <c r="A1383" t="s">
        <v>667</v>
      </c>
      <c r="B1383" t="s">
        <v>1019</v>
      </c>
      <c r="C1383" s="19">
        <v>0.80303030303030298</v>
      </c>
      <c r="D1383" s="19"/>
    </row>
    <row r="1384" spans="1:4" x14ac:dyDescent="0.25">
      <c r="A1384" t="s">
        <v>667</v>
      </c>
      <c r="B1384" t="s">
        <v>1026</v>
      </c>
      <c r="C1384" s="19">
        <v>0.80303030303030298</v>
      </c>
      <c r="D1384" s="19"/>
    </row>
    <row r="1385" spans="1:4" x14ac:dyDescent="0.25">
      <c r="A1385" t="s">
        <v>667</v>
      </c>
      <c r="B1385" t="s">
        <v>1005</v>
      </c>
      <c r="C1385" s="19">
        <v>0.80303030303030298</v>
      </c>
      <c r="D1385" s="19"/>
    </row>
    <row r="1386" spans="1:4" x14ac:dyDescent="0.25">
      <c r="A1386" t="s">
        <v>667</v>
      </c>
      <c r="B1386" t="s">
        <v>1012</v>
      </c>
      <c r="C1386" s="19">
        <v>0.80303030303030298</v>
      </c>
      <c r="D1386" s="19"/>
    </row>
    <row r="1387" spans="1:4" x14ac:dyDescent="0.25">
      <c r="A1387" t="s">
        <v>667</v>
      </c>
      <c r="B1387" t="s">
        <v>999</v>
      </c>
      <c r="C1387" s="19">
        <v>0.80303030303030298</v>
      </c>
      <c r="D1387" s="19"/>
    </row>
    <row r="1388" spans="1:4" x14ac:dyDescent="0.25">
      <c r="A1388" t="s">
        <v>667</v>
      </c>
      <c r="B1388" t="s">
        <v>990</v>
      </c>
      <c r="C1388" s="19">
        <v>0.80303030303030298</v>
      </c>
      <c r="D1388" s="19"/>
    </row>
    <row r="1389" spans="1:4" x14ac:dyDescent="0.25">
      <c r="A1389" t="s">
        <v>667</v>
      </c>
      <c r="B1389" t="s">
        <v>995</v>
      </c>
      <c r="C1389" s="19">
        <v>0.80303030303030298</v>
      </c>
      <c r="D1389" s="19"/>
    </row>
    <row r="1390" spans="1:4" x14ac:dyDescent="0.25">
      <c r="A1390" t="s">
        <v>668</v>
      </c>
      <c r="B1390" t="s">
        <v>976</v>
      </c>
      <c r="C1390" s="19">
        <v>0.76333333333333331</v>
      </c>
      <c r="D1390" s="19"/>
    </row>
    <row r="1391" spans="1:4" x14ac:dyDescent="0.25">
      <c r="A1391" t="s">
        <v>668</v>
      </c>
      <c r="B1391" t="s">
        <v>989</v>
      </c>
      <c r="C1391" s="19">
        <v>0.76333333333333331</v>
      </c>
      <c r="D1391" s="19"/>
    </row>
    <row r="1392" spans="1:4" x14ac:dyDescent="0.25">
      <c r="A1392" t="s">
        <v>668</v>
      </c>
      <c r="B1392" t="s">
        <v>974</v>
      </c>
      <c r="C1392" s="19">
        <v>0.76333333333333331</v>
      </c>
      <c r="D1392" s="19"/>
    </row>
    <row r="1393" spans="1:4" x14ac:dyDescent="0.25">
      <c r="A1393" t="s">
        <v>668</v>
      </c>
      <c r="B1393" t="s">
        <v>1008</v>
      </c>
      <c r="C1393" s="19">
        <v>0.76333333333333331</v>
      </c>
      <c r="D1393" s="19"/>
    </row>
    <row r="1394" spans="1:4" x14ac:dyDescent="0.25">
      <c r="A1394" t="s">
        <v>668</v>
      </c>
      <c r="B1394" t="s">
        <v>983</v>
      </c>
      <c r="C1394" s="19">
        <v>0.76333333333333331</v>
      </c>
      <c r="D1394" s="19"/>
    </row>
    <row r="1395" spans="1:4" x14ac:dyDescent="0.25">
      <c r="A1395" t="s">
        <v>669</v>
      </c>
      <c r="B1395" t="s">
        <v>981</v>
      </c>
      <c r="C1395" s="19">
        <v>0.82666666666666666</v>
      </c>
      <c r="D1395" s="19"/>
    </row>
    <row r="1396" spans="1:4" x14ac:dyDescent="0.25">
      <c r="A1396" t="s">
        <v>669</v>
      </c>
      <c r="B1396" t="s">
        <v>979</v>
      </c>
      <c r="C1396" s="19">
        <v>0.82666666666666666</v>
      </c>
      <c r="D1396" s="19"/>
    </row>
    <row r="1397" spans="1:4" x14ac:dyDescent="0.25">
      <c r="A1397" t="s">
        <v>669</v>
      </c>
      <c r="B1397" t="s">
        <v>987</v>
      </c>
      <c r="C1397" s="19">
        <v>0.82666666666666666</v>
      </c>
      <c r="D1397" s="19"/>
    </row>
    <row r="1398" spans="1:4" x14ac:dyDescent="0.25">
      <c r="A1398" t="s">
        <v>669</v>
      </c>
      <c r="B1398" t="s">
        <v>1027</v>
      </c>
      <c r="C1398" s="19">
        <v>0.82666666666666666</v>
      </c>
      <c r="D1398" s="19"/>
    </row>
    <row r="1399" spans="1:4" x14ac:dyDescent="0.25">
      <c r="A1399" t="s">
        <v>669</v>
      </c>
      <c r="B1399" t="s">
        <v>978</v>
      </c>
      <c r="C1399" s="19">
        <v>0.82666666666666666</v>
      </c>
      <c r="D1399" s="19"/>
    </row>
    <row r="1400" spans="1:4" x14ac:dyDescent="0.25">
      <c r="A1400" t="s">
        <v>670</v>
      </c>
      <c r="B1400" t="s">
        <v>985</v>
      </c>
      <c r="C1400" s="19">
        <v>1.0909090909090908</v>
      </c>
      <c r="D1400" s="19"/>
    </row>
    <row r="1401" spans="1:4" x14ac:dyDescent="0.25">
      <c r="A1401" t="s">
        <v>673</v>
      </c>
      <c r="B1401" t="s">
        <v>1027</v>
      </c>
      <c r="C1401" s="19">
        <v>0.53333333333333333</v>
      </c>
      <c r="D1401" s="19"/>
    </row>
    <row r="1402" spans="1:4" x14ac:dyDescent="0.25">
      <c r="A1402" t="s">
        <v>673</v>
      </c>
      <c r="B1402" t="s">
        <v>1032</v>
      </c>
      <c r="C1402" s="19">
        <v>0.53333333333333333</v>
      </c>
      <c r="D1402" s="19"/>
    </row>
    <row r="1403" spans="1:4" x14ac:dyDescent="0.25">
      <c r="A1403" t="s">
        <v>673</v>
      </c>
      <c r="B1403" t="s">
        <v>1031</v>
      </c>
      <c r="C1403" s="19">
        <v>0.53333333333333333</v>
      </c>
      <c r="D1403" s="19"/>
    </row>
    <row r="1404" spans="1:4" x14ac:dyDescent="0.25">
      <c r="A1404" t="s">
        <v>674</v>
      </c>
      <c r="B1404" t="s">
        <v>1016</v>
      </c>
      <c r="C1404" s="19">
        <v>0.45238095238095238</v>
      </c>
      <c r="D1404" s="19"/>
    </row>
    <row r="1405" spans="1:4" x14ac:dyDescent="0.25">
      <c r="A1405" t="s">
        <v>674</v>
      </c>
      <c r="B1405" t="s">
        <v>1033</v>
      </c>
      <c r="C1405" s="19">
        <v>0.45238095238095238</v>
      </c>
      <c r="D1405" s="19"/>
    </row>
    <row r="1406" spans="1:4" x14ac:dyDescent="0.25">
      <c r="A1406" t="s">
        <v>674</v>
      </c>
      <c r="B1406" t="s">
        <v>1009</v>
      </c>
      <c r="C1406" s="19">
        <v>0.45238095238095238</v>
      </c>
      <c r="D1406" s="19"/>
    </row>
    <row r="1407" spans="1:4" x14ac:dyDescent="0.25">
      <c r="A1407" t="s">
        <v>675</v>
      </c>
      <c r="B1407" t="s">
        <v>1034</v>
      </c>
      <c r="C1407" s="19">
        <v>0.39880952380952384</v>
      </c>
      <c r="D1407" s="19"/>
    </row>
    <row r="1408" spans="1:4" x14ac:dyDescent="0.25">
      <c r="A1408" t="s">
        <v>675</v>
      </c>
      <c r="B1408" t="s">
        <v>1035</v>
      </c>
      <c r="C1408" s="19">
        <v>0.39880952380952384</v>
      </c>
      <c r="D1408" s="19"/>
    </row>
    <row r="1409" spans="1:4" x14ac:dyDescent="0.25">
      <c r="A1409" t="s">
        <v>676</v>
      </c>
      <c r="B1409" t="s">
        <v>994</v>
      </c>
      <c r="C1409" s="19">
        <v>0.66831683168316836</v>
      </c>
      <c r="D1409" s="19"/>
    </row>
    <row r="1410" spans="1:4" x14ac:dyDescent="0.25">
      <c r="A1410" t="s">
        <v>676</v>
      </c>
      <c r="B1410" t="s">
        <v>1006</v>
      </c>
      <c r="C1410" s="19">
        <v>0.66831683168316836</v>
      </c>
      <c r="D1410" s="19"/>
    </row>
    <row r="1411" spans="1:4" x14ac:dyDescent="0.25">
      <c r="A1411" t="s">
        <v>677</v>
      </c>
      <c r="B1411" t="s">
        <v>997</v>
      </c>
      <c r="C1411" s="19">
        <v>1</v>
      </c>
      <c r="D1411" s="19"/>
    </row>
    <row r="1412" spans="1:4" x14ac:dyDescent="0.25">
      <c r="A1412" t="s">
        <v>677</v>
      </c>
      <c r="B1412" t="s">
        <v>1007</v>
      </c>
      <c r="C1412" s="19">
        <v>1</v>
      </c>
      <c r="D1412" s="19"/>
    </row>
    <row r="1413" spans="1:4" x14ac:dyDescent="0.25">
      <c r="A1413" t="s">
        <v>677</v>
      </c>
      <c r="B1413" t="s">
        <v>1001</v>
      </c>
      <c r="C1413" s="19">
        <v>1</v>
      </c>
      <c r="D1413" s="19"/>
    </row>
    <row r="1414" spans="1:4" x14ac:dyDescent="0.25">
      <c r="A1414" t="s">
        <v>679</v>
      </c>
      <c r="B1414" t="s">
        <v>1013</v>
      </c>
      <c r="C1414" s="19">
        <v>0.81060606060606055</v>
      </c>
      <c r="D1414" s="19"/>
    </row>
    <row r="1415" spans="1:4" x14ac:dyDescent="0.25">
      <c r="A1415" t="s">
        <v>679</v>
      </c>
      <c r="B1415" t="s">
        <v>1025</v>
      </c>
      <c r="C1415" s="19">
        <v>0.81060606060606055</v>
      </c>
      <c r="D1415" s="19"/>
    </row>
    <row r="1416" spans="1:4" x14ac:dyDescent="0.25">
      <c r="A1416" t="s">
        <v>679</v>
      </c>
      <c r="B1416" t="s">
        <v>1004</v>
      </c>
      <c r="C1416" s="19">
        <v>0.81060606060606055</v>
      </c>
      <c r="D1416" s="19"/>
    </row>
    <row r="1417" spans="1:4" x14ac:dyDescent="0.25">
      <c r="A1417" t="s">
        <v>679</v>
      </c>
      <c r="B1417" t="s">
        <v>1011</v>
      </c>
      <c r="C1417" s="19">
        <v>0.81060606060606055</v>
      </c>
      <c r="D1417" s="19"/>
    </row>
    <row r="1418" spans="1:4" x14ac:dyDescent="0.25">
      <c r="A1418" t="s">
        <v>679</v>
      </c>
      <c r="B1418" t="s">
        <v>1030</v>
      </c>
      <c r="C1418" s="19">
        <v>0.81060606060606055</v>
      </c>
      <c r="D1418" s="19"/>
    </row>
    <row r="1419" spans="1:4" x14ac:dyDescent="0.25">
      <c r="A1419" t="s">
        <v>679</v>
      </c>
      <c r="B1419" t="s">
        <v>997</v>
      </c>
      <c r="C1419" s="19">
        <v>0.81060606060606055</v>
      </c>
      <c r="D1419" s="19"/>
    </row>
    <row r="1420" spans="1:4" x14ac:dyDescent="0.25">
      <c r="A1420" t="s">
        <v>679</v>
      </c>
      <c r="B1420" t="s">
        <v>1001</v>
      </c>
      <c r="C1420" s="19">
        <v>0.81060606060606055</v>
      </c>
      <c r="D1420" s="19"/>
    </row>
    <row r="1421" spans="1:4" x14ac:dyDescent="0.25">
      <c r="A1421" t="s">
        <v>679</v>
      </c>
      <c r="B1421" t="s">
        <v>1007</v>
      </c>
      <c r="C1421" s="19">
        <v>0.81060606060606055</v>
      </c>
      <c r="D1421" s="19"/>
    </row>
    <row r="1422" spans="1:4" x14ac:dyDescent="0.25">
      <c r="A1422" t="s">
        <v>679</v>
      </c>
      <c r="B1422" t="s">
        <v>1023</v>
      </c>
      <c r="C1422" s="19">
        <v>0.81060606060606055</v>
      </c>
      <c r="D1422" s="19"/>
    </row>
    <row r="1423" spans="1:4" x14ac:dyDescent="0.25">
      <c r="A1423" t="s">
        <v>680</v>
      </c>
      <c r="B1423" t="s">
        <v>990</v>
      </c>
      <c r="C1423" s="19">
        <v>0.92506459948320419</v>
      </c>
      <c r="D1423" s="19"/>
    </row>
    <row r="1424" spans="1:4" x14ac:dyDescent="0.25">
      <c r="A1424" t="s">
        <v>680</v>
      </c>
      <c r="B1424" t="s">
        <v>988</v>
      </c>
      <c r="C1424" s="19">
        <v>0.92506459948320419</v>
      </c>
      <c r="D1424" s="19"/>
    </row>
    <row r="1425" spans="1:4" x14ac:dyDescent="0.25">
      <c r="A1425" t="s">
        <v>680</v>
      </c>
      <c r="B1425" t="s">
        <v>1019</v>
      </c>
      <c r="C1425" s="19">
        <v>0.92506459948320419</v>
      </c>
      <c r="D1425" s="19"/>
    </row>
    <row r="1426" spans="1:4" x14ac:dyDescent="0.25">
      <c r="A1426" t="s">
        <v>680</v>
      </c>
      <c r="B1426" t="s">
        <v>995</v>
      </c>
      <c r="C1426" s="19">
        <v>0.92506459948320419</v>
      </c>
      <c r="D1426" s="19"/>
    </row>
    <row r="1427" spans="1:4" x14ac:dyDescent="0.25">
      <c r="A1427" t="s">
        <v>680</v>
      </c>
      <c r="B1427" t="s">
        <v>1012</v>
      </c>
      <c r="C1427" s="19">
        <v>0.92506459948320419</v>
      </c>
      <c r="D1427" s="19"/>
    </row>
    <row r="1428" spans="1:4" x14ac:dyDescent="0.25">
      <c r="A1428" t="s">
        <v>680</v>
      </c>
      <c r="B1428" t="s">
        <v>1005</v>
      </c>
      <c r="C1428" s="19">
        <v>0.92506459948320419</v>
      </c>
      <c r="D1428" s="19"/>
    </row>
    <row r="1429" spans="1:4" x14ac:dyDescent="0.25">
      <c r="A1429" t="s">
        <v>680</v>
      </c>
      <c r="B1429" t="s">
        <v>986</v>
      </c>
      <c r="C1429" s="19">
        <v>0.92506459948320419</v>
      </c>
      <c r="D1429" s="19"/>
    </row>
    <row r="1430" spans="1:4" x14ac:dyDescent="0.25">
      <c r="A1430" t="s">
        <v>681</v>
      </c>
      <c r="B1430" t="s">
        <v>987</v>
      </c>
      <c r="C1430" s="19">
        <v>0.85</v>
      </c>
      <c r="D1430" s="19"/>
    </row>
    <row r="1431" spans="1:4" x14ac:dyDescent="0.25">
      <c r="A1431" t="s">
        <v>681</v>
      </c>
      <c r="B1431" t="s">
        <v>1027</v>
      </c>
      <c r="C1431" s="19">
        <v>0.85</v>
      </c>
      <c r="D1431" s="19"/>
    </row>
    <row r="1432" spans="1:4" x14ac:dyDescent="0.25">
      <c r="A1432" t="s">
        <v>681</v>
      </c>
      <c r="B1432" t="s">
        <v>1008</v>
      </c>
      <c r="C1432" s="19">
        <v>0.85</v>
      </c>
      <c r="D1432" s="19"/>
    </row>
    <row r="1433" spans="1:4" x14ac:dyDescent="0.25">
      <c r="A1433" t="s">
        <v>681</v>
      </c>
      <c r="B1433" t="s">
        <v>989</v>
      </c>
      <c r="C1433" s="19">
        <v>0.85</v>
      </c>
      <c r="D1433" s="19"/>
    </row>
    <row r="1434" spans="1:4" x14ac:dyDescent="0.25">
      <c r="A1434" t="s">
        <v>681</v>
      </c>
      <c r="B1434" t="s">
        <v>978</v>
      </c>
      <c r="C1434" s="19">
        <v>0.85</v>
      </c>
      <c r="D1434" s="19"/>
    </row>
    <row r="1435" spans="1:4" x14ac:dyDescent="0.25">
      <c r="A1435" t="s">
        <v>682</v>
      </c>
      <c r="B1435" t="s">
        <v>981</v>
      </c>
      <c r="C1435" s="19">
        <v>1.2</v>
      </c>
      <c r="D1435" s="19"/>
    </row>
    <row r="1436" spans="1:4" x14ac:dyDescent="0.25">
      <c r="A1436" t="s">
        <v>682</v>
      </c>
      <c r="B1436" t="s">
        <v>979</v>
      </c>
      <c r="C1436" s="19">
        <v>1.2</v>
      </c>
      <c r="D1436" s="19"/>
    </row>
    <row r="1437" spans="1:4" x14ac:dyDescent="0.25">
      <c r="A1437" t="s">
        <v>682</v>
      </c>
      <c r="B1437" t="s">
        <v>983</v>
      </c>
      <c r="C1437" s="19">
        <v>1.2</v>
      </c>
      <c r="D1437" s="19"/>
    </row>
    <row r="1438" spans="1:4" x14ac:dyDescent="0.25">
      <c r="A1438" t="s">
        <v>682</v>
      </c>
      <c r="B1438" t="s">
        <v>977</v>
      </c>
      <c r="C1438" s="19">
        <v>1.2</v>
      </c>
      <c r="D1438" s="19"/>
    </row>
    <row r="1439" spans="1:4" x14ac:dyDescent="0.25">
      <c r="A1439" t="s">
        <v>682</v>
      </c>
      <c r="B1439" t="s">
        <v>976</v>
      </c>
      <c r="C1439" s="19">
        <v>1.2</v>
      </c>
      <c r="D1439" s="19"/>
    </row>
    <row r="1440" spans="1:4" x14ac:dyDescent="0.25">
      <c r="A1440" t="s">
        <v>684</v>
      </c>
      <c r="B1440" t="s">
        <v>974</v>
      </c>
      <c r="C1440" s="19">
        <v>0.69899999999999995</v>
      </c>
      <c r="D1440" s="19"/>
    </row>
    <row r="1441" spans="1:4" x14ac:dyDescent="0.25">
      <c r="A1441" t="s">
        <v>684</v>
      </c>
      <c r="B1441" t="s">
        <v>1032</v>
      </c>
      <c r="C1441" s="19">
        <v>0.69899999999999995</v>
      </c>
      <c r="D1441" s="19"/>
    </row>
    <row r="1442" spans="1:4" x14ac:dyDescent="0.25">
      <c r="A1442" t="s">
        <v>684</v>
      </c>
      <c r="B1442" t="s">
        <v>1014</v>
      </c>
      <c r="C1442" s="19">
        <v>0.69899999999999995</v>
      </c>
      <c r="D1442" s="19"/>
    </row>
    <row r="1443" spans="1:4" x14ac:dyDescent="0.25">
      <c r="A1443" t="s">
        <v>685</v>
      </c>
      <c r="B1443" t="s">
        <v>985</v>
      </c>
      <c r="C1443" s="19">
        <v>0.77</v>
      </c>
      <c r="D1443" s="19"/>
    </row>
    <row r="1444" spans="1:4" x14ac:dyDescent="0.25">
      <c r="A1444" t="s">
        <v>685</v>
      </c>
      <c r="B1444" t="s">
        <v>973</v>
      </c>
      <c r="C1444" s="19">
        <v>0.77</v>
      </c>
      <c r="D1444" s="19"/>
    </row>
    <row r="1445" spans="1:4" x14ac:dyDescent="0.25">
      <c r="A1445" t="s">
        <v>686</v>
      </c>
      <c r="B1445" t="s">
        <v>1016</v>
      </c>
      <c r="C1445" s="19">
        <v>0.49450549450549453</v>
      </c>
      <c r="D1445" s="19"/>
    </row>
    <row r="1446" spans="1:4" x14ac:dyDescent="0.25">
      <c r="A1446" t="s">
        <v>686</v>
      </c>
      <c r="B1446" t="s">
        <v>1033</v>
      </c>
      <c r="C1446" s="19">
        <v>0.49450549450549453</v>
      </c>
      <c r="D1446" s="19"/>
    </row>
    <row r="1447" spans="1:4" x14ac:dyDescent="0.25">
      <c r="A1447" t="s">
        <v>686</v>
      </c>
      <c r="B1447" t="s">
        <v>1035</v>
      </c>
      <c r="C1447" s="19">
        <v>0.49450549450549453</v>
      </c>
      <c r="D1447" s="19"/>
    </row>
    <row r="1448" spans="1:4" x14ac:dyDescent="0.25">
      <c r="A1448" t="s">
        <v>687</v>
      </c>
      <c r="B1448" t="s">
        <v>1016</v>
      </c>
      <c r="C1448" s="19">
        <v>0.48309178743961351</v>
      </c>
      <c r="D1448" s="19"/>
    </row>
    <row r="1449" spans="1:4" x14ac:dyDescent="0.25">
      <c r="A1449" t="s">
        <v>687</v>
      </c>
      <c r="B1449" t="s">
        <v>1033</v>
      </c>
      <c r="C1449" s="19">
        <v>0.48309178743961351</v>
      </c>
      <c r="D1449" s="19"/>
    </row>
    <row r="1450" spans="1:4" x14ac:dyDescent="0.25">
      <c r="A1450" t="s">
        <v>687</v>
      </c>
      <c r="B1450" t="s">
        <v>1035</v>
      </c>
      <c r="C1450" s="19">
        <v>0.48309178743961351</v>
      </c>
      <c r="D1450" s="19"/>
    </row>
    <row r="1451" spans="1:4" x14ac:dyDescent="0.25">
      <c r="A1451" t="s">
        <v>688</v>
      </c>
      <c r="B1451" t="s">
        <v>1034</v>
      </c>
      <c r="C1451" s="19">
        <v>1.0005952380952381</v>
      </c>
      <c r="D1451" s="19"/>
    </row>
    <row r="1452" spans="1:4" x14ac:dyDescent="0.25">
      <c r="A1452" t="s">
        <v>688</v>
      </c>
      <c r="B1452" t="s">
        <v>1009</v>
      </c>
      <c r="C1452" s="19">
        <v>1.0005952380952381</v>
      </c>
      <c r="D1452" s="19"/>
    </row>
    <row r="1453" spans="1:4" x14ac:dyDescent="0.25">
      <c r="A1453" t="s">
        <v>689</v>
      </c>
      <c r="B1453" t="s">
        <v>994</v>
      </c>
      <c r="C1453" s="19">
        <v>0.56666666666666665</v>
      </c>
      <c r="D1453" s="19"/>
    </row>
    <row r="1454" spans="1:4" x14ac:dyDescent="0.25">
      <c r="A1454" t="s">
        <v>689</v>
      </c>
      <c r="B1454" t="s">
        <v>1006</v>
      </c>
      <c r="C1454" s="19">
        <v>0.56666666666666665</v>
      </c>
      <c r="D1454" s="19"/>
    </row>
    <row r="1455" spans="1:4" x14ac:dyDescent="0.25">
      <c r="A1455" t="s">
        <v>690</v>
      </c>
      <c r="B1455" t="s">
        <v>1001</v>
      </c>
      <c r="C1455" s="19">
        <v>1</v>
      </c>
      <c r="D1455" s="19"/>
    </row>
    <row r="1456" spans="1:4" x14ac:dyDescent="0.25">
      <c r="A1456" t="s">
        <v>690</v>
      </c>
      <c r="B1456" t="s">
        <v>1007</v>
      </c>
      <c r="C1456" s="19">
        <v>1</v>
      </c>
      <c r="D1456" s="19"/>
    </row>
    <row r="1457" spans="1:4" x14ac:dyDescent="0.25">
      <c r="A1457" t="s">
        <v>690</v>
      </c>
      <c r="B1457" t="s">
        <v>997</v>
      </c>
      <c r="C1457" s="19">
        <v>1</v>
      </c>
      <c r="D1457" s="19"/>
    </row>
    <row r="1458" spans="1:4" x14ac:dyDescent="0.25">
      <c r="A1458" t="s">
        <v>691</v>
      </c>
      <c r="B1458" t="s">
        <v>1013</v>
      </c>
      <c r="C1458" s="19">
        <v>0.875</v>
      </c>
      <c r="D1458" s="19"/>
    </row>
    <row r="1459" spans="1:4" x14ac:dyDescent="0.25">
      <c r="A1459" t="s">
        <v>691</v>
      </c>
      <c r="B1459" t="s">
        <v>1011</v>
      </c>
      <c r="C1459" s="19">
        <v>0.875</v>
      </c>
      <c r="D1459" s="19"/>
    </row>
    <row r="1460" spans="1:4" x14ac:dyDescent="0.25">
      <c r="A1460" t="s">
        <v>691</v>
      </c>
      <c r="B1460" t="s">
        <v>1007</v>
      </c>
      <c r="C1460" s="19">
        <v>0.875</v>
      </c>
      <c r="D1460" s="19"/>
    </row>
    <row r="1461" spans="1:4" x14ac:dyDescent="0.25">
      <c r="A1461" t="s">
        <v>691</v>
      </c>
      <c r="B1461" t="s">
        <v>997</v>
      </c>
      <c r="C1461" s="19">
        <v>0.875</v>
      </c>
      <c r="D1461" s="19"/>
    </row>
    <row r="1462" spans="1:4" x14ac:dyDescent="0.25">
      <c r="A1462" t="s">
        <v>691</v>
      </c>
      <c r="B1462" t="s">
        <v>1001</v>
      </c>
      <c r="C1462" s="19">
        <v>0.875</v>
      </c>
      <c r="D1462" s="19"/>
    </row>
    <row r="1463" spans="1:4" x14ac:dyDescent="0.25">
      <c r="A1463" t="s">
        <v>691</v>
      </c>
      <c r="B1463" t="s">
        <v>1023</v>
      </c>
      <c r="C1463" s="19">
        <v>0.875</v>
      </c>
      <c r="D1463" s="19"/>
    </row>
    <row r="1464" spans="1:4" x14ac:dyDescent="0.25">
      <c r="A1464" t="s">
        <v>691</v>
      </c>
      <c r="B1464" t="s">
        <v>1004</v>
      </c>
      <c r="C1464" s="19">
        <v>0.875</v>
      </c>
      <c r="D1464" s="19"/>
    </row>
    <row r="1465" spans="1:4" x14ac:dyDescent="0.25">
      <c r="A1465" t="s">
        <v>691</v>
      </c>
      <c r="B1465" t="s">
        <v>1030</v>
      </c>
      <c r="C1465" s="19">
        <v>0.875</v>
      </c>
      <c r="D1465" s="19"/>
    </row>
    <row r="1466" spans="1:4" x14ac:dyDescent="0.25">
      <c r="A1466" t="s">
        <v>691</v>
      </c>
      <c r="B1466" t="s">
        <v>1025</v>
      </c>
      <c r="C1466" s="19">
        <v>0.875</v>
      </c>
      <c r="D1466" s="19"/>
    </row>
    <row r="1467" spans="1:4" x14ac:dyDescent="0.25">
      <c r="A1467" t="s">
        <v>692</v>
      </c>
      <c r="B1467" t="s">
        <v>1019</v>
      </c>
      <c r="C1467" s="19">
        <v>0.6313333333333333</v>
      </c>
      <c r="D1467" s="19"/>
    </row>
    <row r="1468" spans="1:4" x14ac:dyDescent="0.25">
      <c r="A1468" t="s">
        <v>693</v>
      </c>
      <c r="B1468" t="s">
        <v>990</v>
      </c>
      <c r="C1468" s="19">
        <v>0.77872340425531916</v>
      </c>
      <c r="D1468" s="19"/>
    </row>
    <row r="1469" spans="1:4" x14ac:dyDescent="0.25">
      <c r="A1469" t="s">
        <v>693</v>
      </c>
      <c r="B1469" t="s">
        <v>988</v>
      </c>
      <c r="C1469" s="19">
        <v>0.77872340425531916</v>
      </c>
      <c r="D1469" s="19"/>
    </row>
    <row r="1470" spans="1:4" x14ac:dyDescent="0.25">
      <c r="A1470" t="s">
        <v>693</v>
      </c>
      <c r="B1470" t="s">
        <v>1012</v>
      </c>
      <c r="C1470" s="19">
        <v>0.77872340425531916</v>
      </c>
      <c r="D1470" s="19"/>
    </row>
    <row r="1471" spans="1:4" x14ac:dyDescent="0.25">
      <c r="A1471" t="s">
        <v>693</v>
      </c>
      <c r="B1471" t="s">
        <v>995</v>
      </c>
      <c r="C1471" s="19">
        <v>0.77872340425531916</v>
      </c>
      <c r="D1471" s="19"/>
    </row>
    <row r="1472" spans="1:4" x14ac:dyDescent="0.25">
      <c r="A1472" t="s">
        <v>693</v>
      </c>
      <c r="B1472" t="s">
        <v>1028</v>
      </c>
      <c r="C1472" s="19">
        <v>0.77872340425531916</v>
      </c>
      <c r="D1472" s="19"/>
    </row>
    <row r="1473" spans="1:4" x14ac:dyDescent="0.25">
      <c r="A1473" t="s">
        <v>693</v>
      </c>
      <c r="B1473" t="s">
        <v>1026</v>
      </c>
      <c r="C1473" s="19">
        <v>0.77872340425531916</v>
      </c>
      <c r="D1473" s="19"/>
    </row>
    <row r="1474" spans="1:4" x14ac:dyDescent="0.25">
      <c r="A1474" t="s">
        <v>693</v>
      </c>
      <c r="B1474" t="s">
        <v>1005</v>
      </c>
      <c r="C1474" s="19">
        <v>0.77872340425531916</v>
      </c>
      <c r="D1474" s="19"/>
    </row>
    <row r="1475" spans="1:4" x14ac:dyDescent="0.25">
      <c r="A1475" t="s">
        <v>693</v>
      </c>
      <c r="B1475" t="s">
        <v>986</v>
      </c>
      <c r="C1475" s="19">
        <v>0.77872340425531916</v>
      </c>
      <c r="D1475" s="19"/>
    </row>
    <row r="1476" spans="1:4" x14ac:dyDescent="0.25">
      <c r="A1476" t="s">
        <v>696</v>
      </c>
      <c r="B1476" t="s">
        <v>979</v>
      </c>
      <c r="C1476" s="19">
        <v>1.075</v>
      </c>
      <c r="D1476" s="19"/>
    </row>
    <row r="1477" spans="1:4" x14ac:dyDescent="0.25">
      <c r="A1477" t="s">
        <v>696</v>
      </c>
      <c r="B1477" t="s">
        <v>981</v>
      </c>
      <c r="C1477" s="19">
        <v>1.075</v>
      </c>
      <c r="D1477" s="19"/>
    </row>
    <row r="1478" spans="1:4" x14ac:dyDescent="0.25">
      <c r="A1478" t="s">
        <v>696</v>
      </c>
      <c r="B1478" t="s">
        <v>983</v>
      </c>
      <c r="C1478" s="19">
        <v>1.075</v>
      </c>
      <c r="D1478" s="19"/>
    </row>
    <row r="1479" spans="1:4" x14ac:dyDescent="0.25">
      <c r="A1479" t="s">
        <v>696</v>
      </c>
      <c r="B1479" t="s">
        <v>976</v>
      </c>
      <c r="C1479" s="19">
        <v>1.075</v>
      </c>
      <c r="D1479" s="19"/>
    </row>
    <row r="1480" spans="1:4" x14ac:dyDescent="0.25">
      <c r="A1480" t="s">
        <v>697</v>
      </c>
      <c r="B1480" t="s">
        <v>974</v>
      </c>
      <c r="C1480" s="19">
        <v>1.1458333333333333</v>
      </c>
      <c r="D1480" s="19"/>
    </row>
    <row r="1481" spans="1:4" x14ac:dyDescent="0.25">
      <c r="A1481" t="s">
        <v>697</v>
      </c>
      <c r="B1481" t="s">
        <v>987</v>
      </c>
      <c r="C1481" s="19">
        <v>1.1458333333333333</v>
      </c>
      <c r="D1481" s="19"/>
    </row>
    <row r="1482" spans="1:4" x14ac:dyDescent="0.25">
      <c r="A1482" t="s">
        <v>697</v>
      </c>
      <c r="B1482" t="s">
        <v>978</v>
      </c>
      <c r="C1482" s="19">
        <v>1.1458333333333333</v>
      </c>
      <c r="D1482" s="19"/>
    </row>
    <row r="1483" spans="1:4" x14ac:dyDescent="0.25">
      <c r="A1483" t="s">
        <v>697</v>
      </c>
      <c r="B1483" t="s">
        <v>989</v>
      </c>
      <c r="C1483" s="19">
        <v>1.1458333333333333</v>
      </c>
      <c r="D1483" s="19"/>
    </row>
    <row r="1484" spans="1:4" x14ac:dyDescent="0.25">
      <c r="A1484" t="s">
        <v>697</v>
      </c>
      <c r="B1484" t="s">
        <v>1027</v>
      </c>
      <c r="C1484" s="19">
        <v>1.1458333333333333</v>
      </c>
      <c r="D1484" s="19"/>
    </row>
    <row r="1485" spans="1:4" x14ac:dyDescent="0.25">
      <c r="A1485" t="s">
        <v>699</v>
      </c>
      <c r="B1485" t="s">
        <v>1014</v>
      </c>
      <c r="C1485" s="19">
        <v>0.6</v>
      </c>
      <c r="D1485" s="19"/>
    </row>
    <row r="1486" spans="1:4" x14ac:dyDescent="0.25">
      <c r="A1486" t="s">
        <v>699</v>
      </c>
      <c r="B1486" t="s">
        <v>1008</v>
      </c>
      <c r="C1486" s="19">
        <v>0.6</v>
      </c>
      <c r="D1486" s="19"/>
    </row>
    <row r="1487" spans="1:4" x14ac:dyDescent="0.25">
      <c r="A1487" t="s">
        <v>699</v>
      </c>
      <c r="B1487" t="s">
        <v>973</v>
      </c>
      <c r="C1487" s="19">
        <v>0.6</v>
      </c>
      <c r="D1487" s="19"/>
    </row>
    <row r="1488" spans="1:4" x14ac:dyDescent="0.25">
      <c r="A1488" t="s">
        <v>702</v>
      </c>
      <c r="B1488" t="s">
        <v>985</v>
      </c>
      <c r="C1488" s="19">
        <v>0.79</v>
      </c>
      <c r="D1488" s="19"/>
    </row>
    <row r="1489" spans="1:4" x14ac:dyDescent="0.25">
      <c r="A1489" t="s">
        <v>702</v>
      </c>
      <c r="B1489" t="s">
        <v>1031</v>
      </c>
      <c r="C1489" s="19">
        <v>0.79</v>
      </c>
      <c r="D1489" s="19"/>
    </row>
    <row r="1490" spans="1:4" x14ac:dyDescent="0.25">
      <c r="A1490" t="s">
        <v>703</v>
      </c>
      <c r="B1490" t="s">
        <v>1034</v>
      </c>
      <c r="C1490" s="19">
        <v>0.44165757906215919</v>
      </c>
      <c r="D1490" s="19"/>
    </row>
    <row r="1491" spans="1:4" x14ac:dyDescent="0.25">
      <c r="A1491" t="s">
        <v>703</v>
      </c>
      <c r="B1491" t="s">
        <v>1009</v>
      </c>
      <c r="C1491" s="19">
        <v>0.44165757906215919</v>
      </c>
      <c r="D1491" s="19"/>
    </row>
    <row r="1492" spans="1:4" x14ac:dyDescent="0.25">
      <c r="A1492" t="s">
        <v>703</v>
      </c>
      <c r="B1492" t="s">
        <v>1035</v>
      </c>
      <c r="C1492" s="19">
        <v>0.44165757906215919</v>
      </c>
      <c r="D1492" s="19"/>
    </row>
    <row r="1493" spans="1:4" x14ac:dyDescent="0.25">
      <c r="A1493" t="s">
        <v>704</v>
      </c>
      <c r="B1493" t="s">
        <v>1034</v>
      </c>
      <c r="C1493" s="19">
        <v>0.32500000000000001</v>
      </c>
      <c r="D1493" s="19"/>
    </row>
    <row r="1494" spans="1:4" x14ac:dyDescent="0.25">
      <c r="A1494" t="s">
        <v>704</v>
      </c>
      <c r="B1494" t="s">
        <v>1009</v>
      </c>
      <c r="C1494" s="19">
        <v>0.32500000000000001</v>
      </c>
      <c r="D1494" s="19"/>
    </row>
    <row r="1495" spans="1:4" x14ac:dyDescent="0.25">
      <c r="A1495" t="s">
        <v>704</v>
      </c>
      <c r="B1495" t="s">
        <v>1035</v>
      </c>
      <c r="C1495" s="19">
        <v>0.32500000000000001</v>
      </c>
      <c r="D1495" s="19"/>
    </row>
    <row r="1496" spans="1:4" x14ac:dyDescent="0.25">
      <c r="A1496" t="s">
        <v>705</v>
      </c>
      <c r="B1496" t="s">
        <v>1016</v>
      </c>
      <c r="C1496" s="19">
        <v>0.8035714285714286</v>
      </c>
      <c r="D1496" s="19"/>
    </row>
    <row r="1497" spans="1:4" x14ac:dyDescent="0.25">
      <c r="A1497" t="s">
        <v>705</v>
      </c>
      <c r="B1497" t="s">
        <v>1033</v>
      </c>
      <c r="C1497" s="19">
        <v>0.8035714285714286</v>
      </c>
      <c r="D1497" s="19"/>
    </row>
    <row r="1498" spans="1:4" x14ac:dyDescent="0.25">
      <c r="A1498" t="s">
        <v>706</v>
      </c>
      <c r="B1498" t="s">
        <v>994</v>
      </c>
      <c r="C1498" s="19">
        <v>0.74444444444444446</v>
      </c>
      <c r="D1498" s="19"/>
    </row>
    <row r="1499" spans="1:4" x14ac:dyDescent="0.25">
      <c r="A1499" t="s">
        <v>706</v>
      </c>
      <c r="B1499" t="s">
        <v>1006</v>
      </c>
      <c r="C1499" s="19">
        <v>0.74444444444444446</v>
      </c>
      <c r="D1499" s="19"/>
    </row>
    <row r="1500" spans="1:4" x14ac:dyDescent="0.25">
      <c r="A1500" t="s">
        <v>707</v>
      </c>
      <c r="B1500" t="s">
        <v>1007</v>
      </c>
      <c r="C1500" s="19">
        <v>1</v>
      </c>
      <c r="D1500" s="19"/>
    </row>
    <row r="1501" spans="1:4" x14ac:dyDescent="0.25">
      <c r="A1501" t="s">
        <v>707</v>
      </c>
      <c r="B1501" t="s">
        <v>997</v>
      </c>
      <c r="C1501" s="19">
        <v>1</v>
      </c>
      <c r="D1501" s="19"/>
    </row>
    <row r="1502" spans="1:4" x14ac:dyDescent="0.25">
      <c r="A1502" t="s">
        <v>707</v>
      </c>
      <c r="B1502" t="s">
        <v>1001</v>
      </c>
      <c r="C1502" s="19">
        <v>1</v>
      </c>
      <c r="D1502" s="19"/>
    </row>
    <row r="1503" spans="1:4" x14ac:dyDescent="0.25">
      <c r="A1503" t="s">
        <v>709</v>
      </c>
      <c r="B1503" t="s">
        <v>1013</v>
      </c>
      <c r="C1503" s="19">
        <v>1</v>
      </c>
      <c r="D1503" s="19"/>
    </row>
    <row r="1504" spans="1:4" x14ac:dyDescent="0.25">
      <c r="A1504" t="s">
        <v>709</v>
      </c>
      <c r="B1504" t="s">
        <v>1011</v>
      </c>
      <c r="C1504" s="19">
        <v>1</v>
      </c>
      <c r="D1504" s="19"/>
    </row>
    <row r="1505" spans="1:4" x14ac:dyDescent="0.25">
      <c r="A1505" t="s">
        <v>709</v>
      </c>
      <c r="B1505" t="s">
        <v>1030</v>
      </c>
      <c r="C1505" s="19">
        <v>1</v>
      </c>
      <c r="D1505" s="19"/>
    </row>
    <row r="1506" spans="1:4" x14ac:dyDescent="0.25">
      <c r="A1506" t="s">
        <v>709</v>
      </c>
      <c r="B1506" t="s">
        <v>1004</v>
      </c>
      <c r="C1506" s="19">
        <v>1</v>
      </c>
      <c r="D1506" s="19"/>
    </row>
    <row r="1507" spans="1:4" x14ac:dyDescent="0.25">
      <c r="A1507" t="s">
        <v>709</v>
      </c>
      <c r="B1507" t="s">
        <v>1023</v>
      </c>
      <c r="C1507" s="19">
        <v>1</v>
      </c>
      <c r="D1507" s="19"/>
    </row>
    <row r="1508" spans="1:4" x14ac:dyDescent="0.25">
      <c r="A1508" t="s">
        <v>709</v>
      </c>
      <c r="B1508" t="s">
        <v>1025</v>
      </c>
      <c r="C1508" s="19">
        <v>1</v>
      </c>
      <c r="D1508" s="19"/>
    </row>
    <row r="1509" spans="1:4" x14ac:dyDescent="0.25">
      <c r="A1509" t="s">
        <v>711</v>
      </c>
      <c r="B1509" t="s">
        <v>1013</v>
      </c>
      <c r="C1509" s="19">
        <v>0.50740740740740742</v>
      </c>
      <c r="D1509" s="19"/>
    </row>
    <row r="1510" spans="1:4" x14ac:dyDescent="0.25">
      <c r="A1510" t="s">
        <v>711</v>
      </c>
      <c r="B1510" t="s">
        <v>1011</v>
      </c>
      <c r="C1510" s="19">
        <v>0.50740740740740742</v>
      </c>
      <c r="D1510" s="19"/>
    </row>
    <row r="1511" spans="1:4" x14ac:dyDescent="0.25">
      <c r="A1511" t="s">
        <v>711</v>
      </c>
      <c r="B1511" t="s">
        <v>1030</v>
      </c>
      <c r="C1511" s="19">
        <v>0.50740740740740742</v>
      </c>
      <c r="D1511" s="19"/>
    </row>
    <row r="1512" spans="1:4" x14ac:dyDescent="0.25">
      <c r="A1512" t="s">
        <v>711</v>
      </c>
      <c r="B1512" t="s">
        <v>1004</v>
      </c>
      <c r="C1512" s="19">
        <v>0.50740740740740742</v>
      </c>
      <c r="D1512" s="19"/>
    </row>
    <row r="1513" spans="1:4" x14ac:dyDescent="0.25">
      <c r="A1513" t="s">
        <v>711</v>
      </c>
      <c r="B1513" t="s">
        <v>1023</v>
      </c>
      <c r="C1513" s="19">
        <v>0.50740740740740742</v>
      </c>
      <c r="D1513" s="19"/>
    </row>
    <row r="1514" spans="1:4" x14ac:dyDescent="0.25">
      <c r="A1514" t="s">
        <v>711</v>
      </c>
      <c r="B1514" t="s">
        <v>1025</v>
      </c>
      <c r="C1514" s="19">
        <v>0.50740740740740742</v>
      </c>
      <c r="D1514" s="19"/>
    </row>
    <row r="1515" spans="1:4" x14ac:dyDescent="0.25">
      <c r="A1515" t="s">
        <v>711</v>
      </c>
      <c r="B1515" t="s">
        <v>1007</v>
      </c>
      <c r="C1515" s="19">
        <v>0.50740740740740742</v>
      </c>
      <c r="D1515" s="19"/>
    </row>
    <row r="1516" spans="1:4" x14ac:dyDescent="0.25">
      <c r="A1516" t="s">
        <v>711</v>
      </c>
      <c r="B1516" t="s">
        <v>1001</v>
      </c>
      <c r="C1516" s="19">
        <v>0.50740740740740742</v>
      </c>
      <c r="D1516" s="19"/>
    </row>
    <row r="1517" spans="1:4" x14ac:dyDescent="0.25">
      <c r="A1517" t="s">
        <v>711</v>
      </c>
      <c r="B1517" t="s">
        <v>997</v>
      </c>
      <c r="C1517" s="19">
        <v>0.50740740740740742</v>
      </c>
      <c r="D1517" s="19"/>
    </row>
    <row r="1518" spans="1:4" x14ac:dyDescent="0.25">
      <c r="A1518" t="s">
        <v>712</v>
      </c>
      <c r="B1518" t="s">
        <v>990</v>
      </c>
      <c r="C1518" s="19">
        <v>0.39500000000000002</v>
      </c>
      <c r="D1518" s="19"/>
    </row>
    <row r="1519" spans="1:4" x14ac:dyDescent="0.25">
      <c r="A1519" t="s">
        <v>713</v>
      </c>
      <c r="B1519" t="s">
        <v>999</v>
      </c>
      <c r="C1519" s="19">
        <v>0.75912408759124084</v>
      </c>
      <c r="D1519" s="19"/>
    </row>
    <row r="1520" spans="1:4" x14ac:dyDescent="0.25">
      <c r="A1520" t="s">
        <v>713</v>
      </c>
      <c r="B1520" t="s">
        <v>995</v>
      </c>
      <c r="C1520" s="19">
        <v>0.75912408759124084</v>
      </c>
      <c r="D1520" s="19"/>
    </row>
    <row r="1521" spans="1:4" x14ac:dyDescent="0.25">
      <c r="A1521" t="s">
        <v>713</v>
      </c>
      <c r="B1521" t="s">
        <v>1012</v>
      </c>
      <c r="C1521" s="19">
        <v>0.75912408759124084</v>
      </c>
      <c r="D1521" s="19"/>
    </row>
    <row r="1522" spans="1:4" x14ac:dyDescent="0.25">
      <c r="A1522" t="s">
        <v>713</v>
      </c>
      <c r="B1522" t="s">
        <v>1005</v>
      </c>
      <c r="C1522" s="19">
        <v>0.75912408759124084</v>
      </c>
      <c r="D1522" s="19"/>
    </row>
    <row r="1523" spans="1:4" x14ac:dyDescent="0.25">
      <c r="A1523" t="s">
        <v>713</v>
      </c>
      <c r="B1523" t="s">
        <v>1026</v>
      </c>
      <c r="C1523" s="19">
        <v>0.75912408759124084</v>
      </c>
      <c r="D1523" s="19"/>
    </row>
    <row r="1524" spans="1:4" x14ac:dyDescent="0.25">
      <c r="A1524" t="s">
        <v>713</v>
      </c>
      <c r="B1524" t="s">
        <v>1028</v>
      </c>
      <c r="C1524" s="19">
        <v>0.75912408759124084</v>
      </c>
      <c r="D1524" s="19"/>
    </row>
    <row r="1525" spans="1:4" x14ac:dyDescent="0.25">
      <c r="A1525" t="s">
        <v>713</v>
      </c>
      <c r="B1525" t="s">
        <v>986</v>
      </c>
      <c r="C1525" s="19">
        <v>0.75912408759124084</v>
      </c>
      <c r="D1525" s="19"/>
    </row>
    <row r="1526" spans="1:4" x14ac:dyDescent="0.25">
      <c r="A1526" t="s">
        <v>714</v>
      </c>
      <c r="B1526" t="s">
        <v>1005</v>
      </c>
      <c r="C1526" s="19">
        <v>0.95550000000000002</v>
      </c>
      <c r="D1526" s="19"/>
    </row>
    <row r="1527" spans="1:4" x14ac:dyDescent="0.25">
      <c r="A1527" t="s">
        <v>716</v>
      </c>
      <c r="B1527" t="s">
        <v>986</v>
      </c>
      <c r="C1527" s="19">
        <v>1.2037037037037037</v>
      </c>
      <c r="D1527" s="19"/>
    </row>
    <row r="1528" spans="1:4" x14ac:dyDescent="0.25">
      <c r="A1528" t="s">
        <v>716</v>
      </c>
      <c r="B1528" t="s">
        <v>988</v>
      </c>
      <c r="C1528" s="19">
        <v>1.2037037037037037</v>
      </c>
      <c r="D1528" s="19"/>
    </row>
    <row r="1529" spans="1:4" x14ac:dyDescent="0.25">
      <c r="A1529" t="s">
        <v>716</v>
      </c>
      <c r="B1529" t="s">
        <v>990</v>
      </c>
      <c r="C1529" s="19">
        <v>1.2037037037037037</v>
      </c>
      <c r="D1529" s="19"/>
    </row>
    <row r="1530" spans="1:4" x14ac:dyDescent="0.25">
      <c r="A1530" t="s">
        <v>716</v>
      </c>
      <c r="B1530" t="s">
        <v>975</v>
      </c>
      <c r="C1530" s="19">
        <v>1.2037037037037037</v>
      </c>
      <c r="D1530" s="19"/>
    </row>
    <row r="1531" spans="1:4" x14ac:dyDescent="0.25">
      <c r="A1531" t="s">
        <v>717</v>
      </c>
      <c r="B1531" t="s">
        <v>1027</v>
      </c>
      <c r="C1531" s="19">
        <v>0.67222222222222228</v>
      </c>
      <c r="D1531" s="19"/>
    </row>
    <row r="1532" spans="1:4" x14ac:dyDescent="0.25">
      <c r="A1532" t="s">
        <v>717</v>
      </c>
      <c r="B1532" t="s">
        <v>987</v>
      </c>
      <c r="C1532" s="19">
        <v>0.67222222222222228</v>
      </c>
      <c r="D1532" s="19"/>
    </row>
    <row r="1533" spans="1:4" x14ac:dyDescent="0.25">
      <c r="A1533" t="s">
        <v>717</v>
      </c>
      <c r="B1533" t="s">
        <v>978</v>
      </c>
      <c r="C1533" s="19">
        <v>0.67222222222222228</v>
      </c>
      <c r="D1533" s="19"/>
    </row>
    <row r="1534" spans="1:4" x14ac:dyDescent="0.25">
      <c r="A1534" t="s">
        <v>717</v>
      </c>
      <c r="B1534" t="s">
        <v>1031</v>
      </c>
      <c r="C1534" s="19">
        <v>0.67222222222222228</v>
      </c>
      <c r="D1534" s="19"/>
    </row>
    <row r="1535" spans="1:4" x14ac:dyDescent="0.25">
      <c r="A1535" t="s">
        <v>717</v>
      </c>
      <c r="B1535" t="s">
        <v>1014</v>
      </c>
      <c r="C1535" s="19">
        <v>0.67222222222222228</v>
      </c>
      <c r="D1535" s="19"/>
    </row>
    <row r="1536" spans="1:4" x14ac:dyDescent="0.25">
      <c r="A1536" t="s">
        <v>717</v>
      </c>
      <c r="B1536" t="s">
        <v>989</v>
      </c>
      <c r="C1536" s="19">
        <v>0.67222222222222228</v>
      </c>
      <c r="D1536" s="19"/>
    </row>
    <row r="1537" spans="1:4" x14ac:dyDescent="0.25">
      <c r="A1537" t="s">
        <v>718</v>
      </c>
      <c r="B1537" t="s">
        <v>983</v>
      </c>
      <c r="C1537" s="19">
        <v>1</v>
      </c>
      <c r="D1537" s="19"/>
    </row>
    <row r="1538" spans="1:4" x14ac:dyDescent="0.25">
      <c r="A1538" t="s">
        <v>718</v>
      </c>
      <c r="B1538" t="s">
        <v>979</v>
      </c>
      <c r="C1538" s="19">
        <v>1</v>
      </c>
      <c r="D1538" s="19"/>
    </row>
    <row r="1539" spans="1:4" x14ac:dyDescent="0.25">
      <c r="A1539" t="s">
        <v>718</v>
      </c>
      <c r="B1539" t="s">
        <v>976</v>
      </c>
      <c r="C1539" s="19">
        <v>1</v>
      </c>
      <c r="D1539" s="19"/>
    </row>
    <row r="1540" spans="1:4" x14ac:dyDescent="0.25">
      <c r="A1540" t="s">
        <v>718</v>
      </c>
      <c r="B1540" t="s">
        <v>981</v>
      </c>
      <c r="C1540" s="19">
        <v>1</v>
      </c>
      <c r="D1540" s="19"/>
    </row>
    <row r="1541" spans="1:4" x14ac:dyDescent="0.25">
      <c r="A1541" t="s">
        <v>718</v>
      </c>
      <c r="B1541" t="s">
        <v>977</v>
      </c>
      <c r="C1541" s="19">
        <v>1</v>
      </c>
      <c r="D1541" s="19"/>
    </row>
    <row r="1542" spans="1:4" x14ac:dyDescent="0.25">
      <c r="A1542" t="s">
        <v>720</v>
      </c>
      <c r="B1542" t="s">
        <v>985</v>
      </c>
      <c r="C1542" s="19">
        <v>0.7533333333333333</v>
      </c>
      <c r="D1542" s="19"/>
    </row>
    <row r="1543" spans="1:4" x14ac:dyDescent="0.25">
      <c r="A1543" t="s">
        <v>720</v>
      </c>
      <c r="B1543" t="s">
        <v>973</v>
      </c>
      <c r="C1543" s="19">
        <v>0.7533333333333333</v>
      </c>
      <c r="D1543" s="19"/>
    </row>
    <row r="1544" spans="1:4" x14ac:dyDescent="0.25">
      <c r="A1544" t="s">
        <v>720</v>
      </c>
      <c r="B1544" t="s">
        <v>1032</v>
      </c>
      <c r="C1544" s="19">
        <v>0.7533333333333333</v>
      </c>
      <c r="D1544" s="19"/>
    </row>
    <row r="1545" spans="1:4" x14ac:dyDescent="0.25">
      <c r="A1545" t="s">
        <v>722</v>
      </c>
      <c r="B1545" t="s">
        <v>1033</v>
      </c>
      <c r="C1545" s="19">
        <v>0.68</v>
      </c>
      <c r="D1545" s="19"/>
    </row>
    <row r="1546" spans="1:4" x14ac:dyDescent="0.25">
      <c r="A1546" t="s">
        <v>722</v>
      </c>
      <c r="B1546" t="s">
        <v>1034</v>
      </c>
      <c r="C1546" s="19">
        <v>0.68</v>
      </c>
      <c r="D1546" s="19"/>
    </row>
    <row r="1547" spans="1:4" x14ac:dyDescent="0.25">
      <c r="A1547" t="s">
        <v>722</v>
      </c>
      <c r="B1547" t="s">
        <v>1035</v>
      </c>
      <c r="C1547" s="19">
        <v>0.68</v>
      </c>
      <c r="D1547" s="19"/>
    </row>
    <row r="1548" spans="1:4" x14ac:dyDescent="0.25">
      <c r="A1548" t="s">
        <v>723</v>
      </c>
      <c r="B1548" t="s">
        <v>1016</v>
      </c>
      <c r="C1548" s="19">
        <v>0.87</v>
      </c>
      <c r="D1548" s="19"/>
    </row>
    <row r="1549" spans="1:4" x14ac:dyDescent="0.25">
      <c r="A1549" t="s">
        <v>723</v>
      </c>
      <c r="B1549" t="s">
        <v>1009</v>
      </c>
      <c r="C1549" s="19">
        <v>0.87</v>
      </c>
      <c r="D1549" s="19"/>
    </row>
    <row r="1550" spans="1:4" x14ac:dyDescent="0.25">
      <c r="A1550" t="s">
        <v>724</v>
      </c>
      <c r="B1550" t="s">
        <v>994</v>
      </c>
      <c r="C1550" s="19">
        <v>1.92</v>
      </c>
      <c r="D1550" s="19"/>
    </row>
    <row r="1551" spans="1:4" x14ac:dyDescent="0.25">
      <c r="A1551" t="s">
        <v>725</v>
      </c>
      <c r="B1551" t="s">
        <v>994</v>
      </c>
      <c r="C1551" s="19">
        <v>1.2</v>
      </c>
      <c r="D1551" s="19"/>
    </row>
    <row r="1552" spans="1:4" x14ac:dyDescent="0.25">
      <c r="A1552" t="s">
        <v>726</v>
      </c>
      <c r="B1552" t="s">
        <v>997</v>
      </c>
      <c r="C1552" s="19">
        <v>0.8571428571428571</v>
      </c>
      <c r="D1552" s="19"/>
    </row>
    <row r="1553" spans="1:4" x14ac:dyDescent="0.25">
      <c r="A1553" t="s">
        <v>727</v>
      </c>
      <c r="B1553" t="s">
        <v>1023</v>
      </c>
      <c r="C1553" s="19">
        <v>0.65333333333333332</v>
      </c>
      <c r="D1553" s="19"/>
    </row>
    <row r="1554" spans="1:4" x14ac:dyDescent="0.25">
      <c r="A1554" t="s">
        <v>727</v>
      </c>
      <c r="B1554" t="s">
        <v>1025</v>
      </c>
      <c r="C1554" s="19">
        <v>0.65333333333333332</v>
      </c>
      <c r="D1554" s="19"/>
    </row>
    <row r="1555" spans="1:4" x14ac:dyDescent="0.25">
      <c r="A1555" t="s">
        <v>727</v>
      </c>
      <c r="B1555" t="s">
        <v>1030</v>
      </c>
      <c r="C1555" s="19">
        <v>0.65333333333333332</v>
      </c>
      <c r="D1555" s="19"/>
    </row>
    <row r="1556" spans="1:4" x14ac:dyDescent="0.25">
      <c r="A1556" t="s">
        <v>728</v>
      </c>
      <c r="B1556" t="s">
        <v>1013</v>
      </c>
      <c r="C1556" s="19">
        <v>0.66</v>
      </c>
      <c r="D1556" s="19"/>
    </row>
    <row r="1557" spans="1:4" x14ac:dyDescent="0.25">
      <c r="A1557" t="s">
        <v>728</v>
      </c>
      <c r="B1557" t="s">
        <v>1011</v>
      </c>
      <c r="C1557" s="19">
        <v>0.66</v>
      </c>
      <c r="D1557" s="19"/>
    </row>
    <row r="1558" spans="1:4" x14ac:dyDescent="0.25">
      <c r="A1558" t="s">
        <v>729</v>
      </c>
      <c r="B1558" t="s">
        <v>990</v>
      </c>
      <c r="C1558" s="19">
        <v>1</v>
      </c>
      <c r="D1558" s="19"/>
    </row>
    <row r="1559" spans="1:4" x14ac:dyDescent="0.25">
      <c r="A1559" t="s">
        <v>729</v>
      </c>
      <c r="B1559" t="s">
        <v>988</v>
      </c>
      <c r="C1559" s="19">
        <v>1</v>
      </c>
      <c r="D1559" s="19"/>
    </row>
    <row r="1560" spans="1:4" x14ac:dyDescent="0.25">
      <c r="A1560" t="s">
        <v>729</v>
      </c>
      <c r="B1560" t="s">
        <v>986</v>
      </c>
      <c r="C1560" s="19">
        <v>1</v>
      </c>
      <c r="D1560" s="19"/>
    </row>
    <row r="1561" spans="1:4" x14ac:dyDescent="0.25">
      <c r="A1561" t="s">
        <v>729</v>
      </c>
      <c r="B1561" t="s">
        <v>1005</v>
      </c>
      <c r="C1561" s="19">
        <v>1</v>
      </c>
      <c r="D1561" s="19"/>
    </row>
    <row r="1562" spans="1:4" x14ac:dyDescent="0.25">
      <c r="A1562" t="s">
        <v>729</v>
      </c>
      <c r="B1562" t="s">
        <v>999</v>
      </c>
      <c r="C1562" s="19">
        <v>1</v>
      </c>
      <c r="D1562" s="19"/>
    </row>
    <row r="1563" spans="1:4" x14ac:dyDescent="0.25">
      <c r="A1563" t="s">
        <v>729</v>
      </c>
      <c r="B1563" t="s">
        <v>975</v>
      </c>
      <c r="C1563" s="19">
        <v>1</v>
      </c>
      <c r="D1563" s="19"/>
    </row>
    <row r="1564" spans="1:4" x14ac:dyDescent="0.25">
      <c r="A1564" t="s">
        <v>731</v>
      </c>
      <c r="B1564" t="s">
        <v>981</v>
      </c>
      <c r="C1564" s="19">
        <v>0.83333333333333337</v>
      </c>
      <c r="D1564" s="19"/>
    </row>
    <row r="1565" spans="1:4" x14ac:dyDescent="0.25">
      <c r="A1565" t="s">
        <v>731</v>
      </c>
      <c r="B1565" t="s">
        <v>979</v>
      </c>
      <c r="C1565" s="19">
        <v>0.83333333333333337</v>
      </c>
      <c r="D1565" s="19"/>
    </row>
    <row r="1566" spans="1:4" x14ac:dyDescent="0.25">
      <c r="A1566" t="s">
        <v>731</v>
      </c>
      <c r="B1566" t="s">
        <v>977</v>
      </c>
      <c r="C1566" s="19">
        <v>0.83333333333333337</v>
      </c>
      <c r="D1566" s="19"/>
    </row>
    <row r="1567" spans="1:4" x14ac:dyDescent="0.25">
      <c r="A1567" t="s">
        <v>731</v>
      </c>
      <c r="B1567" t="s">
        <v>978</v>
      </c>
      <c r="C1567" s="19">
        <v>0.83333333333333337</v>
      </c>
      <c r="D1567" s="19"/>
    </row>
    <row r="1568" spans="1:4" x14ac:dyDescent="0.25">
      <c r="A1568" t="s">
        <v>732</v>
      </c>
      <c r="B1568" t="s">
        <v>981</v>
      </c>
      <c r="C1568" s="19">
        <v>1.0625</v>
      </c>
      <c r="D1568" s="19"/>
    </row>
    <row r="1569" spans="1:4" x14ac:dyDescent="0.25">
      <c r="A1569" t="s">
        <v>732</v>
      </c>
      <c r="B1569" t="s">
        <v>979</v>
      </c>
      <c r="C1569" s="19">
        <v>1.0625</v>
      </c>
      <c r="D1569" s="19"/>
    </row>
    <row r="1570" spans="1:4" x14ac:dyDescent="0.25">
      <c r="A1570" t="s">
        <v>732</v>
      </c>
      <c r="B1570" t="s">
        <v>977</v>
      </c>
      <c r="C1570" s="19">
        <v>1.0625</v>
      </c>
      <c r="D1570" s="19"/>
    </row>
    <row r="1571" spans="1:4" x14ac:dyDescent="0.25">
      <c r="A1571" t="s">
        <v>732</v>
      </c>
      <c r="B1571" t="s">
        <v>978</v>
      </c>
      <c r="C1571" s="19">
        <v>1.0625</v>
      </c>
      <c r="D1571" s="19"/>
    </row>
    <row r="1572" spans="1:4" x14ac:dyDescent="0.25">
      <c r="A1572" t="s">
        <v>733</v>
      </c>
      <c r="B1572" t="s">
        <v>974</v>
      </c>
      <c r="C1572" s="19">
        <v>0.48333333333333334</v>
      </c>
      <c r="D1572" s="19"/>
    </row>
    <row r="1573" spans="1:4" x14ac:dyDescent="0.25">
      <c r="A1573" t="s">
        <v>733</v>
      </c>
      <c r="B1573" t="s">
        <v>987</v>
      </c>
      <c r="C1573" s="19">
        <v>0.48333333333333334</v>
      </c>
      <c r="D1573" s="19"/>
    </row>
    <row r="1574" spans="1:4" x14ac:dyDescent="0.25">
      <c r="A1574" t="s">
        <v>733</v>
      </c>
      <c r="B1574" t="s">
        <v>989</v>
      </c>
      <c r="C1574" s="19">
        <v>0.48333333333333334</v>
      </c>
      <c r="D1574" s="19"/>
    </row>
    <row r="1575" spans="1:4" x14ac:dyDescent="0.25">
      <c r="A1575" t="s">
        <v>733</v>
      </c>
      <c r="B1575" t="s">
        <v>1027</v>
      </c>
      <c r="C1575" s="19">
        <v>0.48333333333333334</v>
      </c>
      <c r="D1575" s="19"/>
    </row>
    <row r="1576" spans="1:4" x14ac:dyDescent="0.25">
      <c r="A1576" t="s">
        <v>733</v>
      </c>
      <c r="B1576" t="s">
        <v>1029</v>
      </c>
      <c r="C1576" s="19">
        <v>0.48333333333333334</v>
      </c>
      <c r="D1576" s="19"/>
    </row>
    <row r="1577" spans="1:4" x14ac:dyDescent="0.25">
      <c r="A1577" t="s">
        <v>734</v>
      </c>
      <c r="B1577" t="s">
        <v>974</v>
      </c>
      <c r="C1577" s="19">
        <v>0.79</v>
      </c>
      <c r="D1577" s="19"/>
    </row>
    <row r="1578" spans="1:4" x14ac:dyDescent="0.25">
      <c r="A1578" t="s">
        <v>734</v>
      </c>
      <c r="B1578" t="s">
        <v>987</v>
      </c>
      <c r="C1578" s="19">
        <v>0.79</v>
      </c>
      <c r="D1578" s="19"/>
    </row>
    <row r="1579" spans="1:4" x14ac:dyDescent="0.25">
      <c r="A1579" t="s">
        <v>734</v>
      </c>
      <c r="B1579" t="s">
        <v>989</v>
      </c>
      <c r="C1579" s="19">
        <v>0.79</v>
      </c>
      <c r="D1579" s="19"/>
    </row>
    <row r="1580" spans="1:4" x14ac:dyDescent="0.25">
      <c r="A1580" t="s">
        <v>734</v>
      </c>
      <c r="B1580" t="s">
        <v>1027</v>
      </c>
      <c r="C1580" s="19">
        <v>0.79</v>
      </c>
      <c r="D1580" s="19"/>
    </row>
    <row r="1581" spans="1:4" x14ac:dyDescent="0.25">
      <c r="A1581" t="s">
        <v>734</v>
      </c>
      <c r="B1581" t="s">
        <v>1029</v>
      </c>
      <c r="C1581" s="19">
        <v>0.79</v>
      </c>
      <c r="D1581" s="19"/>
    </row>
    <row r="1582" spans="1:4" x14ac:dyDescent="0.25">
      <c r="A1582" t="s">
        <v>737</v>
      </c>
      <c r="B1582" t="s">
        <v>976</v>
      </c>
      <c r="C1582" s="19">
        <v>1.4166666666666667</v>
      </c>
      <c r="D1582" s="19"/>
    </row>
    <row r="1583" spans="1:4" x14ac:dyDescent="0.25">
      <c r="A1583" t="s">
        <v>738</v>
      </c>
      <c r="B1583" t="s">
        <v>1016</v>
      </c>
      <c r="C1583" s="19">
        <v>1.0311493018259936</v>
      </c>
      <c r="D1583" s="19"/>
    </row>
    <row r="1584" spans="1:4" x14ac:dyDescent="0.25">
      <c r="A1584" t="s">
        <v>738</v>
      </c>
      <c r="B1584" t="s">
        <v>1009</v>
      </c>
      <c r="C1584" s="19">
        <v>1.0311493018259936</v>
      </c>
      <c r="D1584" s="19"/>
    </row>
    <row r="1585" spans="1:4" x14ac:dyDescent="0.25">
      <c r="A1585" t="s">
        <v>738</v>
      </c>
      <c r="B1585" t="s">
        <v>1035</v>
      </c>
      <c r="C1585" s="19">
        <v>1.0311493018259936</v>
      </c>
      <c r="D1585" s="19"/>
    </row>
    <row r="1586" spans="1:4" x14ac:dyDescent="0.25">
      <c r="A1586" t="s">
        <v>738</v>
      </c>
      <c r="B1586" t="s">
        <v>1032</v>
      </c>
      <c r="C1586" s="19">
        <v>1.0311493018259936</v>
      </c>
      <c r="D1586" s="19"/>
    </row>
    <row r="1587" spans="1:4" x14ac:dyDescent="0.25">
      <c r="A1587" t="s">
        <v>738</v>
      </c>
      <c r="B1587" t="s">
        <v>973</v>
      </c>
      <c r="C1587" s="19">
        <v>1.0311493018259936</v>
      </c>
      <c r="D1587" s="19"/>
    </row>
    <row r="1588" spans="1:4" x14ac:dyDescent="0.25">
      <c r="A1588" t="s">
        <v>738</v>
      </c>
      <c r="B1588" t="s">
        <v>1031</v>
      </c>
      <c r="C1588" s="19">
        <v>1.0311493018259936</v>
      </c>
      <c r="D1588" s="19"/>
    </row>
    <row r="1589" spans="1:4" x14ac:dyDescent="0.25">
      <c r="A1589" t="s">
        <v>738</v>
      </c>
      <c r="B1589" t="s">
        <v>985</v>
      </c>
      <c r="C1589" s="19">
        <v>1.0311493018259936</v>
      </c>
      <c r="D1589" s="19"/>
    </row>
    <row r="1590" spans="1:4" x14ac:dyDescent="0.25">
      <c r="A1590" t="s">
        <v>738</v>
      </c>
      <c r="B1590" t="s">
        <v>1033</v>
      </c>
      <c r="C1590" s="19">
        <v>1.0311493018259936</v>
      </c>
      <c r="D1590" s="19"/>
    </row>
    <row r="1591" spans="1:4" x14ac:dyDescent="0.25">
      <c r="A1591" t="s">
        <v>738</v>
      </c>
      <c r="B1591" t="s">
        <v>1034</v>
      </c>
      <c r="C1591" s="19">
        <v>1.0311493018259936</v>
      </c>
      <c r="D1591" s="19"/>
    </row>
    <row r="1592" spans="1:4" x14ac:dyDescent="0.25">
      <c r="A1592" t="s">
        <v>738</v>
      </c>
      <c r="B1592" t="s">
        <v>976</v>
      </c>
      <c r="C1592" s="19">
        <v>1.0311493018259936</v>
      </c>
      <c r="D1592" s="19"/>
    </row>
    <row r="1593" spans="1:4" x14ac:dyDescent="0.25">
      <c r="A1593" t="s">
        <v>740</v>
      </c>
      <c r="B1593" t="s">
        <v>985</v>
      </c>
      <c r="C1593" s="19">
        <v>1</v>
      </c>
      <c r="D1593" s="19"/>
    </row>
    <row r="1594" spans="1:4" x14ac:dyDescent="0.25">
      <c r="A1594" t="s">
        <v>740</v>
      </c>
      <c r="B1594" t="s">
        <v>1031</v>
      </c>
      <c r="C1594" s="19">
        <v>1</v>
      </c>
      <c r="D1594" s="19"/>
    </row>
    <row r="1595" spans="1:4" x14ac:dyDescent="0.25">
      <c r="A1595" t="s">
        <v>742</v>
      </c>
      <c r="B1595" t="s">
        <v>985</v>
      </c>
      <c r="C1595" s="19">
        <v>0.85</v>
      </c>
      <c r="D1595" s="19"/>
    </row>
    <row r="1596" spans="1:4" x14ac:dyDescent="0.25">
      <c r="A1596" t="s">
        <v>742</v>
      </c>
      <c r="B1596" t="s">
        <v>1031</v>
      </c>
      <c r="C1596" s="19">
        <v>0.85</v>
      </c>
      <c r="D1596" s="19"/>
    </row>
    <row r="1597" spans="1:4" x14ac:dyDescent="0.25">
      <c r="A1597" t="s">
        <v>743</v>
      </c>
      <c r="B1597" t="s">
        <v>973</v>
      </c>
      <c r="C1597" s="19">
        <v>1</v>
      </c>
      <c r="D1597" s="19"/>
    </row>
    <row r="1598" spans="1:4" x14ac:dyDescent="0.25">
      <c r="A1598" t="s">
        <v>743</v>
      </c>
      <c r="B1598" t="s">
        <v>1032</v>
      </c>
      <c r="C1598" s="19">
        <v>1</v>
      </c>
      <c r="D1598" s="19"/>
    </row>
    <row r="1599" spans="1:4" x14ac:dyDescent="0.25">
      <c r="A1599" t="s">
        <v>745</v>
      </c>
      <c r="B1599" t="s">
        <v>973</v>
      </c>
      <c r="C1599" s="19">
        <v>0.9</v>
      </c>
      <c r="D1599" s="19"/>
    </row>
    <row r="1600" spans="1:4" x14ac:dyDescent="0.25">
      <c r="A1600" t="s">
        <v>745</v>
      </c>
      <c r="B1600" t="s">
        <v>1032</v>
      </c>
      <c r="C1600" s="19">
        <v>0.9</v>
      </c>
      <c r="D1600" s="19"/>
    </row>
    <row r="1601" spans="1:4" x14ac:dyDescent="0.25">
      <c r="A1601" t="s">
        <v>749</v>
      </c>
      <c r="B1601" t="s">
        <v>1016</v>
      </c>
      <c r="C1601" s="19">
        <v>0.99717214563449985</v>
      </c>
      <c r="D1601" s="19"/>
    </row>
    <row r="1602" spans="1:4" x14ac:dyDescent="0.25">
      <c r="A1602" t="s">
        <v>749</v>
      </c>
      <c r="B1602" t="s">
        <v>1009</v>
      </c>
      <c r="C1602" s="19">
        <v>0.99717214563449985</v>
      </c>
      <c r="D1602" s="19"/>
    </row>
    <row r="1603" spans="1:4" x14ac:dyDescent="0.25">
      <c r="A1603" t="s">
        <v>749</v>
      </c>
      <c r="B1603" t="s">
        <v>1035</v>
      </c>
      <c r="C1603" s="19">
        <v>0.99717214563449985</v>
      </c>
      <c r="D1603" s="19"/>
    </row>
    <row r="1604" spans="1:4" x14ac:dyDescent="0.25">
      <c r="A1604" t="s">
        <v>751</v>
      </c>
      <c r="B1604" t="s">
        <v>1034</v>
      </c>
      <c r="C1604" s="19">
        <v>0.65</v>
      </c>
      <c r="D1604" s="19"/>
    </row>
    <row r="1605" spans="1:4" x14ac:dyDescent="0.25">
      <c r="A1605" t="s">
        <v>751</v>
      </c>
      <c r="B1605" t="s">
        <v>1033</v>
      </c>
      <c r="C1605" s="19">
        <v>0.65</v>
      </c>
      <c r="D1605" s="19"/>
    </row>
    <row r="1606" spans="1:4" x14ac:dyDescent="0.25">
      <c r="A1606" t="s">
        <v>752</v>
      </c>
      <c r="B1606" t="s">
        <v>994</v>
      </c>
      <c r="C1606" s="19">
        <v>0.75</v>
      </c>
      <c r="D1606" s="19"/>
    </row>
    <row r="1607" spans="1:4" x14ac:dyDescent="0.25">
      <c r="A1607" t="s">
        <v>752</v>
      </c>
      <c r="B1607" t="s">
        <v>1018</v>
      </c>
      <c r="C1607" s="19">
        <v>0.75</v>
      </c>
      <c r="D1607" s="19"/>
    </row>
    <row r="1608" spans="1:4" x14ac:dyDescent="0.25">
      <c r="A1608" t="s">
        <v>752</v>
      </c>
      <c r="B1608" t="s">
        <v>1006</v>
      </c>
      <c r="C1608" s="19">
        <v>0.75</v>
      </c>
      <c r="D1608" s="19"/>
    </row>
    <row r="1609" spans="1:4" x14ac:dyDescent="0.25">
      <c r="A1609" t="s">
        <v>753</v>
      </c>
      <c r="B1609" t="s">
        <v>997</v>
      </c>
      <c r="C1609" s="19">
        <v>1</v>
      </c>
      <c r="D1609" s="19"/>
    </row>
    <row r="1610" spans="1:4" x14ac:dyDescent="0.25">
      <c r="A1610" t="s">
        <v>753</v>
      </c>
      <c r="B1610" t="s">
        <v>1007</v>
      </c>
      <c r="C1610" s="19">
        <v>1</v>
      </c>
      <c r="D1610" s="19"/>
    </row>
    <row r="1611" spans="1:4" x14ac:dyDescent="0.25">
      <c r="A1611" t="s">
        <v>754</v>
      </c>
      <c r="B1611" t="s">
        <v>1023</v>
      </c>
      <c r="C1611" s="19">
        <v>0.88400000000000001</v>
      </c>
      <c r="D1611" s="19"/>
    </row>
    <row r="1612" spans="1:4" x14ac:dyDescent="0.25">
      <c r="A1612" t="s">
        <v>756</v>
      </c>
      <c r="B1612" t="s">
        <v>1004</v>
      </c>
      <c r="C1612" s="19">
        <v>1.0745833333333332</v>
      </c>
      <c r="D1612" s="19"/>
    </row>
    <row r="1613" spans="1:4" x14ac:dyDescent="0.25">
      <c r="A1613" t="s">
        <v>756</v>
      </c>
      <c r="B1613" t="s">
        <v>1013</v>
      </c>
      <c r="C1613" s="19">
        <v>1.0745833333333332</v>
      </c>
      <c r="D1613" s="19"/>
    </row>
    <row r="1614" spans="1:4" x14ac:dyDescent="0.25">
      <c r="A1614" t="s">
        <v>756</v>
      </c>
      <c r="B1614" t="s">
        <v>1025</v>
      </c>
      <c r="C1614" s="19">
        <v>1.0745833333333332</v>
      </c>
      <c r="D1614" s="19"/>
    </row>
    <row r="1615" spans="1:4" x14ac:dyDescent="0.25">
      <c r="A1615" t="s">
        <v>757</v>
      </c>
      <c r="B1615" t="s">
        <v>999</v>
      </c>
      <c r="C1615" s="19">
        <v>1.1666666666666667</v>
      </c>
      <c r="D1615" s="19"/>
    </row>
    <row r="1616" spans="1:4" x14ac:dyDescent="0.25">
      <c r="A1616" t="s">
        <v>757</v>
      </c>
      <c r="B1616" t="s">
        <v>986</v>
      </c>
      <c r="C1616" s="19">
        <v>1.1666666666666667</v>
      </c>
      <c r="D1616" s="19"/>
    </row>
    <row r="1617" spans="1:4" x14ac:dyDescent="0.25">
      <c r="A1617" t="s">
        <v>757</v>
      </c>
      <c r="B1617" t="s">
        <v>990</v>
      </c>
      <c r="C1617" s="19">
        <v>1.1666666666666667</v>
      </c>
      <c r="D1617" s="19"/>
    </row>
    <row r="1618" spans="1:4" x14ac:dyDescent="0.25">
      <c r="A1618" t="s">
        <v>757</v>
      </c>
      <c r="B1618" t="s">
        <v>988</v>
      </c>
      <c r="C1618" s="19">
        <v>1.1666666666666667</v>
      </c>
      <c r="D1618" s="19"/>
    </row>
    <row r="1619" spans="1:4" x14ac:dyDescent="0.25">
      <c r="A1619" t="s">
        <v>757</v>
      </c>
      <c r="B1619" t="s">
        <v>1005</v>
      </c>
      <c r="C1619" s="19">
        <v>1.1666666666666667</v>
      </c>
      <c r="D1619" s="19"/>
    </row>
    <row r="1620" spans="1:4" x14ac:dyDescent="0.25">
      <c r="A1620" t="s">
        <v>757</v>
      </c>
      <c r="B1620" t="s">
        <v>975</v>
      </c>
      <c r="C1620" s="19">
        <v>1.1666666666666667</v>
      </c>
      <c r="D1620" s="19"/>
    </row>
    <row r="1621" spans="1:4" x14ac:dyDescent="0.25">
      <c r="A1621" t="s">
        <v>761</v>
      </c>
      <c r="B1621" t="s">
        <v>981</v>
      </c>
      <c r="C1621" s="19">
        <v>1.0277777777777777</v>
      </c>
      <c r="D1621" s="19"/>
    </row>
    <row r="1622" spans="1:4" x14ac:dyDescent="0.25">
      <c r="A1622" t="s">
        <v>761</v>
      </c>
      <c r="B1622" t="s">
        <v>977</v>
      </c>
      <c r="C1622" s="19">
        <v>1.0277777777777777</v>
      </c>
      <c r="D1622" s="19"/>
    </row>
    <row r="1623" spans="1:4" x14ac:dyDescent="0.25">
      <c r="A1623" t="s">
        <v>761</v>
      </c>
      <c r="B1623" t="s">
        <v>979</v>
      </c>
      <c r="C1623" s="19">
        <v>1.0277777777777777</v>
      </c>
      <c r="D1623" s="19"/>
    </row>
    <row r="1624" spans="1:4" x14ac:dyDescent="0.25">
      <c r="A1624" t="s">
        <v>761</v>
      </c>
      <c r="B1624" t="s">
        <v>1029</v>
      </c>
      <c r="C1624" s="19">
        <v>1.0277777777777777</v>
      </c>
      <c r="D1624" s="19"/>
    </row>
    <row r="1625" spans="1:4" x14ac:dyDescent="0.25">
      <c r="A1625" t="s">
        <v>764</v>
      </c>
      <c r="B1625" t="s">
        <v>973</v>
      </c>
      <c r="C1625" s="19">
        <v>0.15384615384615385</v>
      </c>
      <c r="D1625" s="19"/>
    </row>
    <row r="1626" spans="1:4" x14ac:dyDescent="0.25">
      <c r="A1626" t="s">
        <v>764</v>
      </c>
      <c r="B1626" t="s">
        <v>1032</v>
      </c>
      <c r="C1626" s="19">
        <v>0.15384615384615385</v>
      </c>
      <c r="D1626" s="19"/>
    </row>
    <row r="1627" spans="1:4" x14ac:dyDescent="0.25">
      <c r="A1627" t="s">
        <v>764</v>
      </c>
      <c r="B1627" t="s">
        <v>985</v>
      </c>
      <c r="C1627" s="19">
        <v>0.15384615384615385</v>
      </c>
      <c r="D1627" s="19"/>
    </row>
    <row r="1628" spans="1:4" x14ac:dyDescent="0.25">
      <c r="A1628" t="s">
        <v>764</v>
      </c>
      <c r="B1628" t="s">
        <v>1027</v>
      </c>
      <c r="C1628" s="19">
        <v>0.15384615384615385</v>
      </c>
      <c r="D1628" s="19"/>
    </row>
    <row r="1629" spans="1:4" x14ac:dyDescent="0.25">
      <c r="A1629" t="s">
        <v>764</v>
      </c>
      <c r="B1629" t="s">
        <v>1031</v>
      </c>
      <c r="C1629" s="19">
        <v>0.15384615384615385</v>
      </c>
      <c r="D1629" s="19"/>
    </row>
    <row r="1630" spans="1:4" x14ac:dyDescent="0.25">
      <c r="A1630" t="s">
        <v>764</v>
      </c>
      <c r="B1630" t="s">
        <v>987</v>
      </c>
      <c r="C1630" s="19">
        <v>0.15384615384615385</v>
      </c>
      <c r="D1630" s="19"/>
    </row>
    <row r="1631" spans="1:4" x14ac:dyDescent="0.25">
      <c r="A1631" t="s">
        <v>764</v>
      </c>
      <c r="B1631" t="s">
        <v>976</v>
      </c>
      <c r="C1631" s="19">
        <v>0.15384615384615385</v>
      </c>
      <c r="D1631" s="19"/>
    </row>
    <row r="1632" spans="1:4" x14ac:dyDescent="0.25">
      <c r="A1632" t="s">
        <v>764</v>
      </c>
      <c r="B1632" t="s">
        <v>989</v>
      </c>
      <c r="C1632" s="19">
        <v>0.15384615384615385</v>
      </c>
      <c r="D1632" s="19"/>
    </row>
    <row r="1633" spans="1:4" x14ac:dyDescent="0.25">
      <c r="A1633" t="s">
        <v>764</v>
      </c>
      <c r="B1633" t="s">
        <v>974</v>
      </c>
      <c r="C1633" s="19">
        <v>0.15384615384615385</v>
      </c>
      <c r="D1633" s="19"/>
    </row>
    <row r="1634" spans="1:4" x14ac:dyDescent="0.25">
      <c r="A1634" t="s">
        <v>764</v>
      </c>
      <c r="B1634" t="s">
        <v>1027</v>
      </c>
      <c r="C1634" s="19">
        <v>0.15384615384615385</v>
      </c>
      <c r="D1634" s="19"/>
    </row>
    <row r="1635" spans="1:4" x14ac:dyDescent="0.25">
      <c r="A1635" t="s">
        <v>765</v>
      </c>
      <c r="B1635" t="s">
        <v>1016</v>
      </c>
      <c r="C1635" s="19">
        <v>0.81349206349206349</v>
      </c>
      <c r="D1635" s="19"/>
    </row>
    <row r="1636" spans="1:4" x14ac:dyDescent="0.25">
      <c r="A1636" t="s">
        <v>765</v>
      </c>
      <c r="B1636" t="s">
        <v>1033</v>
      </c>
      <c r="C1636" s="19">
        <v>0.81349206349206349</v>
      </c>
      <c r="D1636" s="19"/>
    </row>
    <row r="1637" spans="1:4" x14ac:dyDescent="0.25">
      <c r="A1637" t="s">
        <v>765</v>
      </c>
      <c r="B1637" t="s">
        <v>1009</v>
      </c>
      <c r="C1637" s="19">
        <v>0.81349206349206349</v>
      </c>
      <c r="D1637" s="19"/>
    </row>
    <row r="1638" spans="1:4" x14ac:dyDescent="0.25">
      <c r="A1638" t="s">
        <v>766</v>
      </c>
      <c r="B1638" t="s">
        <v>1035</v>
      </c>
      <c r="C1638" s="19">
        <v>0.8035714285714286</v>
      </c>
      <c r="D1638" s="19"/>
    </row>
    <row r="1639" spans="1:4" x14ac:dyDescent="0.25">
      <c r="A1639" t="s">
        <v>766</v>
      </c>
      <c r="B1639" t="s">
        <v>1034</v>
      </c>
      <c r="C1639" s="19">
        <v>0.8035714285714286</v>
      </c>
      <c r="D1639" s="19"/>
    </row>
    <row r="1640" spans="1:4" x14ac:dyDescent="0.25">
      <c r="A1640" t="s">
        <v>768</v>
      </c>
      <c r="B1640" t="s">
        <v>994</v>
      </c>
      <c r="C1640" s="19">
        <v>0.88400000000000001</v>
      </c>
      <c r="D1640" s="19"/>
    </row>
    <row r="1641" spans="1:4" x14ac:dyDescent="0.25">
      <c r="A1641" t="s">
        <v>768</v>
      </c>
      <c r="B1641" t="s">
        <v>1006</v>
      </c>
      <c r="C1641" s="19">
        <v>0.88400000000000001</v>
      </c>
      <c r="D1641" s="19"/>
    </row>
    <row r="1642" spans="1:4" x14ac:dyDescent="0.25">
      <c r="A1642" t="s">
        <v>768</v>
      </c>
      <c r="B1642" t="s">
        <v>1001</v>
      </c>
      <c r="C1642" s="19">
        <v>0.88400000000000001</v>
      </c>
      <c r="D1642" s="19"/>
    </row>
    <row r="1643" spans="1:4" x14ac:dyDescent="0.25">
      <c r="A1643" t="s">
        <v>768</v>
      </c>
      <c r="B1643" t="s">
        <v>997</v>
      </c>
      <c r="C1643" s="19">
        <v>0.88400000000000001</v>
      </c>
      <c r="D1643" s="19"/>
    </row>
    <row r="1644" spans="1:4" x14ac:dyDescent="0.25">
      <c r="A1644" t="s">
        <v>768</v>
      </c>
      <c r="B1644" t="s">
        <v>1007</v>
      </c>
      <c r="C1644" s="19">
        <v>0.88400000000000001</v>
      </c>
      <c r="D1644" s="19"/>
    </row>
    <row r="1645" spans="1:4" x14ac:dyDescent="0.25">
      <c r="A1645" t="s">
        <v>770</v>
      </c>
      <c r="B1645" t="s">
        <v>1023</v>
      </c>
      <c r="C1645" s="19">
        <v>0.8928571428571429</v>
      </c>
      <c r="D1645" s="19"/>
    </row>
    <row r="1646" spans="1:4" x14ac:dyDescent="0.25">
      <c r="A1646" t="s">
        <v>770</v>
      </c>
      <c r="B1646" t="s">
        <v>1011</v>
      </c>
      <c r="C1646" s="19">
        <v>0.8928571428571429</v>
      </c>
      <c r="D1646" s="19"/>
    </row>
    <row r="1647" spans="1:4" x14ac:dyDescent="0.25">
      <c r="A1647" t="s">
        <v>771</v>
      </c>
      <c r="B1647" t="s">
        <v>1013</v>
      </c>
      <c r="C1647" s="19">
        <v>0.99206349206349209</v>
      </c>
      <c r="D1647" s="19"/>
    </row>
    <row r="1648" spans="1:4" x14ac:dyDescent="0.25">
      <c r="A1648" t="s">
        <v>771</v>
      </c>
      <c r="B1648" t="s">
        <v>1004</v>
      </c>
      <c r="C1648" s="19">
        <v>0.99206349206349209</v>
      </c>
      <c r="D1648" s="19"/>
    </row>
    <row r="1649" spans="1:4" x14ac:dyDescent="0.25">
      <c r="A1649" t="s">
        <v>771</v>
      </c>
      <c r="B1649" t="s">
        <v>1025</v>
      </c>
      <c r="C1649" s="19">
        <v>0.99206349206349209</v>
      </c>
      <c r="D1649" s="19"/>
    </row>
    <row r="1650" spans="1:4" x14ac:dyDescent="0.25">
      <c r="A1650" t="s">
        <v>775</v>
      </c>
      <c r="B1650" t="s">
        <v>981</v>
      </c>
      <c r="C1650" s="19">
        <v>1.1479166666666667</v>
      </c>
      <c r="D1650" s="19"/>
    </row>
    <row r="1651" spans="1:4" x14ac:dyDescent="0.25">
      <c r="A1651" t="s">
        <v>775</v>
      </c>
      <c r="B1651" t="s">
        <v>979</v>
      </c>
      <c r="C1651" s="19">
        <v>1.1479166666666667</v>
      </c>
      <c r="D1651" s="19"/>
    </row>
    <row r="1652" spans="1:4" x14ac:dyDescent="0.25">
      <c r="A1652" t="s">
        <v>775</v>
      </c>
      <c r="B1652" t="s">
        <v>977</v>
      </c>
      <c r="C1652" s="19">
        <v>1.1479166666666667</v>
      </c>
      <c r="D1652" s="19"/>
    </row>
    <row r="1653" spans="1:4" x14ac:dyDescent="0.25">
      <c r="A1653" t="s">
        <v>775</v>
      </c>
      <c r="B1653" t="s">
        <v>990</v>
      </c>
      <c r="C1653" s="19">
        <v>1.1479166666666667</v>
      </c>
      <c r="D1653" s="19"/>
    </row>
    <row r="1654" spans="1:4" x14ac:dyDescent="0.25">
      <c r="A1654" t="s">
        <v>776</v>
      </c>
      <c r="B1654" t="s">
        <v>1032</v>
      </c>
      <c r="C1654" s="19">
        <v>0.50769230769230766</v>
      </c>
      <c r="D1654" s="19"/>
    </row>
    <row r="1655" spans="1:4" x14ac:dyDescent="0.25">
      <c r="A1655" t="s">
        <v>776</v>
      </c>
      <c r="B1655" t="s">
        <v>1029</v>
      </c>
      <c r="C1655" s="19">
        <v>0.50769230769230766</v>
      </c>
      <c r="D1655" s="19"/>
    </row>
    <row r="1656" spans="1:4" x14ac:dyDescent="0.25">
      <c r="A1656" t="s">
        <v>776</v>
      </c>
      <c r="B1656" t="s">
        <v>985</v>
      </c>
      <c r="C1656" s="19">
        <v>0.50769230769230766</v>
      </c>
      <c r="D1656" s="19"/>
    </row>
    <row r="1657" spans="1:4" x14ac:dyDescent="0.25">
      <c r="A1657" t="s">
        <v>776</v>
      </c>
      <c r="B1657" t="s">
        <v>978</v>
      </c>
      <c r="C1657" s="19">
        <v>0.50769230769230766</v>
      </c>
      <c r="D1657" s="19"/>
    </row>
    <row r="1658" spans="1:4" x14ac:dyDescent="0.25">
      <c r="A1658" t="s">
        <v>776</v>
      </c>
      <c r="B1658" t="s">
        <v>1031</v>
      </c>
      <c r="C1658" s="19">
        <v>0.50769230769230766</v>
      </c>
      <c r="D1658" s="19"/>
    </row>
    <row r="1659" spans="1:4" x14ac:dyDescent="0.25">
      <c r="A1659" t="s">
        <v>776</v>
      </c>
      <c r="B1659" t="s">
        <v>987</v>
      </c>
      <c r="C1659" s="19">
        <v>0.50769230769230766</v>
      </c>
      <c r="D1659" s="19"/>
    </row>
    <row r="1660" spans="1:4" x14ac:dyDescent="0.25">
      <c r="A1660" t="s">
        <v>776</v>
      </c>
      <c r="B1660" t="s">
        <v>976</v>
      </c>
      <c r="C1660" s="19">
        <v>0.50769230769230766</v>
      </c>
      <c r="D1660" s="19"/>
    </row>
    <row r="1661" spans="1:4" x14ac:dyDescent="0.25">
      <c r="A1661" t="s">
        <v>776</v>
      </c>
      <c r="B1661" t="s">
        <v>989</v>
      </c>
      <c r="C1661" s="19">
        <v>0.50769230769230766</v>
      </c>
      <c r="D1661" s="19"/>
    </row>
    <row r="1662" spans="1:4" x14ac:dyDescent="0.25">
      <c r="A1662" t="s">
        <v>776</v>
      </c>
      <c r="B1662" t="s">
        <v>974</v>
      </c>
      <c r="C1662" s="19">
        <v>0.50769230769230766</v>
      </c>
      <c r="D1662" s="19"/>
    </row>
    <row r="1663" spans="1:4" x14ac:dyDescent="0.25">
      <c r="A1663" t="s">
        <v>776</v>
      </c>
      <c r="B1663" t="s">
        <v>1008</v>
      </c>
      <c r="C1663" s="19">
        <v>0.50769230769230766</v>
      </c>
      <c r="D1663" s="19"/>
    </row>
    <row r="1664" spans="1:4" x14ac:dyDescent="0.25">
      <c r="A1664" t="s">
        <v>777</v>
      </c>
      <c r="B1664" t="s">
        <v>1016</v>
      </c>
      <c r="C1664" s="19">
        <v>1.0533617929562433</v>
      </c>
      <c r="D1664" s="19"/>
    </row>
    <row r="1665" spans="1:4" x14ac:dyDescent="0.25">
      <c r="A1665" t="s">
        <v>777</v>
      </c>
      <c r="B1665" t="s">
        <v>1009</v>
      </c>
      <c r="C1665" s="19">
        <v>1.0533617929562433</v>
      </c>
      <c r="D1665" s="19"/>
    </row>
    <row r="1666" spans="1:4" x14ac:dyDescent="0.25">
      <c r="A1666" t="s">
        <v>777</v>
      </c>
      <c r="B1666" t="s">
        <v>1033</v>
      </c>
      <c r="C1666" s="19">
        <v>1.0533617929562433</v>
      </c>
      <c r="D1666" s="19"/>
    </row>
    <row r="1667" spans="1:4" x14ac:dyDescent="0.25">
      <c r="A1667" t="s">
        <v>778</v>
      </c>
      <c r="B1667" t="s">
        <v>1016</v>
      </c>
      <c r="C1667" s="19">
        <v>0.58608058608058611</v>
      </c>
      <c r="D1667" s="19"/>
    </row>
    <row r="1668" spans="1:4" x14ac:dyDescent="0.25">
      <c r="A1668" t="s">
        <v>778</v>
      </c>
      <c r="B1668" t="s">
        <v>1009</v>
      </c>
      <c r="C1668" s="19">
        <v>0.58608058608058611</v>
      </c>
      <c r="D1668" s="19"/>
    </row>
    <row r="1669" spans="1:4" x14ac:dyDescent="0.25">
      <c r="A1669" t="s">
        <v>778</v>
      </c>
      <c r="B1669" t="s">
        <v>1033</v>
      </c>
      <c r="C1669" s="19">
        <v>0.58608058608058611</v>
      </c>
      <c r="D1669" s="19"/>
    </row>
    <row r="1670" spans="1:4" x14ac:dyDescent="0.25">
      <c r="A1670" t="s">
        <v>779</v>
      </c>
      <c r="B1670" t="s">
        <v>1035</v>
      </c>
      <c r="C1670" s="19">
        <v>1</v>
      </c>
      <c r="D1670" s="19"/>
    </row>
    <row r="1671" spans="1:4" x14ac:dyDescent="0.25">
      <c r="A1671" t="s">
        <v>779</v>
      </c>
      <c r="B1671" t="s">
        <v>1034</v>
      </c>
      <c r="C1671" s="19">
        <v>1</v>
      </c>
      <c r="D1671" s="19"/>
    </row>
    <row r="1672" spans="1:4" x14ac:dyDescent="0.25">
      <c r="A1672" t="s">
        <v>782</v>
      </c>
      <c r="B1672" t="s">
        <v>994</v>
      </c>
      <c r="C1672" s="19">
        <v>1.25</v>
      </c>
      <c r="D1672" s="19"/>
    </row>
    <row r="1673" spans="1:4" x14ac:dyDescent="0.25">
      <c r="A1673" t="s">
        <v>782</v>
      </c>
      <c r="B1673" t="s">
        <v>1006</v>
      </c>
      <c r="C1673" s="19">
        <v>1.25</v>
      </c>
      <c r="D1673" s="19"/>
    </row>
    <row r="1674" spans="1:4" x14ac:dyDescent="0.25">
      <c r="A1674" t="s">
        <v>782</v>
      </c>
      <c r="B1674" t="s">
        <v>1001</v>
      </c>
      <c r="C1674" s="19">
        <v>1.25</v>
      </c>
      <c r="D1674" s="19"/>
    </row>
    <row r="1675" spans="1:4" x14ac:dyDescent="0.25">
      <c r="A1675" t="s">
        <v>782</v>
      </c>
      <c r="B1675" t="s">
        <v>988</v>
      </c>
      <c r="C1675" s="19">
        <v>1.25</v>
      </c>
      <c r="D1675" s="19"/>
    </row>
    <row r="1676" spans="1:4" x14ac:dyDescent="0.25">
      <c r="A1676" t="s">
        <v>782</v>
      </c>
      <c r="B1676" t="s">
        <v>1005</v>
      </c>
      <c r="C1676" s="19">
        <v>1.25</v>
      </c>
      <c r="D1676" s="19"/>
    </row>
    <row r="1677" spans="1:4" x14ac:dyDescent="0.25">
      <c r="A1677" t="s">
        <v>782</v>
      </c>
      <c r="B1677" t="s">
        <v>1007</v>
      </c>
      <c r="C1677" s="19">
        <v>1.25</v>
      </c>
      <c r="D1677" s="19"/>
    </row>
    <row r="1678" spans="1:4" x14ac:dyDescent="0.25">
      <c r="A1678" t="s">
        <v>782</v>
      </c>
      <c r="B1678" t="s">
        <v>997</v>
      </c>
      <c r="C1678" s="19">
        <v>1.25</v>
      </c>
      <c r="D1678" s="19"/>
    </row>
    <row r="1679" spans="1:4" x14ac:dyDescent="0.25">
      <c r="A1679" t="s">
        <v>783</v>
      </c>
      <c r="B1679" t="s">
        <v>994</v>
      </c>
      <c r="C1679" s="19">
        <v>0.69582504970178927</v>
      </c>
      <c r="D1679" s="19"/>
    </row>
    <row r="1680" spans="1:4" x14ac:dyDescent="0.25">
      <c r="A1680" t="s">
        <v>783</v>
      </c>
      <c r="B1680" t="s">
        <v>1006</v>
      </c>
      <c r="C1680" s="19">
        <v>0.69582504970178927</v>
      </c>
      <c r="D1680" s="19"/>
    </row>
    <row r="1681" spans="1:4" x14ac:dyDescent="0.25">
      <c r="A1681" t="s">
        <v>783</v>
      </c>
      <c r="B1681" t="s">
        <v>988</v>
      </c>
      <c r="C1681" s="19">
        <v>0.69582504970178927</v>
      </c>
      <c r="D1681" s="19"/>
    </row>
    <row r="1682" spans="1:4" x14ac:dyDescent="0.25">
      <c r="A1682" t="s">
        <v>783</v>
      </c>
      <c r="B1682" t="s">
        <v>997</v>
      </c>
      <c r="C1682" s="19">
        <v>0.69582504970178927</v>
      </c>
      <c r="D1682" s="19"/>
    </row>
    <row r="1683" spans="1:4" x14ac:dyDescent="0.25">
      <c r="A1683" t="s">
        <v>785</v>
      </c>
      <c r="B1683" t="s">
        <v>1005</v>
      </c>
      <c r="C1683" s="19">
        <v>0.42735042735042733</v>
      </c>
      <c r="D1683" s="19"/>
    </row>
    <row r="1684" spans="1:4" x14ac:dyDescent="0.25">
      <c r="A1684" t="s">
        <v>785</v>
      </c>
      <c r="B1684" t="s">
        <v>1007</v>
      </c>
      <c r="C1684" s="19">
        <v>0.42735042735042733</v>
      </c>
      <c r="D1684" s="19"/>
    </row>
    <row r="1685" spans="1:4" x14ac:dyDescent="0.25">
      <c r="A1685" t="s">
        <v>785</v>
      </c>
      <c r="B1685" t="s">
        <v>997</v>
      </c>
      <c r="C1685" s="19">
        <v>0.42735042735042733</v>
      </c>
      <c r="D1685" s="19"/>
    </row>
    <row r="1686" spans="1:4" x14ac:dyDescent="0.25">
      <c r="A1686" t="s">
        <v>785</v>
      </c>
      <c r="B1686" t="s">
        <v>1001</v>
      </c>
      <c r="C1686" s="19">
        <v>0.42735042735042733</v>
      </c>
      <c r="D1686" s="19"/>
    </row>
    <row r="1687" spans="1:4" x14ac:dyDescent="0.25">
      <c r="A1687" t="s">
        <v>787</v>
      </c>
      <c r="B1687" t="s">
        <v>1004</v>
      </c>
      <c r="C1687" s="19">
        <v>1.1538461538461537</v>
      </c>
      <c r="D1687" s="19"/>
    </row>
    <row r="1688" spans="1:4" x14ac:dyDescent="0.25">
      <c r="A1688" t="s">
        <v>787</v>
      </c>
      <c r="B1688" t="s">
        <v>1011</v>
      </c>
      <c r="C1688" s="19">
        <v>1.1538461538461537</v>
      </c>
      <c r="D1688" s="19"/>
    </row>
    <row r="1689" spans="1:4" x14ac:dyDescent="0.25">
      <c r="A1689" t="s">
        <v>788</v>
      </c>
      <c r="B1689" t="s">
        <v>1013</v>
      </c>
      <c r="C1689" s="19">
        <v>1.0025641025641026</v>
      </c>
      <c r="D1689" s="19"/>
    </row>
    <row r="1690" spans="1:4" x14ac:dyDescent="0.25">
      <c r="A1690" t="s">
        <v>788</v>
      </c>
      <c r="B1690" t="s">
        <v>1023</v>
      </c>
      <c r="C1690" s="19">
        <v>1.0025641025641026</v>
      </c>
      <c r="D1690" s="19"/>
    </row>
    <row r="1691" spans="1:4" x14ac:dyDescent="0.25">
      <c r="A1691" t="s">
        <v>788</v>
      </c>
      <c r="B1691" t="s">
        <v>1025</v>
      </c>
      <c r="C1691" s="19">
        <v>1.0025641025641026</v>
      </c>
      <c r="D1691" s="19"/>
    </row>
    <row r="1692" spans="1:4" x14ac:dyDescent="0.25">
      <c r="A1692" t="s">
        <v>790</v>
      </c>
      <c r="B1692" t="s">
        <v>986</v>
      </c>
      <c r="C1692" s="19">
        <v>1.2</v>
      </c>
      <c r="D1692" s="19"/>
    </row>
    <row r="1693" spans="1:4" x14ac:dyDescent="0.25">
      <c r="A1693" t="s">
        <v>790</v>
      </c>
      <c r="B1693" t="s">
        <v>990</v>
      </c>
      <c r="C1693" s="19">
        <v>1.2</v>
      </c>
      <c r="D1693" s="19"/>
    </row>
    <row r="1694" spans="1:4" x14ac:dyDescent="0.25">
      <c r="A1694" t="s">
        <v>790</v>
      </c>
      <c r="B1694" t="s">
        <v>979</v>
      </c>
      <c r="C1694" s="19">
        <v>1.2</v>
      </c>
      <c r="D1694" s="19"/>
    </row>
    <row r="1695" spans="1:4" x14ac:dyDescent="0.25">
      <c r="A1695" t="s">
        <v>790</v>
      </c>
      <c r="B1695" t="s">
        <v>977</v>
      </c>
      <c r="C1695" s="19">
        <v>1.2</v>
      </c>
      <c r="D1695" s="19"/>
    </row>
    <row r="1696" spans="1:4" x14ac:dyDescent="0.25">
      <c r="A1696" t="s">
        <v>790</v>
      </c>
      <c r="B1696" t="s">
        <v>976</v>
      </c>
      <c r="C1696" s="19">
        <v>1.2</v>
      </c>
      <c r="D1696" s="19"/>
    </row>
    <row r="1697" spans="1:4" x14ac:dyDescent="0.25">
      <c r="A1697" t="s">
        <v>791</v>
      </c>
      <c r="B1697" t="s">
        <v>986</v>
      </c>
      <c r="C1697" s="19">
        <v>1.0797101449275361</v>
      </c>
      <c r="D1697" s="19"/>
    </row>
    <row r="1698" spans="1:4" x14ac:dyDescent="0.25">
      <c r="A1698" t="s">
        <v>791</v>
      </c>
      <c r="B1698" t="s">
        <v>990</v>
      </c>
      <c r="C1698" s="19">
        <v>1.0797101449275361</v>
      </c>
      <c r="D1698" s="19"/>
    </row>
    <row r="1699" spans="1:4" x14ac:dyDescent="0.25">
      <c r="A1699" t="s">
        <v>791</v>
      </c>
      <c r="B1699" t="s">
        <v>976</v>
      </c>
      <c r="C1699" s="19">
        <v>1.0797101449275361</v>
      </c>
      <c r="D1699" s="19"/>
    </row>
    <row r="1700" spans="1:4" x14ac:dyDescent="0.25">
      <c r="A1700" t="s">
        <v>791</v>
      </c>
      <c r="B1700" t="s">
        <v>979</v>
      </c>
      <c r="C1700" s="19">
        <v>1.0797101449275361</v>
      </c>
      <c r="D1700" s="19"/>
    </row>
    <row r="1701" spans="1:4" x14ac:dyDescent="0.25">
      <c r="A1701" t="s">
        <v>791</v>
      </c>
      <c r="B1701" t="s">
        <v>999</v>
      </c>
      <c r="C1701" s="19">
        <v>1.0797101449275361</v>
      </c>
      <c r="D1701" s="19"/>
    </row>
    <row r="1702" spans="1:4" x14ac:dyDescent="0.25">
      <c r="A1702" t="s">
        <v>791</v>
      </c>
      <c r="B1702" t="s">
        <v>988</v>
      </c>
      <c r="C1702" s="19">
        <v>1.0797101449275361</v>
      </c>
      <c r="D1702" s="19"/>
    </row>
    <row r="1703" spans="1:4" x14ac:dyDescent="0.25">
      <c r="A1703" t="s">
        <v>791</v>
      </c>
      <c r="B1703" t="s">
        <v>997</v>
      </c>
      <c r="C1703" s="19">
        <v>1.0797101449275361</v>
      </c>
      <c r="D1703" s="19"/>
    </row>
    <row r="1704" spans="1:4" x14ac:dyDescent="0.25">
      <c r="A1704" t="s">
        <v>791</v>
      </c>
      <c r="B1704" t="s">
        <v>1001</v>
      </c>
      <c r="C1704" s="19">
        <v>1.0797101449275361</v>
      </c>
      <c r="D1704" s="19"/>
    </row>
    <row r="1705" spans="1:4" x14ac:dyDescent="0.25">
      <c r="A1705" t="s">
        <v>794</v>
      </c>
      <c r="B1705" t="s">
        <v>1032</v>
      </c>
      <c r="C1705" s="19">
        <v>0.96153846153846156</v>
      </c>
      <c r="D1705" s="19"/>
    </row>
    <row r="1706" spans="1:4" x14ac:dyDescent="0.25">
      <c r="A1706" t="s">
        <v>794</v>
      </c>
      <c r="B1706" t="s">
        <v>973</v>
      </c>
      <c r="C1706" s="19">
        <v>0.96153846153846156</v>
      </c>
      <c r="D1706" s="19"/>
    </row>
    <row r="1707" spans="1:4" x14ac:dyDescent="0.25">
      <c r="A1707" t="s">
        <v>794</v>
      </c>
      <c r="B1707" t="s">
        <v>985</v>
      </c>
      <c r="C1707" s="19">
        <v>0.96153846153846156</v>
      </c>
      <c r="D1707" s="19"/>
    </row>
    <row r="1708" spans="1:4" x14ac:dyDescent="0.25">
      <c r="A1708" t="s">
        <v>794</v>
      </c>
      <c r="B1708" t="s">
        <v>978</v>
      </c>
      <c r="C1708" s="19">
        <v>0.96153846153846156</v>
      </c>
      <c r="D1708" s="19"/>
    </row>
    <row r="1709" spans="1:4" x14ac:dyDescent="0.25">
      <c r="A1709" t="s">
        <v>794</v>
      </c>
      <c r="B1709" t="s">
        <v>1031</v>
      </c>
      <c r="C1709" s="19">
        <v>0.96153846153846156</v>
      </c>
      <c r="D1709" s="19"/>
    </row>
    <row r="1710" spans="1:4" x14ac:dyDescent="0.25">
      <c r="A1710" t="s">
        <v>794</v>
      </c>
      <c r="B1710" t="s">
        <v>987</v>
      </c>
      <c r="C1710" s="19">
        <v>0.96153846153846156</v>
      </c>
      <c r="D1710" s="19"/>
    </row>
    <row r="1711" spans="1:4" x14ac:dyDescent="0.25">
      <c r="A1711" t="s">
        <v>794</v>
      </c>
      <c r="B1711" t="s">
        <v>1014</v>
      </c>
      <c r="C1711" s="19">
        <v>0.96153846153846156</v>
      </c>
      <c r="D1711" s="19"/>
    </row>
    <row r="1712" spans="1:4" x14ac:dyDescent="0.25">
      <c r="A1712" t="s">
        <v>794</v>
      </c>
      <c r="B1712" t="s">
        <v>989</v>
      </c>
      <c r="C1712" s="19">
        <v>0.96153846153846156</v>
      </c>
      <c r="D1712" s="19"/>
    </row>
    <row r="1713" spans="1:4" x14ac:dyDescent="0.25">
      <c r="A1713" t="s">
        <v>794</v>
      </c>
      <c r="B1713" t="s">
        <v>974</v>
      </c>
      <c r="C1713" s="19">
        <v>0.96153846153846156</v>
      </c>
      <c r="D1713" s="19"/>
    </row>
    <row r="1714" spans="1:4" x14ac:dyDescent="0.25">
      <c r="A1714" t="s">
        <v>794</v>
      </c>
      <c r="B1714" t="s">
        <v>1008</v>
      </c>
      <c r="C1714" s="19">
        <v>0.96153846153846156</v>
      </c>
      <c r="D1714" s="19"/>
    </row>
    <row r="1715" spans="1:4" x14ac:dyDescent="0.25">
      <c r="A1715" t="s">
        <v>797</v>
      </c>
      <c r="B1715" t="s">
        <v>1016</v>
      </c>
      <c r="C1715" s="19">
        <v>1.8613636363636363</v>
      </c>
      <c r="D1715" s="19"/>
    </row>
    <row r="1716" spans="1:4" x14ac:dyDescent="0.25">
      <c r="A1716" t="s">
        <v>797</v>
      </c>
      <c r="B1716" t="s">
        <v>1009</v>
      </c>
      <c r="C1716" s="19">
        <v>1.8613636363636363</v>
      </c>
      <c r="D1716" s="19"/>
    </row>
    <row r="1717" spans="1:4" x14ac:dyDescent="0.25">
      <c r="A1717" t="s">
        <v>798</v>
      </c>
      <c r="B1717" t="s">
        <v>1016</v>
      </c>
      <c r="C1717" s="19">
        <v>0.51679586563307489</v>
      </c>
      <c r="D1717" s="19"/>
    </row>
    <row r="1718" spans="1:4" x14ac:dyDescent="0.25">
      <c r="A1718" t="s">
        <v>798</v>
      </c>
      <c r="B1718" t="s">
        <v>1009</v>
      </c>
      <c r="C1718" s="19">
        <v>0.51679586563307489</v>
      </c>
      <c r="D1718" s="19"/>
    </row>
    <row r="1719" spans="1:4" x14ac:dyDescent="0.25">
      <c r="A1719" t="s">
        <v>800</v>
      </c>
      <c r="B1719" t="s">
        <v>1034</v>
      </c>
      <c r="C1719" s="19">
        <v>0.67881548974943051</v>
      </c>
      <c r="D1719" s="19"/>
    </row>
    <row r="1720" spans="1:4" x14ac:dyDescent="0.25">
      <c r="A1720" t="s">
        <v>800</v>
      </c>
      <c r="B1720" t="s">
        <v>1035</v>
      </c>
      <c r="C1720" s="19">
        <v>0.67881548974943051</v>
      </c>
      <c r="D1720" s="19"/>
    </row>
    <row r="1721" spans="1:4" x14ac:dyDescent="0.25">
      <c r="A1721" t="s">
        <v>800</v>
      </c>
      <c r="B1721" t="s">
        <v>1033</v>
      </c>
      <c r="C1721" s="19">
        <v>0.67881548974943051</v>
      </c>
      <c r="D1721" s="19"/>
    </row>
    <row r="1722" spans="1:4" x14ac:dyDescent="0.25">
      <c r="A1722" t="s">
        <v>801</v>
      </c>
      <c r="B1722" t="s">
        <v>1034</v>
      </c>
      <c r="C1722" s="19">
        <v>0.62713675213675213</v>
      </c>
      <c r="D1722" s="19"/>
    </row>
    <row r="1723" spans="1:4" x14ac:dyDescent="0.25">
      <c r="A1723" t="s">
        <v>801</v>
      </c>
      <c r="B1723" t="s">
        <v>1035</v>
      </c>
      <c r="C1723" s="19">
        <v>0.62713675213675213</v>
      </c>
      <c r="D1723" s="19"/>
    </row>
    <row r="1724" spans="1:4" x14ac:dyDescent="0.25">
      <c r="A1724" t="s">
        <v>801</v>
      </c>
      <c r="B1724" t="s">
        <v>1033</v>
      </c>
      <c r="C1724" s="19">
        <v>0.62713675213675213</v>
      </c>
      <c r="D1724" s="19"/>
    </row>
    <row r="1725" spans="1:4" x14ac:dyDescent="0.25">
      <c r="A1725" t="s">
        <v>802</v>
      </c>
      <c r="B1725" t="s">
        <v>1007</v>
      </c>
      <c r="C1725" s="19">
        <v>0.5760709010339734</v>
      </c>
      <c r="D1725" s="19"/>
    </row>
    <row r="1726" spans="1:4" x14ac:dyDescent="0.25">
      <c r="A1726" t="s">
        <v>802</v>
      </c>
      <c r="B1726" t="s">
        <v>994</v>
      </c>
      <c r="C1726" s="19">
        <v>0.5760709010339734</v>
      </c>
      <c r="D1726" s="19"/>
    </row>
    <row r="1727" spans="1:4" x14ac:dyDescent="0.25">
      <c r="A1727" t="s">
        <v>802</v>
      </c>
      <c r="B1727" t="s">
        <v>1006</v>
      </c>
      <c r="C1727" s="19">
        <v>0.5760709010339734</v>
      </c>
      <c r="D1727" s="19"/>
    </row>
    <row r="1728" spans="1:4" x14ac:dyDescent="0.25">
      <c r="A1728" t="s">
        <v>802</v>
      </c>
      <c r="B1728" t="s">
        <v>1005</v>
      </c>
      <c r="C1728" s="19">
        <v>0.5760709010339734</v>
      </c>
      <c r="D1728" s="19"/>
    </row>
    <row r="1729" spans="1:4" x14ac:dyDescent="0.25">
      <c r="A1729" t="s">
        <v>803</v>
      </c>
      <c r="B1729" t="s">
        <v>1007</v>
      </c>
      <c r="C1729" s="19">
        <v>0.47337278106508873</v>
      </c>
      <c r="D1729" s="19"/>
    </row>
    <row r="1730" spans="1:4" x14ac:dyDescent="0.25">
      <c r="A1730" t="s">
        <v>803</v>
      </c>
      <c r="B1730" t="s">
        <v>994</v>
      </c>
      <c r="C1730" s="19">
        <v>0.47337278106508873</v>
      </c>
      <c r="D1730" s="19"/>
    </row>
    <row r="1731" spans="1:4" x14ac:dyDescent="0.25">
      <c r="A1731" t="s">
        <v>803</v>
      </c>
      <c r="B1731" t="s">
        <v>1006</v>
      </c>
      <c r="C1731" s="19">
        <v>0.47337278106508873</v>
      </c>
      <c r="D1731" s="19"/>
    </row>
    <row r="1732" spans="1:4" x14ac:dyDescent="0.25">
      <c r="A1732" t="s">
        <v>803</v>
      </c>
      <c r="B1732" t="s">
        <v>1005</v>
      </c>
      <c r="C1732" s="19">
        <v>0.47337278106508873</v>
      </c>
      <c r="D1732" s="19"/>
    </row>
    <row r="1733" spans="1:4" x14ac:dyDescent="0.25">
      <c r="A1733" t="s">
        <v>805</v>
      </c>
      <c r="B1733" t="s">
        <v>988</v>
      </c>
      <c r="C1733" s="19">
        <v>0.8</v>
      </c>
      <c r="D1733" s="19"/>
    </row>
    <row r="1734" spans="1:4" x14ac:dyDescent="0.25">
      <c r="A1734" t="s">
        <v>805</v>
      </c>
      <c r="B1734" t="s">
        <v>997</v>
      </c>
      <c r="C1734" s="19">
        <v>0.8</v>
      </c>
      <c r="D1734" s="19"/>
    </row>
    <row r="1735" spans="1:4" x14ac:dyDescent="0.25">
      <c r="A1735" t="s">
        <v>805</v>
      </c>
      <c r="B1735" t="s">
        <v>1001</v>
      </c>
      <c r="C1735" s="19">
        <v>0.8</v>
      </c>
      <c r="D1735" s="19"/>
    </row>
    <row r="1736" spans="1:4" x14ac:dyDescent="0.25">
      <c r="A1736" t="s">
        <v>805</v>
      </c>
      <c r="B1736" t="s">
        <v>999</v>
      </c>
      <c r="C1736" s="19">
        <v>0.8</v>
      </c>
      <c r="D1736" s="19"/>
    </row>
    <row r="1737" spans="1:4" x14ac:dyDescent="0.25">
      <c r="A1737" t="s">
        <v>805</v>
      </c>
      <c r="B1737" t="s">
        <v>981</v>
      </c>
      <c r="C1737" s="19">
        <v>0.8</v>
      </c>
      <c r="D1737" s="19"/>
    </row>
    <row r="1738" spans="1:4" x14ac:dyDescent="0.25">
      <c r="A1738" t="s">
        <v>806</v>
      </c>
      <c r="B1738" t="s">
        <v>997</v>
      </c>
      <c r="C1738" s="19">
        <v>0.57894736842105265</v>
      </c>
      <c r="D1738" s="19"/>
    </row>
    <row r="1739" spans="1:4" x14ac:dyDescent="0.25">
      <c r="A1739" t="s">
        <v>806</v>
      </c>
      <c r="B1739" t="s">
        <v>1001</v>
      </c>
      <c r="C1739" s="19">
        <v>0.57894736842105265</v>
      </c>
      <c r="D1739" s="19"/>
    </row>
    <row r="1740" spans="1:4" x14ac:dyDescent="0.25">
      <c r="A1740" t="s">
        <v>806</v>
      </c>
      <c r="B1740" t="s">
        <v>999</v>
      </c>
      <c r="C1740" s="19">
        <v>0.57894736842105265</v>
      </c>
      <c r="D1740" s="19"/>
    </row>
    <row r="1741" spans="1:4" x14ac:dyDescent="0.25">
      <c r="A1741" t="s">
        <v>809</v>
      </c>
      <c r="B1741" t="s">
        <v>1013</v>
      </c>
      <c r="C1741" s="19">
        <v>0.19182948490230906</v>
      </c>
      <c r="D1741" s="19"/>
    </row>
    <row r="1742" spans="1:4" x14ac:dyDescent="0.25">
      <c r="A1742" t="s">
        <v>809</v>
      </c>
      <c r="B1742" t="s">
        <v>1011</v>
      </c>
      <c r="C1742" s="19">
        <v>0.19182948490230906</v>
      </c>
      <c r="D1742" s="19"/>
    </row>
    <row r="1743" spans="1:4" x14ac:dyDescent="0.25">
      <c r="A1743" t="s">
        <v>809</v>
      </c>
      <c r="B1743" t="s">
        <v>1023</v>
      </c>
      <c r="C1743" s="19">
        <v>0.19182948490230906</v>
      </c>
      <c r="D1743" s="19"/>
    </row>
    <row r="1744" spans="1:4" x14ac:dyDescent="0.25">
      <c r="A1744" t="s">
        <v>809</v>
      </c>
      <c r="B1744" t="s">
        <v>1025</v>
      </c>
      <c r="C1744" s="19">
        <v>0.19182948490230906</v>
      </c>
      <c r="D1744" s="19"/>
    </row>
    <row r="1745" spans="1:4" x14ac:dyDescent="0.25">
      <c r="A1745" t="s">
        <v>473</v>
      </c>
      <c r="B1745" t="s">
        <v>975</v>
      </c>
      <c r="C1745" s="19"/>
      <c r="D1745" s="19"/>
    </row>
    <row r="1746" spans="1:4" x14ac:dyDescent="0.25">
      <c r="A1746" t="s">
        <v>473</v>
      </c>
      <c r="B1746" t="s">
        <v>1029</v>
      </c>
      <c r="C1746" s="19"/>
      <c r="D1746" s="19"/>
    </row>
    <row r="1747" spans="1:4" x14ac:dyDescent="0.25">
      <c r="A1747" t="s">
        <v>473</v>
      </c>
      <c r="B1747" t="s">
        <v>996</v>
      </c>
      <c r="C1747" s="19"/>
      <c r="D1747" s="19"/>
    </row>
    <row r="1748" spans="1:4" x14ac:dyDescent="0.25">
      <c r="A1748" t="s">
        <v>473</v>
      </c>
      <c r="B1748" t="s">
        <v>977</v>
      </c>
      <c r="C1748" s="19"/>
      <c r="D1748" s="19"/>
    </row>
    <row r="1749" spans="1:4" x14ac:dyDescent="0.25">
      <c r="A1749" t="s">
        <v>473</v>
      </c>
      <c r="B1749" t="s">
        <v>1051</v>
      </c>
      <c r="C1749" s="19"/>
      <c r="D1749" s="19"/>
    </row>
    <row r="1750" spans="1:4" x14ac:dyDescent="0.25">
      <c r="A1750" t="s">
        <v>474</v>
      </c>
      <c r="B1750" t="s">
        <v>1022</v>
      </c>
      <c r="C1750" s="19"/>
      <c r="D1750" s="19"/>
    </row>
    <row r="1751" spans="1:4" x14ac:dyDescent="0.25">
      <c r="A1751" t="s">
        <v>474</v>
      </c>
      <c r="B1751" t="s">
        <v>999</v>
      </c>
      <c r="C1751" s="19"/>
      <c r="D1751" s="19"/>
    </row>
    <row r="1752" spans="1:4" x14ac:dyDescent="0.25">
      <c r="A1752" t="s">
        <v>474</v>
      </c>
      <c r="B1752" t="s">
        <v>986</v>
      </c>
      <c r="C1752" s="19"/>
      <c r="D1752" s="19"/>
    </row>
    <row r="1753" spans="1:4" x14ac:dyDescent="0.25">
      <c r="A1753" t="s">
        <v>474</v>
      </c>
      <c r="B1753" t="s">
        <v>1040</v>
      </c>
      <c r="C1753" s="19"/>
      <c r="D1753" s="19"/>
    </row>
    <row r="1754" spans="1:4" x14ac:dyDescent="0.25">
      <c r="A1754" t="s">
        <v>475</v>
      </c>
      <c r="B1754" t="s">
        <v>985</v>
      </c>
      <c r="C1754" s="19"/>
      <c r="D1754" s="19"/>
    </row>
    <row r="1755" spans="1:4" x14ac:dyDescent="0.25">
      <c r="A1755" t="s">
        <v>476</v>
      </c>
      <c r="B1755" t="s">
        <v>981</v>
      </c>
      <c r="C1755" s="19"/>
      <c r="D1755" s="19"/>
    </row>
    <row r="1756" spans="1:4" x14ac:dyDescent="0.25">
      <c r="A1756" t="s">
        <v>476</v>
      </c>
      <c r="B1756" t="s">
        <v>976</v>
      </c>
      <c r="C1756" s="19"/>
      <c r="D1756" s="19"/>
    </row>
    <row r="1757" spans="1:4" x14ac:dyDescent="0.25">
      <c r="A1757" t="s">
        <v>476</v>
      </c>
      <c r="B1757" t="s">
        <v>1029</v>
      </c>
      <c r="C1757" s="19"/>
      <c r="D1757" s="19"/>
    </row>
    <row r="1758" spans="1:4" x14ac:dyDescent="0.25">
      <c r="A1758" t="s">
        <v>476</v>
      </c>
      <c r="B1758" t="s">
        <v>979</v>
      </c>
      <c r="C1758" s="19"/>
      <c r="D1758" s="19"/>
    </row>
    <row r="1759" spans="1:4" x14ac:dyDescent="0.25">
      <c r="A1759" t="s">
        <v>476</v>
      </c>
      <c r="B1759" t="s">
        <v>1037</v>
      </c>
      <c r="C1759" s="19"/>
      <c r="D1759" s="19"/>
    </row>
    <row r="1760" spans="1:4" x14ac:dyDescent="0.25">
      <c r="A1760" t="s">
        <v>477</v>
      </c>
      <c r="B1760" t="s">
        <v>977</v>
      </c>
      <c r="C1760" s="19"/>
      <c r="D1760" s="19"/>
    </row>
    <row r="1761" spans="1:4" x14ac:dyDescent="0.25">
      <c r="A1761" t="s">
        <v>477</v>
      </c>
      <c r="B1761" t="s">
        <v>993</v>
      </c>
      <c r="C1761" s="19"/>
      <c r="D1761" s="19"/>
    </row>
    <row r="1762" spans="1:4" x14ac:dyDescent="0.25">
      <c r="A1762" t="s">
        <v>477</v>
      </c>
      <c r="B1762" t="s">
        <v>978</v>
      </c>
      <c r="C1762" s="19"/>
      <c r="D1762" s="19"/>
    </row>
    <row r="1763" spans="1:4" x14ac:dyDescent="0.25">
      <c r="A1763" t="s">
        <v>477</v>
      </c>
      <c r="B1763" t="s">
        <v>989</v>
      </c>
      <c r="C1763" s="19"/>
      <c r="D1763" s="19"/>
    </row>
    <row r="1764" spans="1:4" x14ac:dyDescent="0.25">
      <c r="A1764" t="s">
        <v>477</v>
      </c>
      <c r="B1764" t="s">
        <v>1008</v>
      </c>
      <c r="C1764" s="19"/>
      <c r="D1764" s="19"/>
    </row>
    <row r="1765" spans="1:4" x14ac:dyDescent="0.25">
      <c r="A1765" t="s">
        <v>478</v>
      </c>
      <c r="B1765" t="s">
        <v>1009</v>
      </c>
      <c r="C1765" s="19"/>
      <c r="D1765" s="19"/>
    </row>
    <row r="1766" spans="1:4" x14ac:dyDescent="0.25">
      <c r="A1766" t="s">
        <v>478</v>
      </c>
      <c r="B1766" t="s">
        <v>1049</v>
      </c>
      <c r="C1766" s="19"/>
      <c r="D1766" s="19"/>
    </row>
    <row r="1767" spans="1:4" x14ac:dyDescent="0.25">
      <c r="A1767" t="s">
        <v>479</v>
      </c>
      <c r="B1767" t="s">
        <v>983</v>
      </c>
      <c r="C1767" s="19"/>
      <c r="D1767" s="19"/>
    </row>
    <row r="1768" spans="1:4" x14ac:dyDescent="0.25">
      <c r="A1768" t="s">
        <v>479</v>
      </c>
      <c r="B1768" t="s">
        <v>1047</v>
      </c>
      <c r="C1768" s="19"/>
      <c r="D1768" s="19"/>
    </row>
    <row r="1769" spans="1:4" x14ac:dyDescent="0.25">
      <c r="A1769" t="s">
        <v>480</v>
      </c>
      <c r="B1769" t="s">
        <v>1031</v>
      </c>
      <c r="C1769" s="19"/>
      <c r="D1769" s="19"/>
    </row>
    <row r="1770" spans="1:4" x14ac:dyDescent="0.25">
      <c r="A1770" t="s">
        <v>480</v>
      </c>
      <c r="B1770" t="s">
        <v>1032</v>
      </c>
      <c r="C1770" s="19"/>
      <c r="D1770" s="19"/>
    </row>
    <row r="1771" spans="1:4" x14ac:dyDescent="0.25">
      <c r="A1771" t="s">
        <v>481</v>
      </c>
      <c r="B1771" t="s">
        <v>1049</v>
      </c>
      <c r="C1771" s="19"/>
      <c r="D1771" s="19"/>
    </row>
    <row r="1772" spans="1:4" x14ac:dyDescent="0.25">
      <c r="A1772" t="s">
        <v>481</v>
      </c>
      <c r="B1772" t="s">
        <v>1009</v>
      </c>
      <c r="C1772" s="19"/>
      <c r="D1772" s="19"/>
    </row>
    <row r="1773" spans="1:4" x14ac:dyDescent="0.25">
      <c r="A1773" t="s">
        <v>482</v>
      </c>
      <c r="B1773" t="s">
        <v>1016</v>
      </c>
      <c r="C1773" s="19"/>
      <c r="D1773" s="19"/>
    </row>
    <row r="1774" spans="1:4" x14ac:dyDescent="0.25">
      <c r="A1774" t="s">
        <v>482</v>
      </c>
      <c r="B1774" t="s">
        <v>1033</v>
      </c>
      <c r="C1774" s="19"/>
      <c r="D1774" s="19"/>
    </row>
    <row r="1775" spans="1:4" x14ac:dyDescent="0.25">
      <c r="A1775" t="s">
        <v>483</v>
      </c>
      <c r="B1775" t="s">
        <v>1032</v>
      </c>
      <c r="C1775" s="19"/>
      <c r="D1775" s="19"/>
    </row>
    <row r="1776" spans="1:4" x14ac:dyDescent="0.25">
      <c r="A1776" t="s">
        <v>483</v>
      </c>
      <c r="B1776" t="s">
        <v>1031</v>
      </c>
      <c r="C1776" s="19"/>
      <c r="D1776" s="19"/>
    </row>
    <row r="1777" spans="1:4" x14ac:dyDescent="0.25">
      <c r="A1777" t="s">
        <v>484</v>
      </c>
      <c r="B1777" t="s">
        <v>1007</v>
      </c>
      <c r="C1777" s="19"/>
      <c r="D1777" s="19"/>
    </row>
    <row r="1778" spans="1:4" x14ac:dyDescent="0.25">
      <c r="A1778" t="s">
        <v>484</v>
      </c>
      <c r="B1778" t="s">
        <v>1001</v>
      </c>
      <c r="C1778" s="19"/>
      <c r="D1778" s="19"/>
    </row>
    <row r="1779" spans="1:4" x14ac:dyDescent="0.25">
      <c r="A1779" t="s">
        <v>484</v>
      </c>
      <c r="B1779" t="s">
        <v>997</v>
      </c>
      <c r="C1779" s="19"/>
      <c r="D1779" s="19"/>
    </row>
    <row r="1780" spans="1:4" x14ac:dyDescent="0.25">
      <c r="A1780" t="s">
        <v>485</v>
      </c>
      <c r="B1780" t="s">
        <v>1016</v>
      </c>
      <c r="C1780" s="19"/>
      <c r="D1780" s="19"/>
    </row>
    <row r="1781" spans="1:4" x14ac:dyDescent="0.25">
      <c r="A1781" t="s">
        <v>485</v>
      </c>
      <c r="B1781" t="s">
        <v>1033</v>
      </c>
      <c r="C1781" s="19"/>
      <c r="D1781" s="19"/>
    </row>
    <row r="1782" spans="1:4" x14ac:dyDescent="0.25">
      <c r="A1782" t="s">
        <v>486</v>
      </c>
      <c r="B1782" t="s">
        <v>1001</v>
      </c>
      <c r="C1782" s="19"/>
      <c r="D1782" s="19"/>
    </row>
    <row r="1783" spans="1:4" x14ac:dyDescent="0.25">
      <c r="A1783" t="s">
        <v>486</v>
      </c>
      <c r="B1783" t="s">
        <v>1007</v>
      </c>
      <c r="C1783" s="19"/>
      <c r="D1783" s="19"/>
    </row>
    <row r="1784" spans="1:4" x14ac:dyDescent="0.25">
      <c r="A1784" t="s">
        <v>486</v>
      </c>
      <c r="B1784" t="s">
        <v>997</v>
      </c>
      <c r="C1784" s="19"/>
      <c r="D1784" s="19"/>
    </row>
    <row r="1785" spans="1:4" x14ac:dyDescent="0.25">
      <c r="A1785" t="s">
        <v>487</v>
      </c>
      <c r="B1785" t="s">
        <v>1013</v>
      </c>
      <c r="C1785" s="19"/>
      <c r="D1785" s="19"/>
    </row>
    <row r="1786" spans="1:4" x14ac:dyDescent="0.25">
      <c r="A1786" t="s">
        <v>487</v>
      </c>
      <c r="B1786" t="s">
        <v>1011</v>
      </c>
      <c r="C1786" s="19"/>
      <c r="D1786" s="19"/>
    </row>
    <row r="1787" spans="1:4" x14ac:dyDescent="0.25">
      <c r="A1787" t="s">
        <v>487</v>
      </c>
      <c r="B1787" t="s">
        <v>1025</v>
      </c>
      <c r="C1787" s="19"/>
      <c r="D1787" s="19"/>
    </row>
    <row r="1788" spans="1:4" x14ac:dyDescent="0.25">
      <c r="A1788" t="s">
        <v>487</v>
      </c>
      <c r="B1788" t="s">
        <v>1023</v>
      </c>
      <c r="C1788" s="19"/>
      <c r="D1788" s="19"/>
    </row>
    <row r="1789" spans="1:4" x14ac:dyDescent="0.25">
      <c r="A1789" t="s">
        <v>487</v>
      </c>
      <c r="B1789" t="s">
        <v>1004</v>
      </c>
      <c r="C1789" s="19"/>
      <c r="D1789" s="19"/>
    </row>
    <row r="1790" spans="1:4" x14ac:dyDescent="0.25">
      <c r="A1790" t="s">
        <v>488</v>
      </c>
      <c r="B1790" t="s">
        <v>1030</v>
      </c>
      <c r="C1790" s="19"/>
      <c r="D1790" s="19"/>
    </row>
    <row r="1791" spans="1:4" x14ac:dyDescent="0.25">
      <c r="A1791" t="s">
        <v>489</v>
      </c>
      <c r="B1791" t="s">
        <v>1022</v>
      </c>
      <c r="C1791" s="19"/>
      <c r="D1791" s="19"/>
    </row>
    <row r="1792" spans="1:4" x14ac:dyDescent="0.25">
      <c r="A1792" t="s">
        <v>489</v>
      </c>
      <c r="B1792" t="s">
        <v>988</v>
      </c>
      <c r="C1792" s="19"/>
      <c r="D1792" s="19"/>
    </row>
    <row r="1793" spans="1:4" x14ac:dyDescent="0.25">
      <c r="A1793" t="s">
        <v>489</v>
      </c>
      <c r="B1793" t="s">
        <v>1019</v>
      </c>
      <c r="C1793" s="19"/>
      <c r="D1793" s="19"/>
    </row>
    <row r="1794" spans="1:4" x14ac:dyDescent="0.25">
      <c r="A1794" t="s">
        <v>489</v>
      </c>
      <c r="B1794" t="s">
        <v>1012</v>
      </c>
      <c r="C1794" s="19"/>
      <c r="D1794" s="19"/>
    </row>
    <row r="1795" spans="1:4" x14ac:dyDescent="0.25">
      <c r="A1795" t="s">
        <v>489</v>
      </c>
      <c r="B1795" t="s">
        <v>995</v>
      </c>
      <c r="C1795" s="19"/>
      <c r="D1795" s="19"/>
    </row>
    <row r="1796" spans="1:4" x14ac:dyDescent="0.25">
      <c r="A1796" t="s">
        <v>489</v>
      </c>
      <c r="B1796" t="s">
        <v>999</v>
      </c>
      <c r="C1796" s="19"/>
      <c r="D1796" s="19"/>
    </row>
    <row r="1797" spans="1:4" x14ac:dyDescent="0.25">
      <c r="A1797" t="s">
        <v>489</v>
      </c>
      <c r="B1797" t="s">
        <v>1028</v>
      </c>
      <c r="C1797" s="19"/>
      <c r="D1797" s="19"/>
    </row>
    <row r="1798" spans="1:4" x14ac:dyDescent="0.25">
      <c r="A1798" t="s">
        <v>489</v>
      </c>
      <c r="B1798" t="s">
        <v>1026</v>
      </c>
      <c r="C1798" s="19"/>
      <c r="D1798" s="19"/>
    </row>
    <row r="1799" spans="1:4" x14ac:dyDescent="0.25">
      <c r="A1799" t="s">
        <v>489</v>
      </c>
      <c r="B1799" t="s">
        <v>986</v>
      </c>
      <c r="C1799" s="19"/>
      <c r="D1799" s="19"/>
    </row>
    <row r="1800" spans="1:4" x14ac:dyDescent="0.25">
      <c r="A1800" t="s">
        <v>490</v>
      </c>
      <c r="B1800" t="s">
        <v>985</v>
      </c>
      <c r="C1800" s="19"/>
      <c r="D1800" s="19"/>
    </row>
    <row r="1801" spans="1:4" x14ac:dyDescent="0.25">
      <c r="A1801" t="s">
        <v>490</v>
      </c>
      <c r="B1801" t="s">
        <v>973</v>
      </c>
      <c r="C1801" s="19"/>
      <c r="D1801" s="19"/>
    </row>
    <row r="1802" spans="1:4" x14ac:dyDescent="0.25">
      <c r="A1802" t="s">
        <v>490</v>
      </c>
      <c r="B1802" t="s">
        <v>978</v>
      </c>
      <c r="C1802" s="19"/>
      <c r="D1802" s="19"/>
    </row>
    <row r="1803" spans="1:4" x14ac:dyDescent="0.25">
      <c r="A1803" t="s">
        <v>491</v>
      </c>
      <c r="B1803" t="s">
        <v>983</v>
      </c>
      <c r="C1803" s="19"/>
      <c r="D1803" s="19"/>
    </row>
    <row r="1804" spans="1:4" x14ac:dyDescent="0.25">
      <c r="A1804" t="s">
        <v>492</v>
      </c>
      <c r="B1804" t="s">
        <v>1029</v>
      </c>
      <c r="C1804" s="19"/>
      <c r="D1804" s="19"/>
    </row>
    <row r="1805" spans="1:4" x14ac:dyDescent="0.25">
      <c r="A1805" t="s">
        <v>492</v>
      </c>
      <c r="B1805" t="s">
        <v>979</v>
      </c>
      <c r="C1805" s="19"/>
      <c r="D1805" s="19"/>
    </row>
    <row r="1806" spans="1:4" x14ac:dyDescent="0.25">
      <c r="A1806" t="s">
        <v>492</v>
      </c>
      <c r="B1806" t="s">
        <v>981</v>
      </c>
      <c r="C1806" s="19"/>
      <c r="D1806" s="19"/>
    </row>
    <row r="1807" spans="1:4" x14ac:dyDescent="0.25">
      <c r="A1807" t="s">
        <v>492</v>
      </c>
      <c r="B1807" t="s">
        <v>1008</v>
      </c>
      <c r="C1807" s="19"/>
      <c r="D1807" s="19"/>
    </row>
    <row r="1808" spans="1:4" x14ac:dyDescent="0.25">
      <c r="A1808" t="s">
        <v>492</v>
      </c>
      <c r="B1808" t="s">
        <v>1037</v>
      </c>
      <c r="C1808" s="19"/>
      <c r="D1808" s="19"/>
    </row>
    <row r="1809" spans="1:4" x14ac:dyDescent="0.25">
      <c r="A1809" t="s">
        <v>493</v>
      </c>
      <c r="B1809" t="s">
        <v>1027</v>
      </c>
      <c r="C1809" s="19"/>
      <c r="D1809" s="19"/>
    </row>
    <row r="1810" spans="1:4" x14ac:dyDescent="0.25">
      <c r="A1810" t="s">
        <v>493</v>
      </c>
      <c r="B1810" t="s">
        <v>989</v>
      </c>
      <c r="C1810" s="19"/>
      <c r="D1810" s="19"/>
    </row>
    <row r="1811" spans="1:4" x14ac:dyDescent="0.25">
      <c r="A1811" t="s">
        <v>493</v>
      </c>
      <c r="B1811" t="s">
        <v>993</v>
      </c>
      <c r="C1811" s="19"/>
      <c r="D1811" s="19"/>
    </row>
    <row r="1812" spans="1:4" x14ac:dyDescent="0.25">
      <c r="A1812" t="s">
        <v>493</v>
      </c>
      <c r="B1812" t="s">
        <v>976</v>
      </c>
      <c r="C1812" s="19"/>
      <c r="D1812" s="19"/>
    </row>
    <row r="1813" spans="1:4" x14ac:dyDescent="0.25">
      <c r="A1813" t="s">
        <v>493</v>
      </c>
      <c r="B1813" t="s">
        <v>980</v>
      </c>
      <c r="C1813" s="19"/>
      <c r="D1813" s="19"/>
    </row>
    <row r="1814" spans="1:4" x14ac:dyDescent="0.25">
      <c r="A1814" t="s">
        <v>494</v>
      </c>
      <c r="B1814" t="s">
        <v>1047</v>
      </c>
      <c r="C1814" s="19"/>
      <c r="D1814" s="19"/>
    </row>
    <row r="1815" spans="1:4" x14ac:dyDescent="0.25">
      <c r="A1815" t="s">
        <v>494</v>
      </c>
      <c r="B1815" t="s">
        <v>1032</v>
      </c>
      <c r="C1815" s="19"/>
      <c r="D1815" s="19"/>
    </row>
    <row r="1816" spans="1:4" x14ac:dyDescent="0.25">
      <c r="A1816" t="s">
        <v>494</v>
      </c>
      <c r="B1816" t="s">
        <v>1031</v>
      </c>
      <c r="C1816" s="19"/>
      <c r="D1816" s="19"/>
    </row>
    <row r="1817" spans="1:4" x14ac:dyDescent="0.25">
      <c r="A1817" t="s">
        <v>495</v>
      </c>
      <c r="B1817" t="s">
        <v>1047</v>
      </c>
      <c r="C1817" s="19"/>
      <c r="D1817" s="19"/>
    </row>
    <row r="1818" spans="1:4" x14ac:dyDescent="0.25">
      <c r="A1818" t="s">
        <v>495</v>
      </c>
      <c r="B1818" t="s">
        <v>1031</v>
      </c>
      <c r="C1818" s="19"/>
      <c r="D1818" s="19"/>
    </row>
    <row r="1819" spans="1:4" x14ac:dyDescent="0.25">
      <c r="A1819" t="s">
        <v>495</v>
      </c>
      <c r="B1819" t="s">
        <v>1032</v>
      </c>
      <c r="C1819" s="19"/>
      <c r="D1819" s="19"/>
    </row>
    <row r="1820" spans="1:4" x14ac:dyDescent="0.25">
      <c r="A1820" t="s">
        <v>496</v>
      </c>
      <c r="B1820" t="s">
        <v>1016</v>
      </c>
      <c r="C1820" s="19"/>
      <c r="D1820" s="19"/>
    </row>
    <row r="1821" spans="1:4" x14ac:dyDescent="0.25">
      <c r="A1821" t="s">
        <v>496</v>
      </c>
      <c r="B1821" t="s">
        <v>1033</v>
      </c>
      <c r="C1821" s="19"/>
      <c r="D1821" s="19"/>
    </row>
    <row r="1822" spans="1:4" x14ac:dyDescent="0.25">
      <c r="A1822" t="s">
        <v>497</v>
      </c>
      <c r="B1822" t="s">
        <v>1049</v>
      </c>
      <c r="C1822" s="19"/>
      <c r="D1822" s="19"/>
    </row>
    <row r="1823" spans="1:4" x14ac:dyDescent="0.25">
      <c r="A1823" t="s">
        <v>497</v>
      </c>
      <c r="B1823" t="s">
        <v>1009</v>
      </c>
      <c r="C1823" s="19"/>
      <c r="D1823" s="19"/>
    </row>
    <row r="1824" spans="1:4" x14ac:dyDescent="0.25">
      <c r="A1824" t="s">
        <v>497</v>
      </c>
      <c r="B1824" t="s">
        <v>1038</v>
      </c>
      <c r="C1824" s="19"/>
      <c r="D1824" s="19"/>
    </row>
    <row r="1825" spans="1:4" x14ac:dyDescent="0.25">
      <c r="A1825" t="s">
        <v>498</v>
      </c>
      <c r="B1825" t="s">
        <v>1007</v>
      </c>
      <c r="C1825" s="19"/>
      <c r="D1825" s="19"/>
    </row>
    <row r="1826" spans="1:4" x14ac:dyDescent="0.25">
      <c r="A1826" t="s">
        <v>498</v>
      </c>
      <c r="B1826" t="s">
        <v>997</v>
      </c>
      <c r="C1826" s="19"/>
      <c r="D1826" s="19"/>
    </row>
    <row r="1827" spans="1:4" x14ac:dyDescent="0.25">
      <c r="A1827" t="s">
        <v>498</v>
      </c>
      <c r="B1827" t="s">
        <v>1001</v>
      </c>
      <c r="C1827" s="19"/>
      <c r="D1827" s="19"/>
    </row>
    <row r="1828" spans="1:4" x14ac:dyDescent="0.25">
      <c r="A1828" t="s">
        <v>499</v>
      </c>
      <c r="B1828" t="s">
        <v>1007</v>
      </c>
      <c r="C1828" s="19"/>
      <c r="D1828" s="19"/>
    </row>
    <row r="1829" spans="1:4" x14ac:dyDescent="0.25">
      <c r="A1829" t="s">
        <v>499</v>
      </c>
      <c r="B1829" t="s">
        <v>997</v>
      </c>
      <c r="C1829" s="19"/>
      <c r="D1829" s="19"/>
    </row>
    <row r="1830" spans="1:4" x14ac:dyDescent="0.25">
      <c r="A1830" t="s">
        <v>499</v>
      </c>
      <c r="B1830" t="s">
        <v>1001</v>
      </c>
      <c r="C1830" s="19"/>
      <c r="D1830" s="19"/>
    </row>
    <row r="1831" spans="1:4" x14ac:dyDescent="0.25">
      <c r="A1831" t="s">
        <v>500</v>
      </c>
      <c r="B1831" t="s">
        <v>1030</v>
      </c>
      <c r="C1831" s="19"/>
      <c r="D1831" s="19"/>
    </row>
    <row r="1832" spans="1:4" x14ac:dyDescent="0.25">
      <c r="A1832" t="s">
        <v>501</v>
      </c>
      <c r="B1832" t="s">
        <v>1013</v>
      </c>
      <c r="C1832" s="19"/>
      <c r="D1832" s="19"/>
    </row>
    <row r="1833" spans="1:4" x14ac:dyDescent="0.25">
      <c r="A1833" t="s">
        <v>501</v>
      </c>
      <c r="B1833" t="s">
        <v>1011</v>
      </c>
      <c r="C1833" s="19"/>
      <c r="D1833" s="19"/>
    </row>
    <row r="1834" spans="1:4" x14ac:dyDescent="0.25">
      <c r="A1834" t="s">
        <v>501</v>
      </c>
      <c r="B1834" t="s">
        <v>1023</v>
      </c>
      <c r="C1834" s="19"/>
      <c r="D1834" s="19"/>
    </row>
    <row r="1835" spans="1:4" x14ac:dyDescent="0.25">
      <c r="A1835" t="s">
        <v>501</v>
      </c>
      <c r="B1835" t="s">
        <v>1025</v>
      </c>
      <c r="C1835" s="19"/>
      <c r="D1835" s="19"/>
    </row>
    <row r="1836" spans="1:4" x14ac:dyDescent="0.25">
      <c r="A1836" t="s">
        <v>501</v>
      </c>
      <c r="B1836" t="s">
        <v>1004</v>
      </c>
      <c r="C1836" s="19"/>
      <c r="D1836" s="19"/>
    </row>
    <row r="1837" spans="1:4" x14ac:dyDescent="0.25">
      <c r="A1837" t="s">
        <v>502</v>
      </c>
      <c r="B1837" t="s">
        <v>1022</v>
      </c>
      <c r="C1837" s="19"/>
      <c r="D1837" s="19"/>
    </row>
    <row r="1838" spans="1:4" x14ac:dyDescent="0.25">
      <c r="A1838" t="s">
        <v>502</v>
      </c>
      <c r="B1838" t="s">
        <v>988</v>
      </c>
      <c r="C1838" s="19"/>
      <c r="D1838" s="19"/>
    </row>
    <row r="1839" spans="1:4" x14ac:dyDescent="0.25">
      <c r="A1839" t="s">
        <v>502</v>
      </c>
      <c r="B1839" t="s">
        <v>1019</v>
      </c>
      <c r="C1839" s="19"/>
      <c r="D1839" s="19"/>
    </row>
    <row r="1840" spans="1:4" x14ac:dyDescent="0.25">
      <c r="A1840" t="s">
        <v>502</v>
      </c>
      <c r="B1840" t="s">
        <v>999</v>
      </c>
      <c r="C1840" s="19"/>
      <c r="D1840" s="19"/>
    </row>
    <row r="1841" spans="1:4" x14ac:dyDescent="0.25">
      <c r="A1841" t="s">
        <v>502</v>
      </c>
      <c r="B1841" t="s">
        <v>995</v>
      </c>
      <c r="C1841" s="19"/>
      <c r="D1841" s="19"/>
    </row>
    <row r="1842" spans="1:4" x14ac:dyDescent="0.25">
      <c r="A1842" t="s">
        <v>502</v>
      </c>
      <c r="B1842" t="s">
        <v>1012</v>
      </c>
      <c r="C1842" s="19"/>
      <c r="D1842" s="19"/>
    </row>
    <row r="1843" spans="1:4" x14ac:dyDescent="0.25">
      <c r="A1843" t="s">
        <v>502</v>
      </c>
      <c r="B1843" t="s">
        <v>1026</v>
      </c>
      <c r="C1843" s="19"/>
      <c r="D1843" s="19"/>
    </row>
    <row r="1844" spans="1:4" x14ac:dyDescent="0.25">
      <c r="A1844" t="s">
        <v>502</v>
      </c>
      <c r="B1844" t="s">
        <v>1028</v>
      </c>
      <c r="C1844" s="19"/>
      <c r="D1844" s="19"/>
    </row>
    <row r="1845" spans="1:4" x14ac:dyDescent="0.25">
      <c r="A1845" t="s">
        <v>502</v>
      </c>
      <c r="B1845" t="s">
        <v>1005</v>
      </c>
      <c r="C1845" s="19"/>
      <c r="D1845" s="19"/>
    </row>
    <row r="1846" spans="1:4" x14ac:dyDescent="0.25">
      <c r="A1846" t="s">
        <v>502</v>
      </c>
      <c r="B1846" t="s">
        <v>986</v>
      </c>
      <c r="C1846" s="19"/>
      <c r="D1846" s="19"/>
    </row>
    <row r="1847" spans="1:4" x14ac:dyDescent="0.25">
      <c r="A1847" t="s">
        <v>503</v>
      </c>
      <c r="B1847" t="s">
        <v>977</v>
      </c>
      <c r="C1847" s="19"/>
      <c r="D1847" s="19"/>
    </row>
    <row r="1848" spans="1:4" x14ac:dyDescent="0.25">
      <c r="A1848" t="s">
        <v>503</v>
      </c>
      <c r="B1848" t="s">
        <v>987</v>
      </c>
      <c r="C1848" s="19"/>
      <c r="D1848" s="19"/>
    </row>
    <row r="1849" spans="1:4" x14ac:dyDescent="0.25">
      <c r="A1849" t="s">
        <v>503</v>
      </c>
      <c r="B1849" t="s">
        <v>981</v>
      </c>
      <c r="C1849" s="19"/>
      <c r="D1849" s="19"/>
    </row>
    <row r="1850" spans="1:4" x14ac:dyDescent="0.25">
      <c r="A1850" t="s">
        <v>503</v>
      </c>
      <c r="B1850" t="s">
        <v>1037</v>
      </c>
      <c r="C1850" s="19"/>
      <c r="D1850" s="19"/>
    </row>
    <row r="1851" spans="1:4" x14ac:dyDescent="0.25">
      <c r="A1851" t="s">
        <v>503</v>
      </c>
      <c r="B1851" t="s">
        <v>980</v>
      </c>
      <c r="C1851" s="19"/>
      <c r="D1851" s="19"/>
    </row>
    <row r="1852" spans="1:4" x14ac:dyDescent="0.25">
      <c r="A1852" t="s">
        <v>504</v>
      </c>
      <c r="B1852" t="s">
        <v>1036</v>
      </c>
      <c r="C1852" s="19"/>
      <c r="D1852" s="19"/>
    </row>
    <row r="1853" spans="1:4" x14ac:dyDescent="0.25">
      <c r="A1853" t="s">
        <v>505</v>
      </c>
      <c r="B1853" t="s">
        <v>978</v>
      </c>
      <c r="C1853" s="19"/>
      <c r="D1853" s="19"/>
    </row>
    <row r="1854" spans="1:4" x14ac:dyDescent="0.25">
      <c r="A1854" t="s">
        <v>505</v>
      </c>
      <c r="B1854" t="s">
        <v>989</v>
      </c>
      <c r="C1854" s="19"/>
      <c r="D1854" s="19"/>
    </row>
    <row r="1855" spans="1:4" x14ac:dyDescent="0.25">
      <c r="A1855" t="s">
        <v>505</v>
      </c>
      <c r="B1855" t="s">
        <v>1027</v>
      </c>
      <c r="C1855" s="19"/>
      <c r="D1855" s="19"/>
    </row>
    <row r="1856" spans="1:4" x14ac:dyDescent="0.25">
      <c r="A1856" t="s">
        <v>505</v>
      </c>
      <c r="B1856" t="s">
        <v>976</v>
      </c>
      <c r="C1856" s="19"/>
      <c r="D1856" s="19"/>
    </row>
    <row r="1857" spans="1:4" x14ac:dyDescent="0.25">
      <c r="A1857" t="s">
        <v>505</v>
      </c>
      <c r="B1857" t="s">
        <v>1029</v>
      </c>
      <c r="C1857" s="19"/>
      <c r="D1857" s="19"/>
    </row>
    <row r="1858" spans="1:4" x14ac:dyDescent="0.25">
      <c r="A1858" t="s">
        <v>506</v>
      </c>
      <c r="B1858" t="s">
        <v>983</v>
      </c>
      <c r="C1858" s="19"/>
      <c r="D1858" s="19"/>
    </row>
    <row r="1859" spans="1:4" x14ac:dyDescent="0.25">
      <c r="A1859" t="s">
        <v>506</v>
      </c>
      <c r="B1859" t="s">
        <v>1008</v>
      </c>
      <c r="C1859" s="19"/>
      <c r="D1859" s="19"/>
    </row>
    <row r="1860" spans="1:4" x14ac:dyDescent="0.25">
      <c r="A1860" t="s">
        <v>506</v>
      </c>
      <c r="B1860" t="s">
        <v>985</v>
      </c>
      <c r="C1860" s="19"/>
      <c r="D1860" s="19"/>
    </row>
    <row r="1861" spans="1:4" x14ac:dyDescent="0.25">
      <c r="A1861" t="s">
        <v>506</v>
      </c>
      <c r="B1861" t="s">
        <v>979</v>
      </c>
      <c r="C1861" s="19"/>
      <c r="D1861" s="19"/>
    </row>
    <row r="1862" spans="1:4" x14ac:dyDescent="0.25">
      <c r="A1862" t="s">
        <v>506</v>
      </c>
      <c r="B1862" t="s">
        <v>973</v>
      </c>
      <c r="C1862" s="19"/>
      <c r="D1862" s="19"/>
    </row>
    <row r="1863" spans="1:4" x14ac:dyDescent="0.25">
      <c r="A1863" t="s">
        <v>506</v>
      </c>
      <c r="B1863" t="s">
        <v>1047</v>
      </c>
      <c r="C1863" s="19"/>
      <c r="D1863" s="19"/>
    </row>
    <row r="1864" spans="1:4" x14ac:dyDescent="0.25">
      <c r="A1864" t="s">
        <v>506</v>
      </c>
      <c r="B1864" t="s">
        <v>1032</v>
      </c>
      <c r="C1864" s="19"/>
      <c r="D1864" s="19"/>
    </row>
    <row r="1865" spans="1:4" x14ac:dyDescent="0.25">
      <c r="A1865" t="s">
        <v>506</v>
      </c>
      <c r="B1865" t="s">
        <v>1031</v>
      </c>
      <c r="C1865" s="19"/>
      <c r="D1865" s="19"/>
    </row>
    <row r="1866" spans="1:4" x14ac:dyDescent="0.25">
      <c r="A1866" t="s">
        <v>507</v>
      </c>
      <c r="B1866" t="s">
        <v>979</v>
      </c>
      <c r="C1866" s="19"/>
      <c r="D1866" s="19"/>
    </row>
    <row r="1867" spans="1:4" x14ac:dyDescent="0.25">
      <c r="A1867" t="s">
        <v>507</v>
      </c>
      <c r="B1867" t="s">
        <v>1047</v>
      </c>
      <c r="C1867" s="19"/>
      <c r="D1867" s="19"/>
    </row>
    <row r="1868" spans="1:4" x14ac:dyDescent="0.25">
      <c r="A1868" t="s">
        <v>507</v>
      </c>
      <c r="B1868" t="s">
        <v>973</v>
      </c>
      <c r="C1868" s="19"/>
      <c r="D1868" s="19"/>
    </row>
    <row r="1869" spans="1:4" x14ac:dyDescent="0.25">
      <c r="A1869" t="s">
        <v>508</v>
      </c>
      <c r="B1869" t="s">
        <v>1049</v>
      </c>
      <c r="C1869" s="19"/>
      <c r="D1869" s="19"/>
    </row>
    <row r="1870" spans="1:4" x14ac:dyDescent="0.25">
      <c r="A1870" t="s">
        <v>508</v>
      </c>
      <c r="B1870" t="s">
        <v>1009</v>
      </c>
      <c r="C1870" s="19"/>
      <c r="D1870" s="19"/>
    </row>
    <row r="1871" spans="1:4" x14ac:dyDescent="0.25">
      <c r="A1871" t="s">
        <v>508</v>
      </c>
      <c r="B1871" t="s">
        <v>1038</v>
      </c>
      <c r="C1871" s="19"/>
      <c r="D1871" s="19"/>
    </row>
    <row r="1872" spans="1:4" x14ac:dyDescent="0.25">
      <c r="A1872" t="s">
        <v>509</v>
      </c>
      <c r="B1872" t="s">
        <v>1016</v>
      </c>
      <c r="C1872" s="19"/>
      <c r="D1872" s="19"/>
    </row>
    <row r="1873" spans="1:4" x14ac:dyDescent="0.25">
      <c r="A1873" t="s">
        <v>509</v>
      </c>
      <c r="B1873" t="s">
        <v>1033</v>
      </c>
      <c r="C1873" s="19"/>
      <c r="D1873" s="19"/>
    </row>
    <row r="1874" spans="1:4" x14ac:dyDescent="0.25">
      <c r="A1874" t="s">
        <v>510</v>
      </c>
      <c r="B1874" t="s">
        <v>1009</v>
      </c>
      <c r="C1874" s="19"/>
      <c r="D1874" s="19"/>
    </row>
    <row r="1875" spans="1:4" x14ac:dyDescent="0.25">
      <c r="A1875" t="s">
        <v>510</v>
      </c>
      <c r="B1875" t="s">
        <v>1049</v>
      </c>
      <c r="C1875" s="19"/>
      <c r="D1875" s="19"/>
    </row>
    <row r="1876" spans="1:4" x14ac:dyDescent="0.25">
      <c r="A1876" t="s">
        <v>510</v>
      </c>
      <c r="B1876" t="s">
        <v>1038</v>
      </c>
      <c r="C1876" s="19"/>
      <c r="D1876" s="19"/>
    </row>
    <row r="1877" spans="1:4" x14ac:dyDescent="0.25">
      <c r="A1877" t="s">
        <v>511</v>
      </c>
      <c r="B1877" t="s">
        <v>1033</v>
      </c>
      <c r="C1877" s="19"/>
      <c r="D1877" s="19"/>
    </row>
    <row r="1878" spans="1:4" x14ac:dyDescent="0.25">
      <c r="A1878" t="s">
        <v>511</v>
      </c>
      <c r="B1878" t="s">
        <v>983</v>
      </c>
      <c r="C1878" s="19"/>
      <c r="D1878" s="19"/>
    </row>
    <row r="1879" spans="1:4" x14ac:dyDescent="0.25">
      <c r="A1879" t="s">
        <v>511</v>
      </c>
      <c r="B1879" t="s">
        <v>1016</v>
      </c>
      <c r="C1879" s="19"/>
      <c r="D1879" s="19"/>
    </row>
    <row r="1880" spans="1:4" x14ac:dyDescent="0.25">
      <c r="A1880" t="s">
        <v>512</v>
      </c>
      <c r="B1880" t="s">
        <v>985</v>
      </c>
      <c r="C1880" s="19"/>
      <c r="D1880" s="19"/>
    </row>
    <row r="1881" spans="1:4" x14ac:dyDescent="0.25">
      <c r="A1881" t="s">
        <v>512</v>
      </c>
      <c r="B1881" t="s">
        <v>1008</v>
      </c>
      <c r="C1881" s="19"/>
      <c r="D1881" s="19"/>
    </row>
    <row r="1882" spans="1:4" x14ac:dyDescent="0.25">
      <c r="A1882" t="s">
        <v>512</v>
      </c>
      <c r="B1882" t="s">
        <v>1031</v>
      </c>
      <c r="C1882" s="19"/>
      <c r="D1882" s="19"/>
    </row>
    <row r="1883" spans="1:4" x14ac:dyDescent="0.25">
      <c r="A1883" t="s">
        <v>512</v>
      </c>
      <c r="B1883" t="s">
        <v>1032</v>
      </c>
      <c r="C1883" s="19"/>
      <c r="D1883" s="19"/>
    </row>
    <row r="1884" spans="1:4" x14ac:dyDescent="0.25">
      <c r="A1884" t="s">
        <v>513</v>
      </c>
      <c r="B1884" t="s">
        <v>1013</v>
      </c>
      <c r="C1884" s="19"/>
      <c r="D1884" s="19"/>
    </row>
    <row r="1885" spans="1:4" x14ac:dyDescent="0.25">
      <c r="A1885" t="s">
        <v>513</v>
      </c>
      <c r="B1885" t="s">
        <v>1011</v>
      </c>
      <c r="C1885" s="19"/>
      <c r="D1885" s="19"/>
    </row>
    <row r="1886" spans="1:4" x14ac:dyDescent="0.25">
      <c r="A1886" t="s">
        <v>513</v>
      </c>
      <c r="B1886" t="s">
        <v>1023</v>
      </c>
      <c r="C1886" s="19"/>
      <c r="D1886" s="19"/>
    </row>
    <row r="1887" spans="1:4" x14ac:dyDescent="0.25">
      <c r="A1887" t="s">
        <v>513</v>
      </c>
      <c r="B1887" t="s">
        <v>1004</v>
      </c>
      <c r="C1887" s="19"/>
      <c r="D1887" s="19"/>
    </row>
    <row r="1888" spans="1:4" x14ac:dyDescent="0.25">
      <c r="A1888" t="s">
        <v>513</v>
      </c>
      <c r="B1888" t="s">
        <v>1025</v>
      </c>
      <c r="C1888" s="19"/>
      <c r="D1888" s="19"/>
    </row>
    <row r="1889" spans="1:4" x14ac:dyDescent="0.25">
      <c r="A1889" t="s">
        <v>513</v>
      </c>
      <c r="B1889" t="s">
        <v>1007</v>
      </c>
      <c r="C1889" s="19"/>
      <c r="D1889" s="19"/>
    </row>
    <row r="1890" spans="1:4" x14ac:dyDescent="0.25">
      <c r="A1890" t="s">
        <v>513</v>
      </c>
      <c r="B1890" t="s">
        <v>997</v>
      </c>
      <c r="C1890" s="19"/>
      <c r="D1890" s="19"/>
    </row>
    <row r="1891" spans="1:4" x14ac:dyDescent="0.25">
      <c r="A1891" t="s">
        <v>514</v>
      </c>
      <c r="B1891" t="s">
        <v>1030</v>
      </c>
      <c r="C1891" s="19"/>
      <c r="D1891" s="19"/>
    </row>
    <row r="1892" spans="1:4" x14ac:dyDescent="0.25">
      <c r="A1892" t="s">
        <v>515</v>
      </c>
      <c r="B1892" t="s">
        <v>1005</v>
      </c>
      <c r="C1892" s="19"/>
      <c r="D1892" s="19"/>
    </row>
    <row r="1893" spans="1:4" x14ac:dyDescent="0.25">
      <c r="A1893" t="s">
        <v>516</v>
      </c>
      <c r="B1893" t="s">
        <v>1033</v>
      </c>
      <c r="C1893" s="19"/>
      <c r="D1893" s="19"/>
    </row>
    <row r="1894" spans="1:4" x14ac:dyDescent="0.25">
      <c r="A1894" t="s">
        <v>516</v>
      </c>
      <c r="B1894" t="s">
        <v>1026</v>
      </c>
      <c r="C1894" s="19"/>
      <c r="D1894" s="19"/>
    </row>
    <row r="1895" spans="1:4" x14ac:dyDescent="0.25">
      <c r="A1895" t="s">
        <v>516</v>
      </c>
      <c r="B1895" t="s">
        <v>1028</v>
      </c>
      <c r="C1895" s="19"/>
      <c r="D1895" s="19"/>
    </row>
    <row r="1896" spans="1:4" x14ac:dyDescent="0.25">
      <c r="A1896" t="s">
        <v>516</v>
      </c>
      <c r="B1896" t="s">
        <v>995</v>
      </c>
      <c r="C1896" s="19"/>
      <c r="D1896" s="19"/>
    </row>
    <row r="1897" spans="1:4" x14ac:dyDescent="0.25">
      <c r="A1897" t="s">
        <v>516</v>
      </c>
      <c r="B1897" t="s">
        <v>1042</v>
      </c>
      <c r="C1897" s="19"/>
      <c r="D1897" s="19"/>
    </row>
    <row r="1898" spans="1:4" x14ac:dyDescent="0.25">
      <c r="A1898" t="s">
        <v>516</v>
      </c>
      <c r="B1898" t="s">
        <v>1019</v>
      </c>
      <c r="C1898" s="19"/>
      <c r="D1898" s="19"/>
    </row>
    <row r="1899" spans="1:4" x14ac:dyDescent="0.25">
      <c r="A1899" t="s">
        <v>516</v>
      </c>
      <c r="B1899" t="s">
        <v>1005</v>
      </c>
      <c r="C1899" s="19"/>
      <c r="D1899" s="19"/>
    </row>
    <row r="1900" spans="1:4" x14ac:dyDescent="0.25">
      <c r="A1900" t="s">
        <v>516</v>
      </c>
      <c r="B1900" t="s">
        <v>1012</v>
      </c>
      <c r="C1900" s="19"/>
      <c r="D1900" s="19"/>
    </row>
    <row r="1901" spans="1:4" x14ac:dyDescent="0.25">
      <c r="A1901" t="s">
        <v>517</v>
      </c>
      <c r="B1901" t="s">
        <v>1027</v>
      </c>
      <c r="C1901" s="19"/>
      <c r="D1901" s="19"/>
    </row>
    <row r="1902" spans="1:4" x14ac:dyDescent="0.25">
      <c r="A1902" t="s">
        <v>517</v>
      </c>
      <c r="B1902" t="s">
        <v>1008</v>
      </c>
      <c r="C1902" s="19"/>
      <c r="D1902" s="19"/>
    </row>
    <row r="1903" spans="1:4" x14ac:dyDescent="0.25">
      <c r="A1903" t="s">
        <v>517</v>
      </c>
      <c r="B1903" t="s">
        <v>976</v>
      </c>
      <c r="C1903" s="19"/>
      <c r="D1903" s="19"/>
    </row>
    <row r="1904" spans="1:4" x14ac:dyDescent="0.25">
      <c r="A1904" t="s">
        <v>517</v>
      </c>
      <c r="B1904" t="s">
        <v>978</v>
      </c>
      <c r="C1904" s="19"/>
      <c r="D1904" s="19"/>
    </row>
    <row r="1905" spans="1:4" x14ac:dyDescent="0.25">
      <c r="A1905" t="s">
        <v>517</v>
      </c>
      <c r="B1905" t="s">
        <v>1029</v>
      </c>
      <c r="C1905" s="19"/>
      <c r="D1905" s="19"/>
    </row>
    <row r="1906" spans="1:4" x14ac:dyDescent="0.25">
      <c r="A1906" t="s">
        <v>517</v>
      </c>
      <c r="B1906" t="s">
        <v>989</v>
      </c>
      <c r="C1906" s="19"/>
      <c r="D1906" s="19"/>
    </row>
    <row r="1907" spans="1:4" x14ac:dyDescent="0.25">
      <c r="A1907" t="s">
        <v>518</v>
      </c>
      <c r="B1907" t="s">
        <v>981</v>
      </c>
      <c r="C1907" s="19"/>
      <c r="D1907" s="19"/>
    </row>
    <row r="1908" spans="1:4" x14ac:dyDescent="0.25">
      <c r="A1908" t="s">
        <v>518</v>
      </c>
      <c r="B1908" t="s">
        <v>993</v>
      </c>
      <c r="C1908" s="19"/>
      <c r="D1908" s="19"/>
    </row>
    <row r="1909" spans="1:4" x14ac:dyDescent="0.25">
      <c r="A1909" t="s">
        <v>518</v>
      </c>
      <c r="B1909" t="s">
        <v>977</v>
      </c>
      <c r="C1909" s="19"/>
      <c r="D1909" s="19"/>
    </row>
    <row r="1910" spans="1:4" x14ac:dyDescent="0.25">
      <c r="A1910" t="s">
        <v>518</v>
      </c>
      <c r="B1910" t="s">
        <v>987</v>
      </c>
      <c r="C1910" s="19"/>
      <c r="D1910" s="19"/>
    </row>
    <row r="1911" spans="1:4" x14ac:dyDescent="0.25">
      <c r="A1911" t="s">
        <v>518</v>
      </c>
      <c r="B1911" t="s">
        <v>979</v>
      </c>
      <c r="C1911" s="19"/>
      <c r="D1911" s="19"/>
    </row>
    <row r="1912" spans="1:4" x14ac:dyDescent="0.25">
      <c r="A1912" t="s">
        <v>518</v>
      </c>
      <c r="B1912" t="s">
        <v>1037</v>
      </c>
      <c r="C1912" s="19"/>
      <c r="D1912" s="19"/>
    </row>
    <row r="1913" spans="1:4" x14ac:dyDescent="0.25">
      <c r="A1913" t="s">
        <v>519</v>
      </c>
      <c r="B1913" t="s">
        <v>985</v>
      </c>
      <c r="C1913" s="19"/>
      <c r="D1913" s="19"/>
    </row>
    <row r="1914" spans="1:4" x14ac:dyDescent="0.25">
      <c r="A1914" t="s">
        <v>520</v>
      </c>
      <c r="B1914" t="s">
        <v>1031</v>
      </c>
      <c r="C1914" s="19"/>
      <c r="D1914" s="19"/>
    </row>
    <row r="1915" spans="1:4" x14ac:dyDescent="0.25">
      <c r="A1915" t="s">
        <v>520</v>
      </c>
      <c r="B1915" t="s">
        <v>1032</v>
      </c>
      <c r="C1915" s="19"/>
      <c r="D1915" s="19"/>
    </row>
    <row r="1916" spans="1:4" x14ac:dyDescent="0.25">
      <c r="A1916" t="s">
        <v>521</v>
      </c>
      <c r="B1916" t="s">
        <v>973</v>
      </c>
      <c r="C1916" s="19"/>
      <c r="D1916" s="19"/>
    </row>
    <row r="1917" spans="1:4" x14ac:dyDescent="0.25">
      <c r="A1917" t="s">
        <v>521</v>
      </c>
      <c r="B1917" t="s">
        <v>1047</v>
      </c>
      <c r="C1917" s="19"/>
      <c r="D1917" s="19"/>
    </row>
    <row r="1918" spans="1:4" x14ac:dyDescent="0.25">
      <c r="A1918" t="s">
        <v>521</v>
      </c>
      <c r="B1918" t="s">
        <v>983</v>
      </c>
      <c r="C1918" s="19"/>
      <c r="D1918" s="19"/>
    </row>
    <row r="1919" spans="1:4" x14ac:dyDescent="0.25">
      <c r="A1919" t="s">
        <v>524</v>
      </c>
      <c r="B1919" t="s">
        <v>1049</v>
      </c>
      <c r="C1919" s="19"/>
      <c r="D1919" s="19"/>
    </row>
    <row r="1920" spans="1:4" x14ac:dyDescent="0.25">
      <c r="A1920" t="s">
        <v>524</v>
      </c>
      <c r="B1920" t="s">
        <v>1009</v>
      </c>
      <c r="C1920" s="19"/>
      <c r="D1920" s="19"/>
    </row>
    <row r="1921" spans="1:4" x14ac:dyDescent="0.25">
      <c r="A1921" t="s">
        <v>524</v>
      </c>
      <c r="B1921" t="s">
        <v>1038</v>
      </c>
      <c r="C1921" s="19"/>
      <c r="D1921" s="19"/>
    </row>
    <row r="1922" spans="1:4" x14ac:dyDescent="0.25">
      <c r="A1922" t="s">
        <v>526</v>
      </c>
      <c r="B1922" t="s">
        <v>983</v>
      </c>
      <c r="C1922" s="19"/>
      <c r="D1922" s="19"/>
    </row>
    <row r="1923" spans="1:4" x14ac:dyDescent="0.25">
      <c r="A1923" t="s">
        <v>526</v>
      </c>
      <c r="B1923" t="s">
        <v>1032</v>
      </c>
      <c r="C1923" s="19"/>
      <c r="D1923" s="19"/>
    </row>
    <row r="1924" spans="1:4" x14ac:dyDescent="0.25">
      <c r="A1924" t="s">
        <v>526</v>
      </c>
      <c r="B1924" t="s">
        <v>1031</v>
      </c>
      <c r="C1924" s="19"/>
      <c r="D1924" s="19"/>
    </row>
    <row r="1925" spans="1:4" x14ac:dyDescent="0.25">
      <c r="A1925" t="s">
        <v>527</v>
      </c>
      <c r="B1925" t="s">
        <v>1009</v>
      </c>
      <c r="C1925" s="19"/>
      <c r="D1925" s="19"/>
    </row>
    <row r="1926" spans="1:4" x14ac:dyDescent="0.25">
      <c r="A1926" t="s">
        <v>527</v>
      </c>
      <c r="B1926" t="s">
        <v>1038</v>
      </c>
      <c r="C1926" s="19"/>
      <c r="D1926" s="19"/>
    </row>
    <row r="1927" spans="1:4" x14ac:dyDescent="0.25">
      <c r="A1927" t="s">
        <v>528</v>
      </c>
      <c r="B1927" t="s">
        <v>1016</v>
      </c>
      <c r="C1927" s="19"/>
      <c r="D1927" s="19"/>
    </row>
    <row r="1928" spans="1:4" x14ac:dyDescent="0.25">
      <c r="A1928" t="s">
        <v>528</v>
      </c>
      <c r="B1928" t="s">
        <v>1033</v>
      </c>
      <c r="C1928" s="19"/>
      <c r="D1928" s="19"/>
    </row>
    <row r="1929" spans="1:4" x14ac:dyDescent="0.25">
      <c r="A1929" t="s">
        <v>528</v>
      </c>
      <c r="B1929" t="s">
        <v>1047</v>
      </c>
      <c r="C1929" s="19"/>
      <c r="D1929" s="19"/>
    </row>
    <row r="1930" spans="1:4" x14ac:dyDescent="0.25">
      <c r="A1930" t="s">
        <v>529</v>
      </c>
      <c r="B1930" t="s">
        <v>1016</v>
      </c>
      <c r="C1930" s="19"/>
      <c r="D1930" s="19"/>
    </row>
    <row r="1931" spans="1:4" x14ac:dyDescent="0.25">
      <c r="A1931" t="s">
        <v>529</v>
      </c>
      <c r="B1931" t="s">
        <v>1033</v>
      </c>
      <c r="C1931" s="19"/>
      <c r="D1931" s="19"/>
    </row>
    <row r="1932" spans="1:4" x14ac:dyDescent="0.25">
      <c r="A1932" t="s">
        <v>529</v>
      </c>
      <c r="B1932" t="s">
        <v>1047</v>
      </c>
      <c r="C1932" s="19"/>
      <c r="D1932" s="19"/>
    </row>
    <row r="1933" spans="1:4" x14ac:dyDescent="0.25">
      <c r="A1933" t="s">
        <v>530</v>
      </c>
      <c r="B1933" t="s">
        <v>1031</v>
      </c>
      <c r="C1933" s="19"/>
      <c r="D1933" s="19"/>
    </row>
    <row r="1934" spans="1:4" x14ac:dyDescent="0.25">
      <c r="A1934" t="s">
        <v>530</v>
      </c>
      <c r="B1934" t="s">
        <v>1032</v>
      </c>
      <c r="C1934" s="19"/>
      <c r="D1934" s="19"/>
    </row>
    <row r="1935" spans="1:4" x14ac:dyDescent="0.25">
      <c r="A1935" t="s">
        <v>532</v>
      </c>
      <c r="B1935" t="s">
        <v>973</v>
      </c>
      <c r="C1935" s="19"/>
      <c r="D1935" s="19"/>
    </row>
    <row r="1936" spans="1:4" x14ac:dyDescent="0.25">
      <c r="A1936" t="s">
        <v>532</v>
      </c>
      <c r="B1936" t="s">
        <v>983</v>
      </c>
      <c r="C1936" s="19"/>
      <c r="D1936" s="19"/>
    </row>
    <row r="1937" spans="1:4" x14ac:dyDescent="0.25">
      <c r="A1937" t="s">
        <v>533</v>
      </c>
      <c r="B1937" t="s">
        <v>997</v>
      </c>
      <c r="C1937" s="19"/>
      <c r="D1937" s="19"/>
    </row>
    <row r="1938" spans="1:4" x14ac:dyDescent="0.25">
      <c r="A1938" t="s">
        <v>533</v>
      </c>
      <c r="B1938" t="s">
        <v>1001</v>
      </c>
      <c r="C1938" s="19"/>
      <c r="D1938" s="19"/>
    </row>
    <row r="1939" spans="1:4" x14ac:dyDescent="0.25">
      <c r="A1939" t="s">
        <v>533</v>
      </c>
      <c r="B1939" t="s">
        <v>1007</v>
      </c>
      <c r="C1939" s="19"/>
      <c r="D1939" s="19"/>
    </row>
    <row r="1940" spans="1:4" x14ac:dyDescent="0.25">
      <c r="A1940" t="s">
        <v>534</v>
      </c>
      <c r="B1940" t="s">
        <v>1013</v>
      </c>
      <c r="C1940" s="19"/>
      <c r="D1940" s="19"/>
    </row>
    <row r="1941" spans="1:4" x14ac:dyDescent="0.25">
      <c r="A1941" t="s">
        <v>534</v>
      </c>
      <c r="B1941" t="s">
        <v>1011</v>
      </c>
      <c r="C1941" s="19"/>
      <c r="D1941" s="19"/>
    </row>
    <row r="1942" spans="1:4" x14ac:dyDescent="0.25">
      <c r="A1942" t="s">
        <v>534</v>
      </c>
      <c r="B1942" t="s">
        <v>997</v>
      </c>
      <c r="C1942" s="19"/>
      <c r="D1942" s="19"/>
    </row>
    <row r="1943" spans="1:4" x14ac:dyDescent="0.25">
      <c r="A1943" t="s">
        <v>534</v>
      </c>
      <c r="B1943" t="s">
        <v>1001</v>
      </c>
      <c r="C1943" s="19"/>
      <c r="D1943" s="19"/>
    </row>
    <row r="1944" spans="1:4" x14ac:dyDescent="0.25">
      <c r="A1944" t="s">
        <v>534</v>
      </c>
      <c r="B1944" t="s">
        <v>1004</v>
      </c>
      <c r="C1944" s="19"/>
      <c r="D1944" s="19"/>
    </row>
    <row r="1945" spans="1:4" x14ac:dyDescent="0.25">
      <c r="A1945" t="s">
        <v>534</v>
      </c>
      <c r="B1945" t="s">
        <v>1025</v>
      </c>
      <c r="C1945" s="19"/>
      <c r="D1945" s="19"/>
    </row>
    <row r="1946" spans="1:4" x14ac:dyDescent="0.25">
      <c r="A1946" t="s">
        <v>534</v>
      </c>
      <c r="B1946" t="s">
        <v>1023</v>
      </c>
      <c r="C1946" s="19"/>
      <c r="D1946" s="19"/>
    </row>
    <row r="1947" spans="1:4" x14ac:dyDescent="0.25">
      <c r="A1947" t="s">
        <v>534</v>
      </c>
      <c r="B1947" t="s">
        <v>1007</v>
      </c>
      <c r="C1947" s="19"/>
      <c r="D1947" s="19"/>
    </row>
    <row r="1948" spans="1:4" x14ac:dyDescent="0.25">
      <c r="A1948" t="s">
        <v>535</v>
      </c>
      <c r="B1948" t="s">
        <v>1030</v>
      </c>
      <c r="C1948" s="19"/>
      <c r="D1948" s="19"/>
    </row>
    <row r="1949" spans="1:4" x14ac:dyDescent="0.25">
      <c r="A1949" t="s">
        <v>536</v>
      </c>
      <c r="B1949" t="s">
        <v>1019</v>
      </c>
      <c r="C1949" s="19"/>
      <c r="D1949" s="19"/>
    </row>
    <row r="1950" spans="1:4" x14ac:dyDescent="0.25">
      <c r="A1950" t="s">
        <v>536</v>
      </c>
      <c r="B1950" t="s">
        <v>988</v>
      </c>
      <c r="C1950" s="19"/>
      <c r="D1950" s="19"/>
    </row>
    <row r="1951" spans="1:4" x14ac:dyDescent="0.25">
      <c r="A1951" t="s">
        <v>536</v>
      </c>
      <c r="B1951" t="s">
        <v>999</v>
      </c>
      <c r="C1951" s="19"/>
      <c r="D1951" s="19"/>
    </row>
    <row r="1952" spans="1:4" x14ac:dyDescent="0.25">
      <c r="A1952" t="s">
        <v>536</v>
      </c>
      <c r="B1952" t="s">
        <v>995</v>
      </c>
      <c r="C1952" s="19"/>
      <c r="D1952" s="19"/>
    </row>
    <row r="1953" spans="1:4" x14ac:dyDescent="0.25">
      <c r="A1953" t="s">
        <v>536</v>
      </c>
      <c r="B1953" t="s">
        <v>1012</v>
      </c>
      <c r="C1953" s="19"/>
      <c r="D1953" s="19"/>
    </row>
    <row r="1954" spans="1:4" x14ac:dyDescent="0.25">
      <c r="A1954" t="s">
        <v>536</v>
      </c>
      <c r="B1954" t="s">
        <v>1005</v>
      </c>
      <c r="C1954" s="19"/>
      <c r="D1954" s="19"/>
    </row>
    <row r="1955" spans="1:4" x14ac:dyDescent="0.25">
      <c r="A1955" t="s">
        <v>537</v>
      </c>
      <c r="B1955" t="s">
        <v>1005</v>
      </c>
      <c r="C1955" s="19"/>
      <c r="D1955" s="19"/>
    </row>
    <row r="1956" spans="1:4" x14ac:dyDescent="0.25">
      <c r="A1956" t="s">
        <v>538</v>
      </c>
      <c r="B1956" t="s">
        <v>1013</v>
      </c>
      <c r="C1956" s="19"/>
      <c r="D1956" s="19"/>
    </row>
    <row r="1957" spans="1:4" x14ac:dyDescent="0.25">
      <c r="A1957" t="s">
        <v>538</v>
      </c>
      <c r="B1957" t="s">
        <v>1011</v>
      </c>
      <c r="C1957" s="19"/>
      <c r="D1957" s="19"/>
    </row>
    <row r="1958" spans="1:4" x14ac:dyDescent="0.25">
      <c r="A1958" t="s">
        <v>538</v>
      </c>
      <c r="B1958" t="s">
        <v>979</v>
      </c>
      <c r="C1958" s="19"/>
      <c r="D1958" s="19"/>
    </row>
    <row r="1959" spans="1:4" x14ac:dyDescent="0.25">
      <c r="A1959" t="s">
        <v>538</v>
      </c>
      <c r="B1959" t="s">
        <v>983</v>
      </c>
      <c r="C1959" s="19"/>
      <c r="D1959" s="19"/>
    </row>
    <row r="1960" spans="1:4" x14ac:dyDescent="0.25">
      <c r="A1960" t="s">
        <v>539</v>
      </c>
      <c r="B1960" t="s">
        <v>977</v>
      </c>
      <c r="C1960" s="19"/>
      <c r="D1960" s="19"/>
    </row>
    <row r="1961" spans="1:4" x14ac:dyDescent="0.25">
      <c r="A1961" t="s">
        <v>539</v>
      </c>
      <c r="B1961" t="s">
        <v>981</v>
      </c>
      <c r="C1961" s="19"/>
      <c r="D1961" s="19"/>
    </row>
    <row r="1962" spans="1:4" x14ac:dyDescent="0.25">
      <c r="A1962" t="s">
        <v>539</v>
      </c>
      <c r="B1962" t="s">
        <v>993</v>
      </c>
      <c r="C1962" s="19"/>
      <c r="D1962" s="19"/>
    </row>
    <row r="1963" spans="1:4" x14ac:dyDescent="0.25">
      <c r="A1963" t="s">
        <v>539</v>
      </c>
      <c r="B1963" t="s">
        <v>979</v>
      </c>
      <c r="C1963" s="19"/>
      <c r="D1963" s="19"/>
    </row>
    <row r="1964" spans="1:4" x14ac:dyDescent="0.25">
      <c r="A1964" t="s">
        <v>539</v>
      </c>
      <c r="B1964" t="s">
        <v>987</v>
      </c>
      <c r="C1964" s="19"/>
      <c r="D1964" s="19"/>
    </row>
    <row r="1965" spans="1:4" x14ac:dyDescent="0.25">
      <c r="A1965" t="s">
        <v>539</v>
      </c>
      <c r="B1965" t="s">
        <v>983</v>
      </c>
      <c r="C1965" s="19"/>
      <c r="D1965" s="19"/>
    </row>
    <row r="1966" spans="1:4" x14ac:dyDescent="0.25">
      <c r="A1966" t="s">
        <v>540</v>
      </c>
      <c r="B1966" t="s">
        <v>1019</v>
      </c>
      <c r="C1966" s="19"/>
      <c r="D1966" s="19"/>
    </row>
    <row r="1967" spans="1:4" x14ac:dyDescent="0.25">
      <c r="A1967" t="s">
        <v>540</v>
      </c>
      <c r="B1967" t="s">
        <v>988</v>
      </c>
      <c r="C1967" s="19"/>
      <c r="D1967" s="19"/>
    </row>
    <row r="1968" spans="1:4" x14ac:dyDescent="0.25">
      <c r="A1968" t="s">
        <v>540</v>
      </c>
      <c r="B1968" t="s">
        <v>999</v>
      </c>
      <c r="C1968" s="19"/>
      <c r="D1968" s="19"/>
    </row>
    <row r="1969" spans="1:4" x14ac:dyDescent="0.25">
      <c r="A1969" t="s">
        <v>540</v>
      </c>
      <c r="B1969" t="s">
        <v>1028</v>
      </c>
      <c r="C1969" s="19"/>
      <c r="D1969" s="19"/>
    </row>
    <row r="1970" spans="1:4" x14ac:dyDescent="0.25">
      <c r="A1970" t="s">
        <v>540</v>
      </c>
      <c r="B1970" t="s">
        <v>995</v>
      </c>
      <c r="C1970" s="19"/>
      <c r="D1970" s="19"/>
    </row>
    <row r="1971" spans="1:4" x14ac:dyDescent="0.25">
      <c r="A1971" t="s">
        <v>540</v>
      </c>
      <c r="B1971" t="s">
        <v>990</v>
      </c>
      <c r="C1971" s="19"/>
      <c r="D1971" s="19"/>
    </row>
    <row r="1972" spans="1:4" x14ac:dyDescent="0.25">
      <c r="A1972" t="s">
        <v>540</v>
      </c>
      <c r="B1972" t="s">
        <v>986</v>
      </c>
      <c r="C1972" s="19"/>
      <c r="D1972" s="19"/>
    </row>
    <row r="1973" spans="1:4" x14ac:dyDescent="0.25">
      <c r="A1973" t="s">
        <v>540</v>
      </c>
      <c r="B1973" t="s">
        <v>1005</v>
      </c>
      <c r="C1973" s="19"/>
      <c r="D1973" s="19"/>
    </row>
    <row r="1974" spans="1:4" x14ac:dyDescent="0.25">
      <c r="A1974" t="s">
        <v>541</v>
      </c>
      <c r="B1974" t="s">
        <v>1005</v>
      </c>
      <c r="C1974" s="19"/>
      <c r="D1974" s="19"/>
    </row>
    <row r="1975" spans="1:4" x14ac:dyDescent="0.25">
      <c r="A1975" t="s">
        <v>542</v>
      </c>
      <c r="B1975" t="s">
        <v>1029</v>
      </c>
      <c r="C1975" s="19"/>
      <c r="D1975" s="19"/>
    </row>
    <row r="1976" spans="1:4" x14ac:dyDescent="0.25">
      <c r="A1976" t="s">
        <v>542</v>
      </c>
      <c r="B1976" t="s">
        <v>1008</v>
      </c>
      <c r="C1976" s="19"/>
      <c r="D1976" s="19"/>
    </row>
    <row r="1977" spans="1:4" x14ac:dyDescent="0.25">
      <c r="A1977" t="s">
        <v>542</v>
      </c>
      <c r="B1977" t="s">
        <v>978</v>
      </c>
      <c r="C1977" s="19"/>
      <c r="D1977" s="19"/>
    </row>
    <row r="1978" spans="1:4" x14ac:dyDescent="0.25">
      <c r="A1978" t="s">
        <v>542</v>
      </c>
      <c r="B1978" t="s">
        <v>989</v>
      </c>
      <c r="C1978" s="19"/>
      <c r="D1978" s="19"/>
    </row>
    <row r="1979" spans="1:4" x14ac:dyDescent="0.25">
      <c r="A1979" t="s">
        <v>542</v>
      </c>
      <c r="B1979" t="s">
        <v>1027</v>
      </c>
      <c r="C1979" s="19"/>
      <c r="D1979" s="19"/>
    </row>
    <row r="1980" spans="1:4" x14ac:dyDescent="0.25">
      <c r="A1980" t="s">
        <v>542</v>
      </c>
      <c r="B1980" t="s">
        <v>976</v>
      </c>
      <c r="C1980" s="19"/>
      <c r="D1980" s="19"/>
    </row>
    <row r="1981" spans="1:4" x14ac:dyDescent="0.25">
      <c r="A1981" t="s">
        <v>546</v>
      </c>
      <c r="B1981" t="s">
        <v>985</v>
      </c>
      <c r="C1981" s="19"/>
      <c r="D1981" s="19"/>
    </row>
    <row r="1982" spans="1:4" x14ac:dyDescent="0.25">
      <c r="A1982" t="s">
        <v>546</v>
      </c>
      <c r="B1982" t="s">
        <v>973</v>
      </c>
      <c r="C1982" s="19"/>
      <c r="D1982" s="19"/>
    </row>
    <row r="1983" spans="1:4" x14ac:dyDescent="0.25">
      <c r="A1983" t="s">
        <v>546</v>
      </c>
      <c r="B1983" t="s">
        <v>1036</v>
      </c>
      <c r="C1983" s="19"/>
      <c r="D1983" s="19"/>
    </row>
    <row r="1984" spans="1:4" x14ac:dyDescent="0.25">
      <c r="A1984" t="s">
        <v>547</v>
      </c>
      <c r="B1984" t="s">
        <v>1016</v>
      </c>
      <c r="C1984" s="19"/>
      <c r="D1984" s="19"/>
    </row>
    <row r="1985" spans="1:4" x14ac:dyDescent="0.25">
      <c r="A1985" t="s">
        <v>547</v>
      </c>
      <c r="B1985" t="s">
        <v>1033</v>
      </c>
      <c r="C1985" s="19"/>
      <c r="D1985" s="19"/>
    </row>
    <row r="1986" spans="1:4" x14ac:dyDescent="0.25">
      <c r="A1986" t="s">
        <v>547</v>
      </c>
      <c r="B1986" t="s">
        <v>1009</v>
      </c>
      <c r="C1986" s="19"/>
      <c r="D1986" s="19"/>
    </row>
    <row r="1987" spans="1:4" x14ac:dyDescent="0.25">
      <c r="A1987" t="s">
        <v>547</v>
      </c>
      <c r="B1987" t="s">
        <v>1038</v>
      </c>
      <c r="C1987" s="19"/>
      <c r="D1987" s="19"/>
    </row>
    <row r="1988" spans="1:4" x14ac:dyDescent="0.25">
      <c r="A1988" t="s">
        <v>548</v>
      </c>
      <c r="B1988" t="s">
        <v>997</v>
      </c>
      <c r="C1988" s="19"/>
      <c r="D1988" s="19"/>
    </row>
    <row r="1989" spans="1:4" x14ac:dyDescent="0.25">
      <c r="A1989" t="s">
        <v>548</v>
      </c>
      <c r="B1989" t="s">
        <v>1001</v>
      </c>
      <c r="C1989" s="19"/>
      <c r="D1989" s="19"/>
    </row>
    <row r="1990" spans="1:4" x14ac:dyDescent="0.25">
      <c r="A1990" t="s">
        <v>548</v>
      </c>
      <c r="B1990" t="s">
        <v>1007</v>
      </c>
      <c r="C1990" s="19"/>
      <c r="D1990" s="19"/>
    </row>
    <row r="1991" spans="1:4" x14ac:dyDescent="0.25">
      <c r="A1991" t="s">
        <v>549</v>
      </c>
      <c r="B1991" t="s">
        <v>1013</v>
      </c>
      <c r="C1991" s="19"/>
      <c r="D1991" s="19"/>
    </row>
    <row r="1992" spans="1:4" x14ac:dyDescent="0.25">
      <c r="A1992" t="s">
        <v>549</v>
      </c>
      <c r="B1992" t="s">
        <v>1030</v>
      </c>
      <c r="C1992" s="19"/>
      <c r="D1992" s="19"/>
    </row>
    <row r="1993" spans="1:4" x14ac:dyDescent="0.25">
      <c r="A1993" t="s">
        <v>549</v>
      </c>
      <c r="B1993" t="s">
        <v>1011</v>
      </c>
      <c r="C1993" s="19"/>
      <c r="D1993" s="19"/>
    </row>
    <row r="1994" spans="1:4" x14ac:dyDescent="0.25">
      <c r="A1994" t="s">
        <v>549</v>
      </c>
      <c r="B1994" t="s">
        <v>1004</v>
      </c>
      <c r="C1994" s="19"/>
      <c r="D1994" s="19"/>
    </row>
    <row r="1995" spans="1:4" x14ac:dyDescent="0.25">
      <c r="A1995" t="s">
        <v>549</v>
      </c>
      <c r="B1995" t="s">
        <v>1023</v>
      </c>
      <c r="C1995" s="19"/>
      <c r="D1995" s="19"/>
    </row>
    <row r="1996" spans="1:4" x14ac:dyDescent="0.25">
      <c r="A1996" t="s">
        <v>549</v>
      </c>
      <c r="B1996" t="s">
        <v>1025</v>
      </c>
      <c r="C1996" s="19"/>
      <c r="D1996" s="19"/>
    </row>
    <row r="1997" spans="1:4" x14ac:dyDescent="0.25">
      <c r="A1997" t="s">
        <v>550</v>
      </c>
      <c r="B1997" t="s">
        <v>1019</v>
      </c>
      <c r="C1997" s="19"/>
      <c r="D1997" s="19"/>
    </row>
    <row r="1998" spans="1:4" x14ac:dyDescent="0.25">
      <c r="A1998" t="s">
        <v>550</v>
      </c>
      <c r="B1998" t="s">
        <v>988</v>
      </c>
      <c r="C1998" s="19"/>
      <c r="D1998" s="19"/>
    </row>
    <row r="1999" spans="1:4" x14ac:dyDescent="0.25">
      <c r="A1999" t="s">
        <v>550</v>
      </c>
      <c r="B1999" t="s">
        <v>999</v>
      </c>
      <c r="C1999" s="19"/>
      <c r="D1999" s="19"/>
    </row>
    <row r="2000" spans="1:4" x14ac:dyDescent="0.25">
      <c r="A2000" t="s">
        <v>550</v>
      </c>
      <c r="B2000" t="s">
        <v>1012</v>
      </c>
      <c r="C2000" s="19"/>
      <c r="D2000" s="19"/>
    </row>
    <row r="2001" spans="1:4" x14ac:dyDescent="0.25">
      <c r="A2001" t="s">
        <v>550</v>
      </c>
      <c r="B2001" t="s">
        <v>1026</v>
      </c>
      <c r="C2001" s="19"/>
      <c r="D2001" s="19"/>
    </row>
    <row r="2002" spans="1:4" x14ac:dyDescent="0.25">
      <c r="A2002" t="s">
        <v>550</v>
      </c>
      <c r="B2002" t="s">
        <v>990</v>
      </c>
      <c r="C2002" s="19"/>
      <c r="D2002" s="19"/>
    </row>
    <row r="2003" spans="1:4" x14ac:dyDescent="0.25">
      <c r="A2003" t="s">
        <v>550</v>
      </c>
      <c r="B2003" t="s">
        <v>986</v>
      </c>
      <c r="C2003" s="19"/>
      <c r="D2003" s="19"/>
    </row>
    <row r="2004" spans="1:4" x14ac:dyDescent="0.25">
      <c r="A2004" t="s">
        <v>550</v>
      </c>
      <c r="B2004" t="s">
        <v>1005</v>
      </c>
      <c r="C2004" s="19"/>
      <c r="D2004" s="19"/>
    </row>
    <row r="2005" spans="1:4" x14ac:dyDescent="0.25">
      <c r="A2005" t="s">
        <v>551</v>
      </c>
      <c r="B2005" t="s">
        <v>1005</v>
      </c>
      <c r="C2005" s="19"/>
      <c r="D2005" s="19"/>
    </row>
    <row r="2006" spans="1:4" x14ac:dyDescent="0.25">
      <c r="A2006" t="s">
        <v>552</v>
      </c>
      <c r="B2006" t="s">
        <v>1008</v>
      </c>
      <c r="C2006" s="19"/>
      <c r="D2006" s="19"/>
    </row>
    <row r="2007" spans="1:4" x14ac:dyDescent="0.25">
      <c r="A2007" t="s">
        <v>552</v>
      </c>
      <c r="B2007" t="s">
        <v>985</v>
      </c>
      <c r="C2007" s="19"/>
      <c r="D2007" s="19"/>
    </row>
    <row r="2008" spans="1:4" x14ac:dyDescent="0.25">
      <c r="A2008" t="s">
        <v>553</v>
      </c>
      <c r="B2008" t="s">
        <v>974</v>
      </c>
      <c r="C2008" s="19"/>
      <c r="D2008" s="19"/>
    </row>
    <row r="2009" spans="1:4" x14ac:dyDescent="0.25">
      <c r="A2009" t="s">
        <v>553</v>
      </c>
      <c r="B2009" t="s">
        <v>1027</v>
      </c>
      <c r="C2009" s="19"/>
      <c r="D2009" s="19"/>
    </row>
    <row r="2010" spans="1:4" x14ac:dyDescent="0.25">
      <c r="A2010" t="s">
        <v>553</v>
      </c>
      <c r="B2010" t="s">
        <v>978</v>
      </c>
      <c r="C2010" s="19"/>
      <c r="D2010" s="19"/>
    </row>
    <row r="2011" spans="1:4" x14ac:dyDescent="0.25">
      <c r="A2011" t="s">
        <v>553</v>
      </c>
      <c r="B2011" t="s">
        <v>976</v>
      </c>
      <c r="C2011" s="19"/>
      <c r="D2011" s="19"/>
    </row>
    <row r="2012" spans="1:4" x14ac:dyDescent="0.25">
      <c r="A2012" t="s">
        <v>553</v>
      </c>
      <c r="B2012" t="s">
        <v>989</v>
      </c>
      <c r="C2012" s="19"/>
      <c r="D2012" s="19"/>
    </row>
    <row r="2013" spans="1:4" x14ac:dyDescent="0.25">
      <c r="A2013" t="s">
        <v>553</v>
      </c>
      <c r="B2013" t="s">
        <v>1029</v>
      </c>
      <c r="C2013" s="19"/>
      <c r="D2013" s="19"/>
    </row>
    <row r="2014" spans="1:4" x14ac:dyDescent="0.25">
      <c r="A2014" t="s">
        <v>554</v>
      </c>
      <c r="B2014" t="s">
        <v>987</v>
      </c>
      <c r="C2014" s="19"/>
      <c r="D2014" s="19"/>
    </row>
    <row r="2015" spans="1:4" x14ac:dyDescent="0.25">
      <c r="A2015" t="s">
        <v>554</v>
      </c>
      <c r="B2015" t="s">
        <v>977</v>
      </c>
      <c r="C2015" s="19"/>
      <c r="D2015" s="19"/>
    </row>
    <row r="2016" spans="1:4" x14ac:dyDescent="0.25">
      <c r="A2016" t="s">
        <v>554</v>
      </c>
      <c r="B2016" t="s">
        <v>981</v>
      </c>
      <c r="C2016" s="19"/>
      <c r="D2016" s="19"/>
    </row>
    <row r="2017" spans="1:4" x14ac:dyDescent="0.25">
      <c r="A2017" t="s">
        <v>554</v>
      </c>
      <c r="B2017" t="s">
        <v>979</v>
      </c>
      <c r="C2017" s="19"/>
      <c r="D2017" s="19"/>
    </row>
    <row r="2018" spans="1:4" x14ac:dyDescent="0.25">
      <c r="A2018" t="s">
        <v>554</v>
      </c>
      <c r="B2018" t="s">
        <v>993</v>
      </c>
      <c r="C2018" s="19"/>
      <c r="D2018" s="19"/>
    </row>
    <row r="2019" spans="1:4" x14ac:dyDescent="0.25">
      <c r="A2019" t="s">
        <v>554</v>
      </c>
      <c r="B2019" t="s">
        <v>983</v>
      </c>
      <c r="C2019" s="19"/>
      <c r="D2019" s="19"/>
    </row>
    <row r="2020" spans="1:4" x14ac:dyDescent="0.25">
      <c r="A2020" t="s">
        <v>556</v>
      </c>
      <c r="B2020" t="s">
        <v>973</v>
      </c>
      <c r="C2020" s="19"/>
      <c r="D2020" s="19"/>
    </row>
    <row r="2021" spans="1:4" x14ac:dyDescent="0.25">
      <c r="A2021" t="s">
        <v>558</v>
      </c>
      <c r="B2021" t="s">
        <v>1014</v>
      </c>
      <c r="C2021" s="19"/>
      <c r="D2021" s="19"/>
    </row>
    <row r="2022" spans="1:4" x14ac:dyDescent="0.25">
      <c r="A2022" t="s">
        <v>558</v>
      </c>
      <c r="B2022" t="s">
        <v>1021</v>
      </c>
      <c r="C2022" s="19"/>
      <c r="D2022" s="19"/>
    </row>
    <row r="2023" spans="1:4" x14ac:dyDescent="0.25">
      <c r="A2023" t="s">
        <v>559</v>
      </c>
      <c r="B2023" t="s">
        <v>1031</v>
      </c>
      <c r="C2023" s="19"/>
      <c r="D2023" s="19"/>
    </row>
    <row r="2024" spans="1:4" x14ac:dyDescent="0.25">
      <c r="A2024" t="s">
        <v>559</v>
      </c>
      <c r="B2024" t="s">
        <v>1032</v>
      </c>
      <c r="C2024" s="19"/>
      <c r="D2024" s="19"/>
    </row>
    <row r="2025" spans="1:4" x14ac:dyDescent="0.25">
      <c r="A2025" t="s">
        <v>560</v>
      </c>
      <c r="B2025" t="s">
        <v>981</v>
      </c>
      <c r="C2025" s="19"/>
      <c r="D2025" s="19"/>
    </row>
    <row r="2026" spans="1:4" x14ac:dyDescent="0.25">
      <c r="A2026" t="s">
        <v>560</v>
      </c>
      <c r="B2026" t="s">
        <v>973</v>
      </c>
      <c r="C2026" s="19"/>
      <c r="D2026" s="19"/>
    </row>
    <row r="2027" spans="1:4" x14ac:dyDescent="0.25">
      <c r="A2027" t="s">
        <v>560</v>
      </c>
      <c r="B2027" t="s">
        <v>983</v>
      </c>
      <c r="C2027" s="19"/>
      <c r="D2027" s="19"/>
    </row>
    <row r="2028" spans="1:4" x14ac:dyDescent="0.25">
      <c r="A2028" t="s">
        <v>560</v>
      </c>
      <c r="B2028" t="s">
        <v>979</v>
      </c>
      <c r="C2028" s="19"/>
      <c r="D2028" s="19"/>
    </row>
    <row r="2029" spans="1:4" x14ac:dyDescent="0.25">
      <c r="A2029" t="s">
        <v>560</v>
      </c>
      <c r="B2029" t="s">
        <v>987</v>
      </c>
      <c r="C2029" s="19"/>
      <c r="D2029" s="19"/>
    </row>
    <row r="2030" spans="1:4" x14ac:dyDescent="0.25">
      <c r="A2030" t="s">
        <v>561</v>
      </c>
      <c r="B2030" t="s">
        <v>974</v>
      </c>
      <c r="C2030" s="19"/>
      <c r="D2030" s="19"/>
    </row>
    <row r="2031" spans="1:4" x14ac:dyDescent="0.25">
      <c r="A2031" t="s">
        <v>561</v>
      </c>
      <c r="B2031" t="s">
        <v>1008</v>
      </c>
      <c r="C2031" s="19"/>
      <c r="D2031" s="19"/>
    </row>
    <row r="2032" spans="1:4" x14ac:dyDescent="0.25">
      <c r="A2032" t="s">
        <v>561</v>
      </c>
      <c r="B2032" t="s">
        <v>985</v>
      </c>
      <c r="C2032" s="19"/>
      <c r="D2032" s="19"/>
    </row>
    <row r="2033" spans="1:4" x14ac:dyDescent="0.25">
      <c r="A2033" t="s">
        <v>561</v>
      </c>
      <c r="B2033" t="s">
        <v>1027</v>
      </c>
      <c r="C2033" s="19"/>
      <c r="D2033" s="19"/>
    </row>
    <row r="2034" spans="1:4" x14ac:dyDescent="0.25">
      <c r="A2034" t="s">
        <v>561</v>
      </c>
      <c r="B2034" t="s">
        <v>978</v>
      </c>
      <c r="C2034" s="19"/>
      <c r="D2034" s="19"/>
    </row>
    <row r="2035" spans="1:4" x14ac:dyDescent="0.25">
      <c r="A2035" t="s">
        <v>561</v>
      </c>
      <c r="B2035" t="s">
        <v>989</v>
      </c>
      <c r="C2035" s="19"/>
      <c r="D2035" s="19"/>
    </row>
    <row r="2036" spans="1:4" x14ac:dyDescent="0.25">
      <c r="A2036" t="s">
        <v>562</v>
      </c>
      <c r="B2036" t="s">
        <v>1016</v>
      </c>
      <c r="C2036" s="19"/>
      <c r="D2036" s="19"/>
    </row>
    <row r="2037" spans="1:4" x14ac:dyDescent="0.25">
      <c r="A2037" t="s">
        <v>562</v>
      </c>
      <c r="B2037" t="s">
        <v>1009</v>
      </c>
      <c r="C2037" s="19"/>
      <c r="D2037" s="19"/>
    </row>
    <row r="2038" spans="1:4" x14ac:dyDescent="0.25">
      <c r="A2038" t="s">
        <v>562</v>
      </c>
      <c r="B2038" t="s">
        <v>1038</v>
      </c>
      <c r="C2038" s="19"/>
      <c r="D2038" s="19"/>
    </row>
    <row r="2039" spans="1:4" x14ac:dyDescent="0.25">
      <c r="A2039" t="s">
        <v>563</v>
      </c>
      <c r="B2039" t="s">
        <v>1033</v>
      </c>
      <c r="C2039" s="19"/>
      <c r="D2039" s="19"/>
    </row>
    <row r="2040" spans="1:4" x14ac:dyDescent="0.25">
      <c r="A2040" t="s">
        <v>563</v>
      </c>
      <c r="B2040" t="s">
        <v>1034</v>
      </c>
      <c r="C2040" s="19"/>
      <c r="D2040" s="19"/>
    </row>
    <row r="2041" spans="1:4" x14ac:dyDescent="0.25">
      <c r="A2041" t="s">
        <v>563</v>
      </c>
      <c r="B2041" t="s">
        <v>1035</v>
      </c>
      <c r="C2041" s="19"/>
      <c r="D2041" s="19"/>
    </row>
    <row r="2042" spans="1:4" x14ac:dyDescent="0.25">
      <c r="A2042" t="s">
        <v>564</v>
      </c>
      <c r="B2042" t="s">
        <v>1034</v>
      </c>
      <c r="C2042" s="19"/>
      <c r="D2042" s="19"/>
    </row>
    <row r="2043" spans="1:4" x14ac:dyDescent="0.25">
      <c r="A2043" t="s">
        <v>564</v>
      </c>
      <c r="B2043" t="s">
        <v>1035</v>
      </c>
      <c r="C2043" s="19"/>
      <c r="D2043" s="19"/>
    </row>
    <row r="2044" spans="1:4" x14ac:dyDescent="0.25">
      <c r="A2044" t="s">
        <v>565</v>
      </c>
      <c r="B2044" t="s">
        <v>1009</v>
      </c>
      <c r="C2044" s="19"/>
      <c r="D2044" s="19"/>
    </row>
    <row r="2045" spans="1:4" x14ac:dyDescent="0.25">
      <c r="A2045" t="s">
        <v>565</v>
      </c>
      <c r="B2045" t="s">
        <v>1016</v>
      </c>
      <c r="C2045" s="19"/>
      <c r="D2045" s="19"/>
    </row>
    <row r="2046" spans="1:4" x14ac:dyDescent="0.25">
      <c r="A2046" t="s">
        <v>565</v>
      </c>
      <c r="B2046" t="s">
        <v>1033</v>
      </c>
      <c r="C2046" s="19"/>
      <c r="D2046" s="19"/>
    </row>
    <row r="2047" spans="1:4" x14ac:dyDescent="0.25">
      <c r="A2047" t="s">
        <v>566</v>
      </c>
      <c r="B2047" t="s">
        <v>997</v>
      </c>
      <c r="C2047" s="19"/>
      <c r="D2047" s="19"/>
    </row>
    <row r="2048" spans="1:4" x14ac:dyDescent="0.25">
      <c r="A2048" t="s">
        <v>566</v>
      </c>
      <c r="B2048" t="s">
        <v>1001</v>
      </c>
      <c r="C2048" s="19"/>
      <c r="D2048" s="19"/>
    </row>
    <row r="2049" spans="1:4" x14ac:dyDescent="0.25">
      <c r="A2049" t="s">
        <v>566</v>
      </c>
      <c r="B2049" t="s">
        <v>1007</v>
      </c>
      <c r="C2049" s="19"/>
      <c r="D2049" s="19"/>
    </row>
    <row r="2050" spans="1:4" x14ac:dyDescent="0.25">
      <c r="A2050" t="s">
        <v>567</v>
      </c>
      <c r="B2050" t="s">
        <v>1023</v>
      </c>
      <c r="C2050" s="19"/>
      <c r="D2050" s="19"/>
    </row>
    <row r="2051" spans="1:4" x14ac:dyDescent="0.25">
      <c r="A2051" t="s">
        <v>567</v>
      </c>
      <c r="B2051" t="s">
        <v>1004</v>
      </c>
      <c r="C2051" s="19"/>
      <c r="D2051" s="19"/>
    </row>
    <row r="2052" spans="1:4" x14ac:dyDescent="0.25">
      <c r="A2052" t="s">
        <v>567</v>
      </c>
      <c r="B2052" t="s">
        <v>1025</v>
      </c>
      <c r="C2052" s="19"/>
      <c r="D2052" s="19"/>
    </row>
    <row r="2053" spans="1:4" x14ac:dyDescent="0.25">
      <c r="A2053" t="s">
        <v>567</v>
      </c>
      <c r="B2053" t="s">
        <v>1001</v>
      </c>
      <c r="C2053" s="19"/>
      <c r="D2053" s="19"/>
    </row>
    <row r="2054" spans="1:4" x14ac:dyDescent="0.25">
      <c r="A2054" t="s">
        <v>567</v>
      </c>
      <c r="B2054" t="s">
        <v>997</v>
      </c>
      <c r="C2054" s="19"/>
      <c r="D2054" s="19"/>
    </row>
    <row r="2055" spans="1:4" x14ac:dyDescent="0.25">
      <c r="A2055" t="s">
        <v>567</v>
      </c>
      <c r="B2055" t="s">
        <v>1011</v>
      </c>
      <c r="C2055" s="19"/>
      <c r="D2055" s="19"/>
    </row>
    <row r="2056" spans="1:4" x14ac:dyDescent="0.25">
      <c r="A2056" t="s">
        <v>567</v>
      </c>
      <c r="B2056" t="s">
        <v>1013</v>
      </c>
      <c r="C2056" s="19"/>
      <c r="D2056" s="19"/>
    </row>
    <row r="2057" spans="1:4" x14ac:dyDescent="0.25">
      <c r="A2057" t="s">
        <v>567</v>
      </c>
      <c r="B2057" t="s">
        <v>1007</v>
      </c>
      <c r="C2057" s="19"/>
      <c r="D2057" s="19"/>
    </row>
    <row r="2058" spans="1:4" x14ac:dyDescent="0.25">
      <c r="A2058" t="s">
        <v>568</v>
      </c>
      <c r="B2058" t="s">
        <v>1030</v>
      </c>
      <c r="C2058" s="19"/>
      <c r="D2058" s="19"/>
    </row>
    <row r="2059" spans="1:4" x14ac:dyDescent="0.25">
      <c r="A2059" t="s">
        <v>569</v>
      </c>
      <c r="B2059" t="s">
        <v>1019</v>
      </c>
      <c r="C2059" s="19"/>
      <c r="D2059" s="19"/>
    </row>
    <row r="2060" spans="1:4" x14ac:dyDescent="0.25">
      <c r="A2060" t="s">
        <v>569</v>
      </c>
      <c r="B2060" t="s">
        <v>988</v>
      </c>
      <c r="C2060" s="19"/>
      <c r="D2060" s="19"/>
    </row>
    <row r="2061" spans="1:4" x14ac:dyDescent="0.25">
      <c r="A2061" t="s">
        <v>569</v>
      </c>
      <c r="B2061" t="s">
        <v>995</v>
      </c>
      <c r="C2061" s="19"/>
      <c r="D2061" s="19"/>
    </row>
    <row r="2062" spans="1:4" x14ac:dyDescent="0.25">
      <c r="A2062" t="s">
        <v>569</v>
      </c>
      <c r="B2062" t="s">
        <v>1028</v>
      </c>
      <c r="C2062" s="19"/>
      <c r="D2062" s="19"/>
    </row>
    <row r="2063" spans="1:4" x14ac:dyDescent="0.25">
      <c r="A2063" t="s">
        <v>569</v>
      </c>
      <c r="B2063" t="s">
        <v>990</v>
      </c>
      <c r="C2063" s="19"/>
      <c r="D2063" s="19"/>
    </row>
    <row r="2064" spans="1:4" x14ac:dyDescent="0.25">
      <c r="A2064" t="s">
        <v>569</v>
      </c>
      <c r="B2064" t="s">
        <v>999</v>
      </c>
      <c r="C2064" s="19"/>
      <c r="D2064" s="19"/>
    </row>
    <row r="2065" spans="1:4" x14ac:dyDescent="0.25">
      <c r="A2065" t="s">
        <v>569</v>
      </c>
      <c r="B2065" t="s">
        <v>1012</v>
      </c>
      <c r="C2065" s="19"/>
      <c r="D2065" s="19"/>
    </row>
    <row r="2066" spans="1:4" x14ac:dyDescent="0.25">
      <c r="A2066" t="s">
        <v>569</v>
      </c>
      <c r="B2066" t="s">
        <v>986</v>
      </c>
      <c r="C2066" s="19"/>
      <c r="D2066" s="19"/>
    </row>
    <row r="2067" spans="1:4" x14ac:dyDescent="0.25">
      <c r="A2067" t="s">
        <v>569</v>
      </c>
      <c r="B2067" t="s">
        <v>1005</v>
      </c>
      <c r="C2067" s="19"/>
      <c r="D2067" s="19"/>
    </row>
    <row r="2068" spans="1:4" x14ac:dyDescent="0.25">
      <c r="A2068" t="s">
        <v>569</v>
      </c>
      <c r="B2068" t="s">
        <v>1026</v>
      </c>
      <c r="C2068" s="19"/>
      <c r="D2068" s="19"/>
    </row>
    <row r="2069" spans="1:4" x14ac:dyDescent="0.25">
      <c r="A2069" t="s">
        <v>570</v>
      </c>
      <c r="B2069" t="s">
        <v>990</v>
      </c>
      <c r="C2069" s="19"/>
      <c r="D2069" s="19"/>
    </row>
    <row r="2070" spans="1:4" x14ac:dyDescent="0.25">
      <c r="A2070" t="s">
        <v>571</v>
      </c>
      <c r="B2070" t="s">
        <v>1021</v>
      </c>
      <c r="C2070" s="19"/>
      <c r="D2070" s="19"/>
    </row>
    <row r="2071" spans="1:4" x14ac:dyDescent="0.25">
      <c r="A2071" t="s">
        <v>571</v>
      </c>
      <c r="B2071" t="s">
        <v>1036</v>
      </c>
      <c r="C2071" s="19"/>
      <c r="D2071" s="19"/>
    </row>
    <row r="2072" spans="1:4" x14ac:dyDescent="0.25">
      <c r="A2072" t="s">
        <v>571</v>
      </c>
      <c r="B2072" t="s">
        <v>1031</v>
      </c>
      <c r="C2072" s="19"/>
      <c r="D2072" s="19"/>
    </row>
    <row r="2073" spans="1:4" x14ac:dyDescent="0.25">
      <c r="A2073" t="s">
        <v>572</v>
      </c>
      <c r="B2073" t="s">
        <v>1031</v>
      </c>
      <c r="C2073" s="19"/>
      <c r="D2073" s="19"/>
    </row>
    <row r="2074" spans="1:4" x14ac:dyDescent="0.25">
      <c r="A2074" t="s">
        <v>572</v>
      </c>
      <c r="B2074" t="s">
        <v>1032</v>
      </c>
      <c r="C2074" s="19"/>
      <c r="D2074" s="19"/>
    </row>
    <row r="2075" spans="1:4" x14ac:dyDescent="0.25">
      <c r="A2075" t="s">
        <v>575</v>
      </c>
      <c r="B2075" t="s">
        <v>1014</v>
      </c>
      <c r="C2075" s="19"/>
      <c r="D2075" s="19"/>
    </row>
    <row r="2076" spans="1:4" x14ac:dyDescent="0.25">
      <c r="A2076" t="s">
        <v>575</v>
      </c>
      <c r="B2076" t="s">
        <v>1031</v>
      </c>
      <c r="C2076" s="19"/>
      <c r="D2076" s="19"/>
    </row>
    <row r="2077" spans="1:4" x14ac:dyDescent="0.25">
      <c r="A2077" t="s">
        <v>576</v>
      </c>
      <c r="B2077" t="s">
        <v>974</v>
      </c>
      <c r="C2077" s="19"/>
      <c r="D2077" s="19"/>
    </row>
    <row r="2078" spans="1:4" x14ac:dyDescent="0.25">
      <c r="A2078" t="s">
        <v>576</v>
      </c>
      <c r="B2078" t="s">
        <v>1008</v>
      </c>
      <c r="C2078" s="19"/>
      <c r="D2078" s="19"/>
    </row>
    <row r="2079" spans="1:4" x14ac:dyDescent="0.25">
      <c r="A2079" t="s">
        <v>576</v>
      </c>
      <c r="B2079" t="s">
        <v>1027</v>
      </c>
      <c r="C2079" s="19"/>
      <c r="D2079" s="19"/>
    </row>
    <row r="2080" spans="1:4" x14ac:dyDescent="0.25">
      <c r="A2080" t="s">
        <v>576</v>
      </c>
      <c r="B2080" t="s">
        <v>978</v>
      </c>
      <c r="C2080" s="19"/>
      <c r="D2080" s="19"/>
    </row>
    <row r="2081" spans="1:4" x14ac:dyDescent="0.25">
      <c r="A2081" t="s">
        <v>576</v>
      </c>
      <c r="B2081" t="s">
        <v>989</v>
      </c>
      <c r="C2081" s="19"/>
      <c r="D2081" s="19"/>
    </row>
    <row r="2082" spans="1:4" x14ac:dyDescent="0.25">
      <c r="A2082" t="s">
        <v>576</v>
      </c>
      <c r="B2082" t="s">
        <v>1032</v>
      </c>
      <c r="C2082" s="19"/>
      <c r="D2082" s="19"/>
    </row>
    <row r="2083" spans="1:4" x14ac:dyDescent="0.25">
      <c r="A2083" t="s">
        <v>577</v>
      </c>
      <c r="B2083" t="s">
        <v>985</v>
      </c>
      <c r="C2083" s="19"/>
      <c r="D2083" s="19"/>
    </row>
    <row r="2084" spans="1:4" x14ac:dyDescent="0.25">
      <c r="A2084" t="s">
        <v>578</v>
      </c>
      <c r="B2084" t="s">
        <v>981</v>
      </c>
      <c r="C2084" s="19"/>
      <c r="D2084" s="19"/>
    </row>
    <row r="2085" spans="1:4" x14ac:dyDescent="0.25">
      <c r="A2085" t="s">
        <v>578</v>
      </c>
      <c r="B2085" t="s">
        <v>973</v>
      </c>
      <c r="C2085" s="19"/>
      <c r="D2085" s="19"/>
    </row>
    <row r="2086" spans="1:4" x14ac:dyDescent="0.25">
      <c r="A2086" t="s">
        <v>578</v>
      </c>
      <c r="B2086" t="s">
        <v>983</v>
      </c>
      <c r="C2086" s="19"/>
      <c r="D2086" s="19"/>
    </row>
    <row r="2087" spans="1:4" x14ac:dyDescent="0.25">
      <c r="A2087" t="s">
        <v>578</v>
      </c>
      <c r="B2087" t="s">
        <v>979</v>
      </c>
      <c r="C2087" s="19"/>
      <c r="D2087" s="19"/>
    </row>
    <row r="2088" spans="1:4" x14ac:dyDescent="0.25">
      <c r="A2088" t="s">
        <v>578</v>
      </c>
      <c r="B2088" t="s">
        <v>987</v>
      </c>
      <c r="C2088" s="19"/>
      <c r="D2088" s="19"/>
    </row>
    <row r="2089" spans="1:4" x14ac:dyDescent="0.25">
      <c r="A2089" t="s">
        <v>578</v>
      </c>
      <c r="B2089" t="s">
        <v>985</v>
      </c>
      <c r="C2089" s="19"/>
      <c r="D2089" s="19"/>
    </row>
    <row r="2090" spans="1:4" x14ac:dyDescent="0.25">
      <c r="A2090" t="s">
        <v>579</v>
      </c>
      <c r="B2090" t="s">
        <v>1014</v>
      </c>
      <c r="C2090" s="19"/>
      <c r="D2090" s="19"/>
    </row>
    <row r="2091" spans="1:4" x14ac:dyDescent="0.25">
      <c r="A2091" t="s">
        <v>579</v>
      </c>
      <c r="B2091" t="s">
        <v>1031</v>
      </c>
      <c r="C2091" s="19"/>
      <c r="D2091" s="19"/>
    </row>
    <row r="2092" spans="1:4" x14ac:dyDescent="0.25">
      <c r="A2092" t="s">
        <v>580</v>
      </c>
      <c r="B2092" t="s">
        <v>1016</v>
      </c>
      <c r="C2092" s="19"/>
      <c r="D2092" s="19"/>
    </row>
    <row r="2093" spans="1:4" x14ac:dyDescent="0.25">
      <c r="A2093" t="s">
        <v>580</v>
      </c>
      <c r="B2093" t="s">
        <v>1033</v>
      </c>
      <c r="C2093" s="19"/>
      <c r="D2093" s="19"/>
    </row>
    <row r="2094" spans="1:4" x14ac:dyDescent="0.25">
      <c r="A2094" t="s">
        <v>580</v>
      </c>
      <c r="B2094" t="s">
        <v>1009</v>
      </c>
      <c r="C2094" s="19"/>
      <c r="D2094" s="19"/>
    </row>
    <row r="2095" spans="1:4" x14ac:dyDescent="0.25">
      <c r="A2095" t="s">
        <v>581</v>
      </c>
      <c r="B2095" t="s">
        <v>1034</v>
      </c>
      <c r="C2095" s="19"/>
      <c r="D2095" s="19"/>
    </row>
    <row r="2096" spans="1:4" x14ac:dyDescent="0.25">
      <c r="A2096" t="s">
        <v>581</v>
      </c>
      <c r="B2096" t="s">
        <v>1035</v>
      </c>
      <c r="C2096" s="19"/>
      <c r="D2096" s="19"/>
    </row>
    <row r="2097" spans="1:4" x14ac:dyDescent="0.25">
      <c r="A2097" t="s">
        <v>582</v>
      </c>
      <c r="B2097" t="s">
        <v>997</v>
      </c>
      <c r="C2097" s="19"/>
      <c r="D2097" s="19"/>
    </row>
    <row r="2098" spans="1:4" x14ac:dyDescent="0.25">
      <c r="A2098" t="s">
        <v>582</v>
      </c>
      <c r="B2098" t="s">
        <v>1001</v>
      </c>
      <c r="C2098" s="19"/>
      <c r="D2098" s="19"/>
    </row>
    <row r="2099" spans="1:4" x14ac:dyDescent="0.25">
      <c r="A2099" t="s">
        <v>582</v>
      </c>
      <c r="B2099" t="s">
        <v>1007</v>
      </c>
      <c r="C2099" s="19"/>
      <c r="D2099" s="19"/>
    </row>
    <row r="2100" spans="1:4" x14ac:dyDescent="0.25">
      <c r="A2100" t="s">
        <v>583</v>
      </c>
      <c r="B2100" t="s">
        <v>1004</v>
      </c>
      <c r="C2100" s="19"/>
      <c r="D2100" s="19"/>
    </row>
    <row r="2101" spans="1:4" x14ac:dyDescent="0.25">
      <c r="A2101" t="s">
        <v>584</v>
      </c>
      <c r="B2101" t="s">
        <v>1007</v>
      </c>
      <c r="C2101" s="19"/>
      <c r="D2101" s="19"/>
    </row>
    <row r="2102" spans="1:4" x14ac:dyDescent="0.25">
      <c r="A2102" t="s">
        <v>584</v>
      </c>
      <c r="B2102" t="s">
        <v>997</v>
      </c>
      <c r="C2102" s="19"/>
      <c r="D2102" s="19"/>
    </row>
    <row r="2103" spans="1:4" x14ac:dyDescent="0.25">
      <c r="A2103" t="s">
        <v>584</v>
      </c>
      <c r="B2103" t="s">
        <v>1013</v>
      </c>
      <c r="C2103" s="19"/>
      <c r="D2103" s="19"/>
    </row>
    <row r="2104" spans="1:4" x14ac:dyDescent="0.25">
      <c r="A2104" t="s">
        <v>584</v>
      </c>
      <c r="B2104" t="s">
        <v>1023</v>
      </c>
      <c r="C2104" s="19"/>
      <c r="D2104" s="19"/>
    </row>
    <row r="2105" spans="1:4" x14ac:dyDescent="0.25">
      <c r="A2105" t="s">
        <v>584</v>
      </c>
      <c r="B2105" t="s">
        <v>1004</v>
      </c>
      <c r="C2105" s="19"/>
      <c r="D2105" s="19"/>
    </row>
    <row r="2106" spans="1:4" x14ac:dyDescent="0.25">
      <c r="A2106" t="s">
        <v>584</v>
      </c>
      <c r="B2106" t="s">
        <v>1030</v>
      </c>
      <c r="C2106" s="19"/>
      <c r="D2106" s="19"/>
    </row>
    <row r="2107" spans="1:4" x14ac:dyDescent="0.25">
      <c r="A2107" t="s">
        <v>584</v>
      </c>
      <c r="B2107" t="s">
        <v>1011</v>
      </c>
      <c r="C2107" s="19"/>
      <c r="D2107" s="19"/>
    </row>
    <row r="2108" spans="1:4" x14ac:dyDescent="0.25">
      <c r="A2108" t="s">
        <v>584</v>
      </c>
      <c r="B2108" t="s">
        <v>1025</v>
      </c>
      <c r="C2108" s="19"/>
      <c r="D2108" s="19"/>
    </row>
    <row r="2109" spans="1:4" x14ac:dyDescent="0.25">
      <c r="A2109" t="s">
        <v>584</v>
      </c>
      <c r="B2109" t="s">
        <v>997</v>
      </c>
      <c r="C2109" s="19"/>
      <c r="D2109" s="19"/>
    </row>
    <row r="2110" spans="1:4" x14ac:dyDescent="0.25">
      <c r="A2110" t="s">
        <v>584</v>
      </c>
      <c r="B2110" t="s">
        <v>1001</v>
      </c>
      <c r="C2110" s="19"/>
      <c r="D2110" s="19"/>
    </row>
    <row r="2111" spans="1:4" x14ac:dyDescent="0.25">
      <c r="A2111" t="s">
        <v>584</v>
      </c>
      <c r="B2111" t="s">
        <v>1007</v>
      </c>
      <c r="C2111" s="19"/>
      <c r="D2111" s="19"/>
    </row>
    <row r="2112" spans="1:4" x14ac:dyDescent="0.25">
      <c r="A2112" t="s">
        <v>585</v>
      </c>
      <c r="B2112" t="s">
        <v>990</v>
      </c>
      <c r="C2112" s="19"/>
      <c r="D2112" s="19"/>
    </row>
    <row r="2113" spans="1:4" x14ac:dyDescent="0.25">
      <c r="A2113" t="s">
        <v>585</v>
      </c>
      <c r="B2113" t="s">
        <v>999</v>
      </c>
      <c r="C2113" s="19"/>
      <c r="D2113" s="19"/>
    </row>
    <row r="2114" spans="1:4" x14ac:dyDescent="0.25">
      <c r="A2114" t="s">
        <v>585</v>
      </c>
      <c r="B2114" t="s">
        <v>1042</v>
      </c>
      <c r="C2114" s="19"/>
      <c r="D2114" s="19"/>
    </row>
    <row r="2115" spans="1:4" x14ac:dyDescent="0.25">
      <c r="A2115" t="s">
        <v>585</v>
      </c>
      <c r="B2115" t="s">
        <v>1026</v>
      </c>
      <c r="C2115" s="19"/>
      <c r="D2115" s="19"/>
    </row>
    <row r="2116" spans="1:4" x14ac:dyDescent="0.25">
      <c r="A2116" t="s">
        <v>585</v>
      </c>
      <c r="B2116" t="s">
        <v>1028</v>
      </c>
      <c r="C2116" s="19"/>
      <c r="D2116" s="19"/>
    </row>
    <row r="2117" spans="1:4" x14ac:dyDescent="0.25">
      <c r="A2117" t="s">
        <v>585</v>
      </c>
      <c r="B2117" t="s">
        <v>1047</v>
      </c>
      <c r="C2117" s="19"/>
      <c r="D2117" s="19"/>
    </row>
    <row r="2118" spans="1:4" x14ac:dyDescent="0.25">
      <c r="A2118" t="s">
        <v>585</v>
      </c>
      <c r="B2118" t="s">
        <v>995</v>
      </c>
      <c r="C2118" s="19"/>
      <c r="D2118" s="19"/>
    </row>
    <row r="2119" spans="1:4" x14ac:dyDescent="0.25">
      <c r="A2119" t="s">
        <v>585</v>
      </c>
      <c r="B2119" t="s">
        <v>1005</v>
      </c>
      <c r="C2119" s="19"/>
      <c r="D2119" s="19"/>
    </row>
    <row r="2120" spans="1:4" x14ac:dyDescent="0.25">
      <c r="A2120" t="s">
        <v>585</v>
      </c>
      <c r="B2120" t="s">
        <v>986</v>
      </c>
      <c r="C2120" s="19"/>
      <c r="D2120" s="19"/>
    </row>
    <row r="2121" spans="1:4" x14ac:dyDescent="0.25">
      <c r="A2121" t="s">
        <v>586</v>
      </c>
      <c r="B2121" t="s">
        <v>974</v>
      </c>
      <c r="C2121" s="19"/>
      <c r="D2121" s="19"/>
    </row>
    <row r="2122" spans="1:4" x14ac:dyDescent="0.25">
      <c r="A2122" t="s">
        <v>586</v>
      </c>
      <c r="B2122" t="s">
        <v>1027</v>
      </c>
      <c r="C2122" s="19"/>
      <c r="D2122" s="19"/>
    </row>
    <row r="2123" spans="1:4" x14ac:dyDescent="0.25">
      <c r="A2123" t="s">
        <v>586</v>
      </c>
      <c r="B2123" t="s">
        <v>978</v>
      </c>
      <c r="C2123" s="19"/>
      <c r="D2123" s="19"/>
    </row>
    <row r="2124" spans="1:4" x14ac:dyDescent="0.25">
      <c r="A2124" t="s">
        <v>587</v>
      </c>
      <c r="B2124" t="s">
        <v>983</v>
      </c>
      <c r="C2124" s="19"/>
      <c r="D2124" s="19"/>
    </row>
    <row r="2125" spans="1:4" x14ac:dyDescent="0.25">
      <c r="A2125" t="s">
        <v>587</v>
      </c>
      <c r="B2125" t="s">
        <v>979</v>
      </c>
      <c r="C2125" s="19"/>
      <c r="D2125" s="19"/>
    </row>
    <row r="2126" spans="1:4" x14ac:dyDescent="0.25">
      <c r="A2126" t="s">
        <v>587</v>
      </c>
      <c r="B2126" t="s">
        <v>987</v>
      </c>
      <c r="C2126" s="19"/>
      <c r="D2126" s="19"/>
    </row>
    <row r="2127" spans="1:4" x14ac:dyDescent="0.25">
      <c r="A2127" t="s">
        <v>587</v>
      </c>
      <c r="B2127" t="s">
        <v>981</v>
      </c>
      <c r="C2127" s="19"/>
      <c r="D2127" s="19"/>
    </row>
    <row r="2128" spans="1:4" x14ac:dyDescent="0.25">
      <c r="A2128" t="s">
        <v>587</v>
      </c>
      <c r="B2128" t="s">
        <v>993</v>
      </c>
      <c r="C2128" s="19"/>
      <c r="D2128" s="19"/>
    </row>
    <row r="2129" spans="1:4" x14ac:dyDescent="0.25">
      <c r="A2129" t="s">
        <v>588</v>
      </c>
      <c r="B2129" t="s">
        <v>979</v>
      </c>
      <c r="C2129" s="19"/>
      <c r="D2129" s="19"/>
    </row>
    <row r="2130" spans="1:4" x14ac:dyDescent="0.25">
      <c r="A2130" t="s">
        <v>588</v>
      </c>
      <c r="B2130" t="s">
        <v>983</v>
      </c>
      <c r="C2130" s="19"/>
      <c r="D2130" s="19"/>
    </row>
    <row r="2131" spans="1:4" x14ac:dyDescent="0.25">
      <c r="A2131" t="s">
        <v>588</v>
      </c>
      <c r="B2131" t="s">
        <v>987</v>
      </c>
      <c r="C2131" s="19"/>
      <c r="D2131" s="19"/>
    </row>
    <row r="2132" spans="1:4" x14ac:dyDescent="0.25">
      <c r="A2132" t="s">
        <v>588</v>
      </c>
      <c r="B2132" t="s">
        <v>981</v>
      </c>
      <c r="C2132" s="19"/>
      <c r="D2132" s="19"/>
    </row>
    <row r="2133" spans="1:4" x14ac:dyDescent="0.25">
      <c r="A2133" t="s">
        <v>588</v>
      </c>
      <c r="B2133" t="s">
        <v>993</v>
      </c>
      <c r="C2133" s="19"/>
      <c r="D2133" s="19"/>
    </row>
    <row r="2134" spans="1:4" x14ac:dyDescent="0.25">
      <c r="A2134" t="s">
        <v>590</v>
      </c>
      <c r="B2134" t="s">
        <v>973</v>
      </c>
      <c r="C2134" s="19"/>
      <c r="D2134" s="19"/>
    </row>
    <row r="2135" spans="1:4" x14ac:dyDescent="0.25">
      <c r="A2135" t="s">
        <v>591</v>
      </c>
      <c r="B2135" t="s">
        <v>985</v>
      </c>
      <c r="C2135" s="19"/>
      <c r="D2135" s="19"/>
    </row>
    <row r="2136" spans="1:4" x14ac:dyDescent="0.25">
      <c r="A2136" t="s">
        <v>591</v>
      </c>
      <c r="B2136" t="s">
        <v>1021</v>
      </c>
      <c r="C2136" s="19"/>
      <c r="D2136" s="19"/>
    </row>
    <row r="2137" spans="1:4" x14ac:dyDescent="0.25">
      <c r="A2137" t="s">
        <v>591</v>
      </c>
      <c r="B2137" t="s">
        <v>1014</v>
      </c>
      <c r="C2137" s="19"/>
      <c r="D2137" s="19"/>
    </row>
    <row r="2138" spans="1:4" x14ac:dyDescent="0.25">
      <c r="A2138" t="s">
        <v>591</v>
      </c>
      <c r="B2138" t="s">
        <v>1036</v>
      </c>
      <c r="C2138" s="19"/>
      <c r="D2138" s="19"/>
    </row>
    <row r="2139" spans="1:4" x14ac:dyDescent="0.25">
      <c r="A2139" t="s">
        <v>591</v>
      </c>
      <c r="B2139" t="s">
        <v>1032</v>
      </c>
      <c r="C2139" s="19"/>
      <c r="D2139" s="19"/>
    </row>
    <row r="2140" spans="1:4" x14ac:dyDescent="0.25">
      <c r="A2140" t="s">
        <v>591</v>
      </c>
      <c r="B2140" t="s">
        <v>1031</v>
      </c>
      <c r="C2140" s="19"/>
      <c r="D2140" s="19"/>
    </row>
    <row r="2141" spans="1:4" x14ac:dyDescent="0.25">
      <c r="A2141" t="s">
        <v>593</v>
      </c>
      <c r="B2141" t="s">
        <v>1029</v>
      </c>
      <c r="C2141" s="19"/>
      <c r="D2141" s="19"/>
    </row>
    <row r="2142" spans="1:4" x14ac:dyDescent="0.25">
      <c r="A2142" t="s">
        <v>593</v>
      </c>
      <c r="B2142" t="s">
        <v>989</v>
      </c>
      <c r="C2142" s="19"/>
      <c r="D2142" s="19"/>
    </row>
    <row r="2143" spans="1:4" x14ac:dyDescent="0.25">
      <c r="A2143" t="s">
        <v>593</v>
      </c>
      <c r="B2143" t="s">
        <v>1008</v>
      </c>
      <c r="C2143" s="19"/>
      <c r="D2143" s="19"/>
    </row>
    <row r="2144" spans="1:4" x14ac:dyDescent="0.25">
      <c r="A2144" t="s">
        <v>594</v>
      </c>
      <c r="B2144" t="s">
        <v>985</v>
      </c>
      <c r="C2144" s="19"/>
      <c r="D2144" s="19"/>
    </row>
    <row r="2145" spans="1:4" x14ac:dyDescent="0.25">
      <c r="A2145" t="s">
        <v>594</v>
      </c>
      <c r="B2145" t="s">
        <v>1021</v>
      </c>
      <c r="C2145" s="19"/>
      <c r="D2145" s="19"/>
    </row>
    <row r="2146" spans="1:4" x14ac:dyDescent="0.25">
      <c r="A2146" t="s">
        <v>594</v>
      </c>
      <c r="B2146" t="s">
        <v>1032</v>
      </c>
      <c r="C2146" s="19"/>
      <c r="D2146" s="19"/>
    </row>
    <row r="2147" spans="1:4" x14ac:dyDescent="0.25">
      <c r="A2147" t="s">
        <v>595</v>
      </c>
      <c r="B2147" t="s">
        <v>1033</v>
      </c>
      <c r="C2147" s="19"/>
      <c r="D2147" s="19"/>
    </row>
    <row r="2148" spans="1:4" x14ac:dyDescent="0.25">
      <c r="A2148" t="s">
        <v>595</v>
      </c>
      <c r="B2148" t="s">
        <v>1035</v>
      </c>
      <c r="C2148" s="19"/>
      <c r="D2148" s="19"/>
    </row>
    <row r="2149" spans="1:4" x14ac:dyDescent="0.25">
      <c r="A2149" t="s">
        <v>596</v>
      </c>
      <c r="B2149" t="s">
        <v>1009</v>
      </c>
      <c r="C2149" s="19"/>
      <c r="D2149" s="19"/>
    </row>
    <row r="2150" spans="1:4" x14ac:dyDescent="0.25">
      <c r="A2150" t="s">
        <v>596</v>
      </c>
      <c r="B2150" t="s">
        <v>1016</v>
      </c>
      <c r="C2150" s="19"/>
      <c r="D2150" s="19"/>
    </row>
    <row r="2151" spans="1:4" x14ac:dyDescent="0.25">
      <c r="A2151" t="s">
        <v>596</v>
      </c>
      <c r="B2151" t="s">
        <v>1034</v>
      </c>
      <c r="C2151" s="19"/>
      <c r="D2151" s="19"/>
    </row>
    <row r="2152" spans="1:4" x14ac:dyDescent="0.25">
      <c r="A2152" t="s">
        <v>597</v>
      </c>
      <c r="B2152" t="s">
        <v>1014</v>
      </c>
      <c r="C2152" s="19"/>
      <c r="D2152" s="19"/>
    </row>
    <row r="2153" spans="1:4" x14ac:dyDescent="0.25">
      <c r="A2153" t="s">
        <v>597</v>
      </c>
      <c r="B2153" t="s">
        <v>1036</v>
      </c>
      <c r="C2153" s="19"/>
      <c r="D2153" s="19"/>
    </row>
    <row r="2154" spans="1:4" x14ac:dyDescent="0.25">
      <c r="A2154" t="s">
        <v>597</v>
      </c>
      <c r="B2154" t="s">
        <v>1031</v>
      </c>
      <c r="C2154" s="19"/>
      <c r="D2154" s="19"/>
    </row>
    <row r="2155" spans="1:4" x14ac:dyDescent="0.25">
      <c r="A2155" t="s">
        <v>598</v>
      </c>
      <c r="B2155" t="s">
        <v>997</v>
      </c>
      <c r="C2155" s="19"/>
      <c r="D2155" s="19"/>
    </row>
    <row r="2156" spans="1:4" x14ac:dyDescent="0.25">
      <c r="A2156" t="s">
        <v>598</v>
      </c>
      <c r="B2156" t="s">
        <v>1001</v>
      </c>
      <c r="C2156" s="19"/>
      <c r="D2156" s="19"/>
    </row>
    <row r="2157" spans="1:4" x14ac:dyDescent="0.25">
      <c r="A2157" t="s">
        <v>598</v>
      </c>
      <c r="B2157" t="s">
        <v>1007</v>
      </c>
      <c r="C2157" s="19"/>
      <c r="D2157" s="19"/>
    </row>
    <row r="2158" spans="1:4" x14ac:dyDescent="0.25">
      <c r="A2158" t="s">
        <v>599</v>
      </c>
      <c r="B2158" t="s">
        <v>1011</v>
      </c>
      <c r="C2158" s="19"/>
      <c r="D2158" s="19"/>
    </row>
    <row r="2159" spans="1:4" x14ac:dyDescent="0.25">
      <c r="A2159" t="s">
        <v>599</v>
      </c>
      <c r="B2159" t="s">
        <v>1013</v>
      </c>
      <c r="C2159" s="19"/>
      <c r="D2159" s="19"/>
    </row>
    <row r="2160" spans="1:4" x14ac:dyDescent="0.25">
      <c r="A2160" t="s">
        <v>599</v>
      </c>
      <c r="B2160" t="s">
        <v>1023</v>
      </c>
      <c r="C2160" s="19"/>
      <c r="D2160" s="19"/>
    </row>
    <row r="2161" spans="1:4" x14ac:dyDescent="0.25">
      <c r="A2161" t="s">
        <v>600</v>
      </c>
      <c r="B2161" t="s">
        <v>1030</v>
      </c>
      <c r="C2161" s="19"/>
      <c r="D2161" s="19"/>
    </row>
    <row r="2162" spans="1:4" x14ac:dyDescent="0.25">
      <c r="A2162" t="s">
        <v>600</v>
      </c>
      <c r="B2162" t="s">
        <v>1025</v>
      </c>
      <c r="C2162" s="19"/>
      <c r="D2162" s="19"/>
    </row>
    <row r="2163" spans="1:4" x14ac:dyDescent="0.25">
      <c r="A2163" t="s">
        <v>600</v>
      </c>
      <c r="B2163" t="s">
        <v>1004</v>
      </c>
      <c r="C2163" s="19"/>
      <c r="D2163" s="19"/>
    </row>
    <row r="2164" spans="1:4" x14ac:dyDescent="0.25">
      <c r="A2164" t="s">
        <v>816</v>
      </c>
      <c r="B2164" t="s">
        <v>986</v>
      </c>
      <c r="C2164" s="19">
        <v>1.17</v>
      </c>
      <c r="D2164" s="19"/>
    </row>
    <row r="2165" spans="1:4" x14ac:dyDescent="0.25">
      <c r="A2165" t="s">
        <v>816</v>
      </c>
      <c r="B2165" t="s">
        <v>989</v>
      </c>
      <c r="C2165" s="19">
        <v>1.17</v>
      </c>
      <c r="D2165" s="19"/>
    </row>
    <row r="2166" spans="1:4" x14ac:dyDescent="0.25">
      <c r="A2166" t="s">
        <v>816</v>
      </c>
      <c r="B2166" t="s">
        <v>979</v>
      </c>
      <c r="C2166" s="19">
        <v>1.17</v>
      </c>
      <c r="D2166" s="19"/>
    </row>
    <row r="2167" spans="1:4" x14ac:dyDescent="0.25">
      <c r="A2167" t="s">
        <v>816</v>
      </c>
      <c r="B2167" t="s">
        <v>977</v>
      </c>
      <c r="C2167" s="19">
        <v>1.17</v>
      </c>
      <c r="D2167" s="19"/>
    </row>
    <row r="2168" spans="1:4" x14ac:dyDescent="0.25">
      <c r="A2168" t="s">
        <v>818</v>
      </c>
      <c r="B2168" t="s">
        <v>974</v>
      </c>
      <c r="C2168" s="19">
        <v>1.0631578947368421</v>
      </c>
      <c r="D2168" s="19"/>
    </row>
    <row r="2169" spans="1:4" x14ac:dyDescent="0.25">
      <c r="A2169" t="s">
        <v>818</v>
      </c>
      <c r="B2169" t="s">
        <v>1008</v>
      </c>
      <c r="C2169" s="19">
        <v>1.0631578947368421</v>
      </c>
      <c r="D2169" s="19"/>
    </row>
    <row r="2170" spans="1:4" x14ac:dyDescent="0.25">
      <c r="A2170" t="s">
        <v>818</v>
      </c>
      <c r="B2170" t="s">
        <v>1029</v>
      </c>
      <c r="C2170" s="19">
        <v>1.0631578947368421</v>
      </c>
      <c r="D2170" s="19"/>
    </row>
    <row r="2171" spans="1:4" x14ac:dyDescent="0.25">
      <c r="A2171" t="s">
        <v>818</v>
      </c>
      <c r="B2171" t="s">
        <v>1014</v>
      </c>
      <c r="C2171" s="19">
        <v>1.0631578947368421</v>
      </c>
      <c r="D2171" s="19"/>
    </row>
    <row r="2172" spans="1:4" x14ac:dyDescent="0.25">
      <c r="A2172" t="s">
        <v>818</v>
      </c>
      <c r="B2172" t="s">
        <v>987</v>
      </c>
      <c r="C2172" s="19">
        <v>1.0631578947368421</v>
      </c>
      <c r="D2172" s="19"/>
    </row>
    <row r="2173" spans="1:4" x14ac:dyDescent="0.25">
      <c r="A2173" t="s">
        <v>818</v>
      </c>
      <c r="B2173" t="s">
        <v>1032</v>
      </c>
      <c r="C2173" s="19">
        <v>1.0631578947368421</v>
      </c>
      <c r="D2173" s="19"/>
    </row>
    <row r="2174" spans="1:4" x14ac:dyDescent="0.25">
      <c r="A2174" t="s">
        <v>818</v>
      </c>
      <c r="B2174" t="s">
        <v>1027</v>
      </c>
      <c r="C2174" s="19">
        <v>1.0631578947368421</v>
      </c>
      <c r="D2174" s="19"/>
    </row>
    <row r="2175" spans="1:4" x14ac:dyDescent="0.25">
      <c r="A2175" t="s">
        <v>818</v>
      </c>
      <c r="B2175" t="s">
        <v>985</v>
      </c>
      <c r="C2175" s="19">
        <v>1.0631578947368421</v>
      </c>
      <c r="D2175" s="19"/>
    </row>
    <row r="2176" spans="1:4" x14ac:dyDescent="0.25">
      <c r="A2176" t="s">
        <v>818</v>
      </c>
      <c r="B2176" t="s">
        <v>976</v>
      </c>
      <c r="C2176" s="19">
        <v>1.0631578947368421</v>
      </c>
      <c r="D2176" s="19"/>
    </row>
    <row r="2177" spans="1:4" x14ac:dyDescent="0.25">
      <c r="A2177" t="s">
        <v>818</v>
      </c>
      <c r="B2177" t="s">
        <v>978</v>
      </c>
      <c r="C2177" s="19">
        <v>1.0631578947368421</v>
      </c>
      <c r="D2177" s="19"/>
    </row>
    <row r="2178" spans="1:4" x14ac:dyDescent="0.25">
      <c r="A2178" t="s">
        <v>820</v>
      </c>
      <c r="B2178" t="s">
        <v>974</v>
      </c>
      <c r="C2178" s="19">
        <v>0.47826086956521741</v>
      </c>
      <c r="D2178" s="19"/>
    </row>
    <row r="2179" spans="1:4" x14ac:dyDescent="0.25">
      <c r="A2179" t="s">
        <v>820</v>
      </c>
      <c r="B2179" t="s">
        <v>1008</v>
      </c>
      <c r="C2179" s="19">
        <v>0.47826086956521741</v>
      </c>
      <c r="D2179" s="19"/>
    </row>
    <row r="2180" spans="1:4" x14ac:dyDescent="0.25">
      <c r="A2180" t="s">
        <v>820</v>
      </c>
      <c r="B2180" t="s">
        <v>1029</v>
      </c>
      <c r="C2180" s="19">
        <v>0.47826086956521741</v>
      </c>
      <c r="D2180" s="19"/>
    </row>
    <row r="2181" spans="1:4" x14ac:dyDescent="0.25">
      <c r="A2181" t="s">
        <v>820</v>
      </c>
      <c r="B2181" t="s">
        <v>1014</v>
      </c>
      <c r="C2181" s="19">
        <v>0.47826086956521741</v>
      </c>
      <c r="D2181" s="19"/>
    </row>
    <row r="2182" spans="1:4" x14ac:dyDescent="0.25">
      <c r="A2182" t="s">
        <v>820</v>
      </c>
      <c r="B2182" t="s">
        <v>987</v>
      </c>
      <c r="C2182" s="19">
        <v>0.47826086956521741</v>
      </c>
      <c r="D2182" s="19"/>
    </row>
    <row r="2183" spans="1:4" x14ac:dyDescent="0.25">
      <c r="A2183" t="s">
        <v>820</v>
      </c>
      <c r="B2183" t="s">
        <v>1032</v>
      </c>
      <c r="C2183" s="19">
        <v>0.47826086956521741</v>
      </c>
      <c r="D2183" s="19"/>
    </row>
    <row r="2184" spans="1:4" x14ac:dyDescent="0.25">
      <c r="A2184" t="s">
        <v>820</v>
      </c>
      <c r="B2184" t="s">
        <v>1027</v>
      </c>
      <c r="C2184" s="19">
        <v>0.47826086956521741</v>
      </c>
      <c r="D2184" s="19"/>
    </row>
    <row r="2185" spans="1:4" x14ac:dyDescent="0.25">
      <c r="A2185" t="s">
        <v>820</v>
      </c>
      <c r="B2185" t="s">
        <v>985</v>
      </c>
      <c r="C2185" s="19">
        <v>0.47826086956521741</v>
      </c>
      <c r="D2185" s="19"/>
    </row>
    <row r="2186" spans="1:4" x14ac:dyDescent="0.25">
      <c r="A2186" t="s">
        <v>820</v>
      </c>
      <c r="B2186" t="s">
        <v>976</v>
      </c>
      <c r="C2186" s="19">
        <v>0.47826086956521741</v>
      </c>
      <c r="D2186" s="19"/>
    </row>
    <row r="2187" spans="1:4" x14ac:dyDescent="0.25">
      <c r="A2187" t="s">
        <v>820</v>
      </c>
      <c r="B2187" t="s">
        <v>978</v>
      </c>
      <c r="C2187" s="19">
        <v>0.47826086956521741</v>
      </c>
      <c r="D2187" s="19"/>
    </row>
    <row r="2188" spans="1:4" x14ac:dyDescent="0.25">
      <c r="A2188" t="s">
        <v>821</v>
      </c>
      <c r="B2188" t="s">
        <v>1033</v>
      </c>
      <c r="C2188" s="19">
        <v>0.4642857142857143</v>
      </c>
      <c r="D2188" s="19"/>
    </row>
    <row r="2189" spans="1:4" x14ac:dyDescent="0.25">
      <c r="A2189" t="s">
        <v>821</v>
      </c>
      <c r="B2189" t="s">
        <v>1035</v>
      </c>
      <c r="C2189" s="19">
        <v>0.4642857142857143</v>
      </c>
      <c r="D2189" s="19"/>
    </row>
    <row r="2190" spans="1:4" x14ac:dyDescent="0.25">
      <c r="A2190" t="s">
        <v>821</v>
      </c>
      <c r="B2190" t="s">
        <v>1034</v>
      </c>
      <c r="C2190" s="19">
        <v>0.4642857142857143</v>
      </c>
      <c r="D2190" s="19"/>
    </row>
    <row r="2191" spans="1:4" x14ac:dyDescent="0.25">
      <c r="A2191" t="s">
        <v>823</v>
      </c>
      <c r="B2191" t="s">
        <v>1016</v>
      </c>
      <c r="C2191" s="19">
        <v>0.55952380952380953</v>
      </c>
      <c r="D2191" s="19"/>
    </row>
    <row r="2192" spans="1:4" x14ac:dyDescent="0.25">
      <c r="A2192" t="s">
        <v>823</v>
      </c>
      <c r="B2192" t="s">
        <v>1009</v>
      </c>
      <c r="C2192" s="19">
        <v>0.55952380952380953</v>
      </c>
      <c r="D2192" s="19"/>
    </row>
    <row r="2193" spans="1:4" x14ac:dyDescent="0.25">
      <c r="A2193" t="s">
        <v>824</v>
      </c>
      <c r="B2193" t="s">
        <v>1007</v>
      </c>
      <c r="C2193" s="19">
        <v>0.47761194029850745</v>
      </c>
      <c r="D2193" s="19"/>
    </row>
    <row r="2194" spans="1:4" x14ac:dyDescent="0.25">
      <c r="A2194" t="s">
        <v>824</v>
      </c>
      <c r="B2194" t="s">
        <v>997</v>
      </c>
      <c r="C2194" s="19">
        <v>0.47761194029850745</v>
      </c>
      <c r="D2194" s="19"/>
    </row>
    <row r="2195" spans="1:4" x14ac:dyDescent="0.25">
      <c r="A2195" t="s">
        <v>824</v>
      </c>
      <c r="B2195" t="s">
        <v>999</v>
      </c>
      <c r="C2195" s="19">
        <v>0.47761194029850745</v>
      </c>
      <c r="D2195" s="19"/>
    </row>
    <row r="2196" spans="1:4" x14ac:dyDescent="0.25">
      <c r="A2196" t="s">
        <v>824</v>
      </c>
      <c r="B2196" t="s">
        <v>1025</v>
      </c>
      <c r="C2196" s="19">
        <v>0.47761194029850745</v>
      </c>
      <c r="D2196" s="19"/>
    </row>
    <row r="2197" spans="1:4" x14ac:dyDescent="0.25">
      <c r="A2197" t="s">
        <v>825</v>
      </c>
      <c r="B2197" t="s">
        <v>1013</v>
      </c>
      <c r="C2197" s="19">
        <v>0.92800000000000005</v>
      </c>
      <c r="D2197" s="19"/>
    </row>
    <row r="2198" spans="1:4" x14ac:dyDescent="0.25">
      <c r="A2198" t="s">
        <v>826</v>
      </c>
      <c r="B2198" t="s">
        <v>1011</v>
      </c>
      <c r="C2198" s="19">
        <v>0.63095238095238093</v>
      </c>
      <c r="D2198" s="19"/>
    </row>
    <row r="2199" spans="1:4" x14ac:dyDescent="0.25">
      <c r="A2199" t="s">
        <v>826</v>
      </c>
      <c r="B2199" t="s">
        <v>1023</v>
      </c>
      <c r="C2199" s="19">
        <v>0.63095238095238093</v>
      </c>
      <c r="D2199" s="19"/>
    </row>
    <row r="2200" spans="1:4" x14ac:dyDescent="0.25">
      <c r="A2200" t="s">
        <v>826</v>
      </c>
      <c r="B2200" t="s">
        <v>1025</v>
      </c>
      <c r="C2200" s="19">
        <v>0.63095238095238093</v>
      </c>
      <c r="D2200" s="19"/>
    </row>
    <row r="2201" spans="1:4" x14ac:dyDescent="0.25">
      <c r="A2201" t="s">
        <v>826</v>
      </c>
      <c r="B2201" t="s">
        <v>1004</v>
      </c>
      <c r="C2201" s="19">
        <v>0.63095238095238093</v>
      </c>
      <c r="D2201" s="19"/>
    </row>
    <row r="2202" spans="1:4" x14ac:dyDescent="0.25">
      <c r="A2202" t="s">
        <v>827</v>
      </c>
      <c r="B2202" t="s">
        <v>973</v>
      </c>
      <c r="C2202" s="19">
        <v>0.88183421516754845</v>
      </c>
      <c r="D2202" s="19"/>
    </row>
    <row r="2203" spans="1:4" x14ac:dyDescent="0.25">
      <c r="A2203" t="s">
        <v>827</v>
      </c>
      <c r="B2203" t="s">
        <v>1032</v>
      </c>
      <c r="C2203" s="19">
        <v>0.88183421516754845</v>
      </c>
      <c r="D2203" s="19"/>
    </row>
    <row r="2204" spans="1:4" x14ac:dyDescent="0.25">
      <c r="A2204" t="s">
        <v>829</v>
      </c>
      <c r="B2204" t="s">
        <v>973</v>
      </c>
      <c r="C2204" s="19">
        <v>0.7615384615384615</v>
      </c>
      <c r="D2204" s="19"/>
    </row>
    <row r="2205" spans="1:4" x14ac:dyDescent="0.25">
      <c r="A2205" t="s">
        <v>829</v>
      </c>
      <c r="B2205" t="s">
        <v>1032</v>
      </c>
      <c r="C2205" s="19">
        <v>0.7615384615384615</v>
      </c>
      <c r="D2205" s="19"/>
    </row>
    <row r="2206" spans="1:4" x14ac:dyDescent="0.25">
      <c r="A2206" t="s">
        <v>833</v>
      </c>
      <c r="B2206" t="s">
        <v>974</v>
      </c>
      <c r="C2206" s="19">
        <v>0.60790273556231</v>
      </c>
      <c r="D2206" s="19"/>
    </row>
    <row r="2207" spans="1:4" x14ac:dyDescent="0.25">
      <c r="A2207" t="s">
        <v>833</v>
      </c>
      <c r="B2207" t="s">
        <v>978</v>
      </c>
      <c r="C2207" s="19">
        <v>0.60790273556231</v>
      </c>
      <c r="D2207" s="19"/>
    </row>
    <row r="2208" spans="1:4" x14ac:dyDescent="0.25">
      <c r="A2208" t="s">
        <v>833</v>
      </c>
      <c r="B2208" t="s">
        <v>987</v>
      </c>
      <c r="C2208" s="19">
        <v>0.60790273556231</v>
      </c>
      <c r="D2208" s="19"/>
    </row>
    <row r="2209" spans="1:4" x14ac:dyDescent="0.25">
      <c r="A2209" t="s">
        <v>834</v>
      </c>
      <c r="B2209" t="s">
        <v>985</v>
      </c>
      <c r="C2209" s="19">
        <v>0.41540020263424521</v>
      </c>
      <c r="D2209" s="19"/>
    </row>
    <row r="2210" spans="1:4" x14ac:dyDescent="0.25">
      <c r="A2210" t="s">
        <v>834</v>
      </c>
      <c r="B2210" t="s">
        <v>1014</v>
      </c>
      <c r="C2210" s="19">
        <v>0.41540020263424521</v>
      </c>
      <c r="D2210" s="19"/>
    </row>
    <row r="2211" spans="1:4" x14ac:dyDescent="0.25">
      <c r="A2211" t="s">
        <v>834</v>
      </c>
      <c r="B2211" t="s">
        <v>1008</v>
      </c>
      <c r="C2211" s="19">
        <v>0.41540020263424521</v>
      </c>
      <c r="D2211" s="19"/>
    </row>
    <row r="2212" spans="1:4" x14ac:dyDescent="0.25">
      <c r="A2212" t="s">
        <v>835</v>
      </c>
      <c r="B2212" t="s">
        <v>986</v>
      </c>
      <c r="C2212" s="19">
        <v>0.65596575708935256</v>
      </c>
      <c r="D2212" s="19"/>
    </row>
    <row r="2213" spans="1:4" x14ac:dyDescent="0.25">
      <c r="A2213" t="s">
        <v>835</v>
      </c>
      <c r="B2213" t="s">
        <v>1031</v>
      </c>
      <c r="C2213" s="19">
        <v>0.65596575708935256</v>
      </c>
      <c r="D2213" s="19"/>
    </row>
    <row r="2214" spans="1:4" x14ac:dyDescent="0.25">
      <c r="A2214" t="s">
        <v>835</v>
      </c>
      <c r="B2214" t="s">
        <v>990</v>
      </c>
      <c r="C2214" s="19">
        <v>0.65596575708935256</v>
      </c>
      <c r="D2214" s="19"/>
    </row>
    <row r="2215" spans="1:4" x14ac:dyDescent="0.25">
      <c r="A2215" t="s">
        <v>836</v>
      </c>
      <c r="B2215" t="s">
        <v>1016</v>
      </c>
      <c r="C2215" s="19">
        <v>0.47619047619047616</v>
      </c>
      <c r="D2215" s="19"/>
    </row>
    <row r="2216" spans="1:4" x14ac:dyDescent="0.25">
      <c r="A2216" t="s">
        <v>836</v>
      </c>
      <c r="B2216" t="s">
        <v>1033</v>
      </c>
      <c r="C2216" s="19">
        <v>0.47619047619047616</v>
      </c>
      <c r="D2216" s="19"/>
    </row>
    <row r="2217" spans="1:4" x14ac:dyDescent="0.25">
      <c r="A2217" t="s">
        <v>836</v>
      </c>
      <c r="B2217" t="s">
        <v>1035</v>
      </c>
      <c r="C2217" s="19">
        <v>0.47619047619047616</v>
      </c>
      <c r="D2217" s="19"/>
    </row>
    <row r="2218" spans="1:4" x14ac:dyDescent="0.25">
      <c r="A2218" t="s">
        <v>838</v>
      </c>
      <c r="B2218" t="s">
        <v>1016</v>
      </c>
      <c r="C2218" s="19">
        <v>0.17222222222222222</v>
      </c>
      <c r="D2218" s="19"/>
    </row>
    <row r="2219" spans="1:4" x14ac:dyDescent="0.25">
      <c r="A2219" t="s">
        <v>838</v>
      </c>
      <c r="B2219" t="s">
        <v>1033</v>
      </c>
      <c r="C2219" s="19">
        <v>0.17222222222222222</v>
      </c>
      <c r="D2219" s="19"/>
    </row>
    <row r="2220" spans="1:4" x14ac:dyDescent="0.25">
      <c r="A2220" t="s">
        <v>838</v>
      </c>
      <c r="B2220" t="s">
        <v>1035</v>
      </c>
      <c r="C2220" s="19">
        <v>0.17222222222222222</v>
      </c>
      <c r="D2220" s="19"/>
    </row>
    <row r="2221" spans="1:4" x14ac:dyDescent="0.25">
      <c r="A2221" t="s">
        <v>839</v>
      </c>
      <c r="B2221" t="s">
        <v>1034</v>
      </c>
      <c r="C2221" s="19">
        <v>0.51020408163265307</v>
      </c>
      <c r="D2221" s="19"/>
    </row>
    <row r="2222" spans="1:4" x14ac:dyDescent="0.25">
      <c r="A2222" t="s">
        <v>839</v>
      </c>
      <c r="B2222" t="s">
        <v>1009</v>
      </c>
      <c r="C2222" s="19">
        <v>0.51020408163265307</v>
      </c>
      <c r="D2222" s="19"/>
    </row>
    <row r="2223" spans="1:4" x14ac:dyDescent="0.25">
      <c r="A2223" t="s">
        <v>840</v>
      </c>
      <c r="B2223" t="s">
        <v>1034</v>
      </c>
      <c r="C2223" s="19">
        <v>6.6666666666666666E-2</v>
      </c>
      <c r="D2223" s="19"/>
    </row>
    <row r="2224" spans="1:4" x14ac:dyDescent="0.25">
      <c r="A2224" t="s">
        <v>840</v>
      </c>
      <c r="B2224" t="s">
        <v>1009</v>
      </c>
      <c r="C2224" s="19">
        <v>6.6666666666666666E-2</v>
      </c>
      <c r="D2224" s="19"/>
    </row>
    <row r="2225" spans="1:4" x14ac:dyDescent="0.25">
      <c r="A2225" t="s">
        <v>842</v>
      </c>
      <c r="B2225" t="s">
        <v>999</v>
      </c>
      <c r="C2225" s="19">
        <v>0.87407407407407411</v>
      </c>
      <c r="D2225" s="19"/>
    </row>
    <row r="2226" spans="1:4" x14ac:dyDescent="0.25">
      <c r="A2226" t="s">
        <v>842</v>
      </c>
      <c r="B2226" t="s">
        <v>1007</v>
      </c>
      <c r="C2226" s="19">
        <v>0.87407407407407411</v>
      </c>
      <c r="D2226" s="19"/>
    </row>
    <row r="2227" spans="1:4" x14ac:dyDescent="0.25">
      <c r="A2227" t="s">
        <v>842</v>
      </c>
      <c r="B2227" t="s">
        <v>1025</v>
      </c>
      <c r="C2227" s="19">
        <v>0.87407407407407411</v>
      </c>
      <c r="D2227" s="19"/>
    </row>
    <row r="2228" spans="1:4" x14ac:dyDescent="0.25">
      <c r="A2228" t="s">
        <v>846</v>
      </c>
      <c r="B2228" t="s">
        <v>997</v>
      </c>
      <c r="C2228" s="19">
        <v>0.49803921568627452</v>
      </c>
      <c r="D2228" s="19"/>
    </row>
    <row r="2229" spans="1:4" x14ac:dyDescent="0.25">
      <c r="A2229" t="s">
        <v>846</v>
      </c>
      <c r="B2229" t="s">
        <v>988</v>
      </c>
      <c r="C2229" s="19">
        <v>0.49803921568627452</v>
      </c>
      <c r="D2229" s="19"/>
    </row>
    <row r="2230" spans="1:4" x14ac:dyDescent="0.25">
      <c r="A2230" t="s">
        <v>846</v>
      </c>
      <c r="B2230" t="s">
        <v>1001</v>
      </c>
      <c r="C2230" s="19">
        <v>0.49803921568627452</v>
      </c>
      <c r="D2230" s="19"/>
    </row>
    <row r="2231" spans="1:4" x14ac:dyDescent="0.25">
      <c r="A2231" t="s">
        <v>848</v>
      </c>
      <c r="B2231" t="s">
        <v>1001</v>
      </c>
      <c r="C2231" s="19">
        <v>1.4685314685314685</v>
      </c>
      <c r="D2231" s="19"/>
    </row>
    <row r="2232" spans="1:4" x14ac:dyDescent="0.25">
      <c r="A2232" t="s">
        <v>848</v>
      </c>
      <c r="B2232" t="s">
        <v>1023</v>
      </c>
      <c r="C2232" s="19">
        <v>1.4685314685314685</v>
      </c>
      <c r="D2232" s="19"/>
    </row>
    <row r="2233" spans="1:4" x14ac:dyDescent="0.25">
      <c r="A2233" t="s">
        <v>848</v>
      </c>
      <c r="B2233" t="s">
        <v>1011</v>
      </c>
      <c r="C2233" s="19">
        <v>1.4685314685314685</v>
      </c>
      <c r="D2233" s="19"/>
    </row>
    <row r="2234" spans="1:4" x14ac:dyDescent="0.25">
      <c r="A2234" t="s">
        <v>848</v>
      </c>
      <c r="B2234" t="s">
        <v>1013</v>
      </c>
      <c r="C2234" s="19">
        <v>1.4685314685314685</v>
      </c>
      <c r="D2234" s="19"/>
    </row>
    <row r="2235" spans="1:4" x14ac:dyDescent="0.25">
      <c r="A2235" t="s">
        <v>849</v>
      </c>
      <c r="B2235" t="s">
        <v>988</v>
      </c>
      <c r="C2235" s="19">
        <v>1.0751748251748252</v>
      </c>
      <c r="D2235" s="19"/>
    </row>
    <row r="2236" spans="1:4" x14ac:dyDescent="0.25">
      <c r="A2236" t="s">
        <v>849</v>
      </c>
      <c r="B2236" t="s">
        <v>1004</v>
      </c>
      <c r="C2236" s="19">
        <v>1.0751748251748252</v>
      </c>
      <c r="D2236" s="19"/>
    </row>
    <row r="2237" spans="1:4" x14ac:dyDescent="0.25">
      <c r="A2237" t="s">
        <v>849</v>
      </c>
      <c r="B2237" t="s">
        <v>997</v>
      </c>
      <c r="C2237" s="19">
        <v>1.0751748251748252</v>
      </c>
      <c r="D2237" s="19"/>
    </row>
    <row r="2238" spans="1:4" x14ac:dyDescent="0.25">
      <c r="A2238" t="s">
        <v>849</v>
      </c>
      <c r="B2238" t="s">
        <v>1025</v>
      </c>
      <c r="C2238" s="19">
        <v>1.0751748251748252</v>
      </c>
      <c r="D2238" s="19"/>
    </row>
    <row r="2239" spans="1:4" x14ac:dyDescent="0.25">
      <c r="A2239" t="s">
        <v>850</v>
      </c>
      <c r="B2239" t="s">
        <v>994</v>
      </c>
      <c r="C2239" s="19">
        <v>1.4685314685314685</v>
      </c>
      <c r="D2239" s="19"/>
    </row>
    <row r="2240" spans="1:4" x14ac:dyDescent="0.25">
      <c r="A2240" t="s">
        <v>850</v>
      </c>
      <c r="B2240" t="s">
        <v>999</v>
      </c>
      <c r="C2240" s="19">
        <v>1.4685314685314685</v>
      </c>
      <c r="D2240" s="19"/>
    </row>
    <row r="2241" spans="1:4" x14ac:dyDescent="0.25">
      <c r="A2241" t="s">
        <v>850</v>
      </c>
      <c r="B2241" t="s">
        <v>1007</v>
      </c>
      <c r="C2241" s="19">
        <v>1.4685314685314685</v>
      </c>
      <c r="D2241" s="19"/>
    </row>
    <row r="2242" spans="1:4" x14ac:dyDescent="0.25">
      <c r="A2242" t="s">
        <v>850</v>
      </c>
      <c r="B2242" t="s">
        <v>1006</v>
      </c>
      <c r="C2242" s="19">
        <v>1.4685314685314685</v>
      </c>
      <c r="D2242" s="19"/>
    </row>
    <row r="2243" spans="1:4" x14ac:dyDescent="0.25">
      <c r="A2243" t="s">
        <v>852</v>
      </c>
      <c r="B2243" t="s">
        <v>974</v>
      </c>
      <c r="C2243" s="19">
        <v>1.8531468531468531</v>
      </c>
      <c r="D2243" s="19"/>
    </row>
    <row r="2244" spans="1:4" x14ac:dyDescent="0.25">
      <c r="A2244" t="s">
        <v>852</v>
      </c>
      <c r="B2244" t="s">
        <v>1029</v>
      </c>
      <c r="C2244" s="19">
        <v>1.8531468531468531</v>
      </c>
      <c r="D2244" s="19"/>
    </row>
    <row r="2245" spans="1:4" x14ac:dyDescent="0.25">
      <c r="A2245" t="s">
        <v>852</v>
      </c>
      <c r="B2245" t="s">
        <v>987</v>
      </c>
      <c r="C2245" s="19">
        <v>1.8531468531468531</v>
      </c>
      <c r="D2245" s="19"/>
    </row>
    <row r="2246" spans="1:4" x14ac:dyDescent="0.25">
      <c r="A2246" t="s">
        <v>853</v>
      </c>
      <c r="B2246" t="s">
        <v>974</v>
      </c>
      <c r="C2246" s="19">
        <v>1.3375796178343948</v>
      </c>
      <c r="D2246" s="19"/>
    </row>
    <row r="2247" spans="1:4" x14ac:dyDescent="0.25">
      <c r="A2247" t="s">
        <v>853</v>
      </c>
      <c r="B2247" t="s">
        <v>1029</v>
      </c>
      <c r="C2247" s="19">
        <v>1.3375796178343948</v>
      </c>
      <c r="D2247" s="19"/>
    </row>
    <row r="2248" spans="1:4" x14ac:dyDescent="0.25">
      <c r="A2248" t="s">
        <v>853</v>
      </c>
      <c r="B2248" t="s">
        <v>987</v>
      </c>
      <c r="C2248" s="19">
        <v>1.3375796178343948</v>
      </c>
      <c r="D2248" s="19"/>
    </row>
    <row r="2249" spans="1:4" x14ac:dyDescent="0.25">
      <c r="A2249" t="s">
        <v>854</v>
      </c>
      <c r="B2249" t="s">
        <v>979</v>
      </c>
      <c r="C2249" s="19">
        <v>1.2019047619047618</v>
      </c>
      <c r="D2249" s="19"/>
    </row>
    <row r="2250" spans="1:4" x14ac:dyDescent="0.25">
      <c r="A2250" t="s">
        <v>854</v>
      </c>
      <c r="B2250" t="s">
        <v>977</v>
      </c>
      <c r="C2250" s="19">
        <v>1.2019047619047618</v>
      </c>
      <c r="D2250" s="19"/>
    </row>
    <row r="2251" spans="1:4" x14ac:dyDescent="0.25">
      <c r="A2251" t="s">
        <v>854</v>
      </c>
      <c r="B2251" t="s">
        <v>976</v>
      </c>
      <c r="C2251" s="19">
        <v>1.2019047619047618</v>
      </c>
      <c r="D2251" s="19"/>
    </row>
    <row r="2252" spans="1:4" x14ac:dyDescent="0.25">
      <c r="A2252" t="s">
        <v>855</v>
      </c>
      <c r="B2252" t="s">
        <v>1008</v>
      </c>
      <c r="C2252" s="19">
        <v>1.0903225806451613</v>
      </c>
      <c r="D2252" s="19"/>
    </row>
    <row r="2253" spans="1:4" x14ac:dyDescent="0.25">
      <c r="A2253" t="s">
        <v>855</v>
      </c>
      <c r="B2253" t="s">
        <v>986</v>
      </c>
      <c r="C2253" s="19">
        <v>1.0903225806451613</v>
      </c>
      <c r="D2253" s="19"/>
    </row>
    <row r="2254" spans="1:4" x14ac:dyDescent="0.25">
      <c r="A2254" t="s">
        <v>855</v>
      </c>
      <c r="B2254" t="s">
        <v>990</v>
      </c>
      <c r="C2254" s="19">
        <v>1.0903225806451613</v>
      </c>
      <c r="D2254" s="19"/>
    </row>
    <row r="2255" spans="1:4" x14ac:dyDescent="0.25">
      <c r="A2255" t="s">
        <v>856</v>
      </c>
      <c r="B2255" t="s">
        <v>978</v>
      </c>
      <c r="C2255" s="19">
        <v>0.93145161290322576</v>
      </c>
      <c r="D2255" s="19"/>
    </row>
    <row r="2256" spans="1:4" x14ac:dyDescent="0.25">
      <c r="A2256" t="s">
        <v>856</v>
      </c>
      <c r="B2256" t="s">
        <v>1014</v>
      </c>
      <c r="C2256" s="19">
        <v>0.93145161290322576</v>
      </c>
      <c r="D2256" s="19"/>
    </row>
    <row r="2257" spans="1:4" x14ac:dyDescent="0.25">
      <c r="A2257" t="s">
        <v>856</v>
      </c>
      <c r="B2257" t="s">
        <v>989</v>
      </c>
      <c r="C2257" s="19">
        <v>0.93145161290322576</v>
      </c>
      <c r="D2257" s="19"/>
    </row>
    <row r="2258" spans="1:4" x14ac:dyDescent="0.25">
      <c r="A2258" t="s">
        <v>857</v>
      </c>
      <c r="B2258" t="s">
        <v>973</v>
      </c>
      <c r="C2258" s="19">
        <v>1.1516129032258065</v>
      </c>
      <c r="D2258" s="19"/>
    </row>
    <row r="2259" spans="1:4" x14ac:dyDescent="0.25">
      <c r="A2259" t="s">
        <v>857</v>
      </c>
      <c r="B2259" t="s">
        <v>1031</v>
      </c>
      <c r="C2259" s="19">
        <v>1.1516129032258065</v>
      </c>
      <c r="D2259" s="19"/>
    </row>
    <row r="2260" spans="1:4" x14ac:dyDescent="0.25">
      <c r="A2260" t="s">
        <v>857</v>
      </c>
      <c r="B2260" t="s">
        <v>985</v>
      </c>
      <c r="C2260" s="19">
        <v>1.1516129032258065</v>
      </c>
      <c r="D2260" s="19"/>
    </row>
    <row r="2261" spans="1:4" x14ac:dyDescent="0.25">
      <c r="A2261" t="s">
        <v>858</v>
      </c>
      <c r="B2261" t="s">
        <v>1016</v>
      </c>
      <c r="C2261" s="19">
        <v>0.72580645161290325</v>
      </c>
      <c r="D2261" s="19"/>
    </row>
    <row r="2262" spans="1:4" x14ac:dyDescent="0.25">
      <c r="A2262" t="s">
        <v>858</v>
      </c>
      <c r="B2262" t="s">
        <v>1034</v>
      </c>
      <c r="C2262" s="19">
        <v>0.72580645161290325</v>
      </c>
      <c r="D2262" s="19"/>
    </row>
    <row r="2263" spans="1:4" x14ac:dyDescent="0.25">
      <c r="A2263" t="s">
        <v>858</v>
      </c>
      <c r="B2263" t="s">
        <v>1033</v>
      </c>
      <c r="C2263" s="19">
        <v>0.72580645161290325</v>
      </c>
      <c r="D2263" s="19"/>
    </row>
    <row r="2264" spans="1:4" x14ac:dyDescent="0.25">
      <c r="A2264" t="s">
        <v>859</v>
      </c>
      <c r="B2264" t="s">
        <v>1009</v>
      </c>
      <c r="C2264" s="19">
        <v>0.45714285714285713</v>
      </c>
      <c r="D2264" s="19"/>
    </row>
    <row r="2265" spans="1:4" x14ac:dyDescent="0.25">
      <c r="A2265" t="s">
        <v>859</v>
      </c>
      <c r="B2265" t="s">
        <v>1035</v>
      </c>
      <c r="C2265" s="19">
        <v>0.45714285714285713</v>
      </c>
      <c r="D2265" s="19"/>
    </row>
    <row r="2266" spans="1:4" x14ac:dyDescent="0.25">
      <c r="A2266" t="s">
        <v>861</v>
      </c>
      <c r="B2266" t="s">
        <v>1034</v>
      </c>
      <c r="C2266" s="19">
        <v>0.43664383561643838</v>
      </c>
      <c r="D2266" s="19"/>
    </row>
    <row r="2267" spans="1:4" x14ac:dyDescent="0.25">
      <c r="A2267" t="s">
        <v>861</v>
      </c>
      <c r="B2267" t="s">
        <v>1009</v>
      </c>
      <c r="C2267" s="19">
        <v>0.43664383561643838</v>
      </c>
      <c r="D2267" s="19"/>
    </row>
    <row r="2268" spans="1:4" x14ac:dyDescent="0.25">
      <c r="A2268" t="s">
        <v>861</v>
      </c>
      <c r="B2268" t="s">
        <v>1016</v>
      </c>
      <c r="C2268" s="19">
        <v>0.43664383561643838</v>
      </c>
      <c r="D2268" s="19"/>
    </row>
    <row r="2269" spans="1:4" x14ac:dyDescent="0.25">
      <c r="A2269" t="s">
        <v>861</v>
      </c>
      <c r="B2269" t="s">
        <v>1033</v>
      </c>
      <c r="C2269" s="19">
        <v>0.43664383561643838</v>
      </c>
      <c r="D2269" s="19"/>
    </row>
    <row r="2270" spans="1:4" x14ac:dyDescent="0.25">
      <c r="A2270" t="s">
        <v>861</v>
      </c>
      <c r="B2270" t="s">
        <v>1035</v>
      </c>
      <c r="C2270" s="19">
        <v>0.43664383561643838</v>
      </c>
      <c r="D2270" s="19"/>
    </row>
    <row r="2271" spans="1:4" x14ac:dyDescent="0.25">
      <c r="A2271" t="s">
        <v>867</v>
      </c>
      <c r="B2271" t="s">
        <v>1007</v>
      </c>
      <c r="C2271" s="19">
        <v>0.55677290836653381</v>
      </c>
      <c r="D2271" s="19"/>
    </row>
    <row r="2272" spans="1:4" x14ac:dyDescent="0.25">
      <c r="A2272" t="s">
        <v>867</v>
      </c>
      <c r="B2272" t="s">
        <v>997</v>
      </c>
      <c r="C2272" s="19">
        <v>0.55677290836653381</v>
      </c>
      <c r="D2272" s="19"/>
    </row>
    <row r="2273" spans="1:4" x14ac:dyDescent="0.25">
      <c r="A2273" t="s">
        <v>867</v>
      </c>
      <c r="B2273" t="s">
        <v>988</v>
      </c>
      <c r="C2273" s="19">
        <v>0.55677290836653381</v>
      </c>
      <c r="D2273" s="19"/>
    </row>
    <row r="2274" spans="1:4" x14ac:dyDescent="0.25">
      <c r="A2274" t="s">
        <v>867</v>
      </c>
      <c r="B2274" t="s">
        <v>1001</v>
      </c>
      <c r="C2274" s="19">
        <v>0.55677290836653381</v>
      </c>
      <c r="D2274" s="19"/>
    </row>
    <row r="2275" spans="1:4" x14ac:dyDescent="0.25">
      <c r="A2275" t="s">
        <v>868</v>
      </c>
      <c r="B2275" t="s">
        <v>997</v>
      </c>
      <c r="C2275" s="19">
        <v>1.3061224489795917</v>
      </c>
      <c r="D2275" s="19"/>
    </row>
    <row r="2276" spans="1:4" x14ac:dyDescent="0.25">
      <c r="A2276" t="s">
        <v>868</v>
      </c>
      <c r="B2276" t="s">
        <v>988</v>
      </c>
      <c r="C2276" s="19">
        <v>1.3061224489795917</v>
      </c>
      <c r="D2276" s="19"/>
    </row>
    <row r="2277" spans="1:4" x14ac:dyDescent="0.25">
      <c r="A2277" t="s">
        <v>868</v>
      </c>
      <c r="B2277" t="s">
        <v>1001</v>
      </c>
      <c r="C2277" s="19">
        <v>1.3061224489795917</v>
      </c>
      <c r="D2277" s="19"/>
    </row>
    <row r="2278" spans="1:4" x14ac:dyDescent="0.25">
      <c r="A2278" t="s">
        <v>869</v>
      </c>
      <c r="B2278" t="s">
        <v>1023</v>
      </c>
      <c r="C2278" s="19">
        <v>0.95918367346938771</v>
      </c>
      <c r="D2278" s="19"/>
    </row>
    <row r="2279" spans="1:4" x14ac:dyDescent="0.25">
      <c r="A2279" t="s">
        <v>869</v>
      </c>
      <c r="B2279" t="s">
        <v>1007</v>
      </c>
      <c r="C2279" s="19">
        <v>0.95918367346938771</v>
      </c>
      <c r="D2279" s="19"/>
    </row>
    <row r="2280" spans="1:4" x14ac:dyDescent="0.25">
      <c r="A2280" t="s">
        <v>869</v>
      </c>
      <c r="B2280" t="s">
        <v>1025</v>
      </c>
      <c r="C2280" s="19">
        <v>0.95918367346938771</v>
      </c>
      <c r="D2280" s="19"/>
    </row>
    <row r="2281" spans="1:4" x14ac:dyDescent="0.25">
      <c r="A2281" t="s">
        <v>872</v>
      </c>
      <c r="B2281" t="s">
        <v>994</v>
      </c>
      <c r="C2281" s="19">
        <v>1.027906976744186</v>
      </c>
      <c r="D2281" s="19"/>
    </row>
    <row r="2282" spans="1:4" x14ac:dyDescent="0.25">
      <c r="A2282" t="s">
        <v>872</v>
      </c>
      <c r="B2282" t="s">
        <v>1006</v>
      </c>
      <c r="C2282" s="19">
        <v>1.027906976744186</v>
      </c>
      <c r="D2282" s="19"/>
    </row>
    <row r="2283" spans="1:4" x14ac:dyDescent="0.25">
      <c r="A2283" t="s">
        <v>873</v>
      </c>
      <c r="B2283" t="s">
        <v>994</v>
      </c>
      <c r="C2283" s="19">
        <v>1.9491525423728813</v>
      </c>
      <c r="D2283" s="19"/>
    </row>
    <row r="2284" spans="1:4" x14ac:dyDescent="0.25">
      <c r="A2284" t="s">
        <v>873</v>
      </c>
      <c r="B2284" t="s">
        <v>1006</v>
      </c>
      <c r="C2284" s="19">
        <v>1.9491525423728813</v>
      </c>
      <c r="D2284" s="19"/>
    </row>
    <row r="2285" spans="1:4" x14ac:dyDescent="0.25">
      <c r="A2285" t="s">
        <v>874</v>
      </c>
      <c r="B2285" t="s">
        <v>1011</v>
      </c>
      <c r="C2285" s="19">
        <v>1</v>
      </c>
      <c r="D2285" s="19"/>
    </row>
    <row r="2286" spans="1:4" x14ac:dyDescent="0.25">
      <c r="A2286" t="s">
        <v>874</v>
      </c>
      <c r="B2286" t="s">
        <v>1013</v>
      </c>
      <c r="C2286" s="19">
        <v>1</v>
      </c>
      <c r="D2286" s="19"/>
    </row>
    <row r="2287" spans="1:4" x14ac:dyDescent="0.25">
      <c r="A2287" t="s">
        <v>875</v>
      </c>
      <c r="B2287" t="s">
        <v>994</v>
      </c>
      <c r="C2287" s="19">
        <v>1.4636752136752136</v>
      </c>
      <c r="D2287" s="19"/>
    </row>
    <row r="2288" spans="1:4" x14ac:dyDescent="0.25">
      <c r="A2288" t="s">
        <v>875</v>
      </c>
      <c r="B2288" t="s">
        <v>1006</v>
      </c>
      <c r="C2288" s="19">
        <v>1.4636752136752136</v>
      </c>
      <c r="D2288" s="19"/>
    </row>
    <row r="2289" spans="1:4" x14ac:dyDescent="0.25">
      <c r="A2289" t="s">
        <v>875</v>
      </c>
      <c r="B2289" t="s">
        <v>1013</v>
      </c>
      <c r="C2289" s="19">
        <v>1.4636752136752136</v>
      </c>
      <c r="D2289" s="19"/>
    </row>
    <row r="2290" spans="1:4" x14ac:dyDescent="0.25">
      <c r="A2290" t="s">
        <v>875</v>
      </c>
      <c r="B2290" t="s">
        <v>1011</v>
      </c>
      <c r="C2290" s="19">
        <v>1.4636752136752136</v>
      </c>
      <c r="D2290" s="19"/>
    </row>
    <row r="2291" spans="1:4" x14ac:dyDescent="0.25">
      <c r="A2291" t="s">
        <v>876</v>
      </c>
      <c r="B2291" t="s">
        <v>973</v>
      </c>
      <c r="C2291" s="19">
        <v>0.78341013824884798</v>
      </c>
      <c r="D2291" s="19"/>
    </row>
    <row r="2292" spans="1:4" x14ac:dyDescent="0.25">
      <c r="A2292" t="s">
        <v>876</v>
      </c>
      <c r="B2292" t="s">
        <v>1031</v>
      </c>
      <c r="C2292" s="19">
        <v>0.78341013824884798</v>
      </c>
      <c r="D2292" s="19"/>
    </row>
    <row r="2293" spans="1:4" x14ac:dyDescent="0.25">
      <c r="A2293" t="s">
        <v>878</v>
      </c>
      <c r="B2293" t="s">
        <v>973</v>
      </c>
      <c r="C2293" s="19">
        <v>0.59803043867502237</v>
      </c>
      <c r="D2293" s="19"/>
    </row>
    <row r="2294" spans="1:4" x14ac:dyDescent="0.25">
      <c r="A2294" t="s">
        <v>878</v>
      </c>
      <c r="B2294" t="s">
        <v>1031</v>
      </c>
      <c r="C2294" s="19">
        <v>0.59803043867502237</v>
      </c>
      <c r="D2294" s="19"/>
    </row>
    <row r="2295" spans="1:4" x14ac:dyDescent="0.25">
      <c r="A2295" t="s">
        <v>880</v>
      </c>
      <c r="B2295" t="s">
        <v>979</v>
      </c>
      <c r="C2295" s="19">
        <v>2.3502304147465436</v>
      </c>
      <c r="D2295" s="19"/>
    </row>
    <row r="2296" spans="1:4" x14ac:dyDescent="0.25">
      <c r="A2296" t="s">
        <v>880</v>
      </c>
      <c r="B2296" t="s">
        <v>981</v>
      </c>
      <c r="C2296" s="19">
        <v>2.3502304147465436</v>
      </c>
      <c r="D2296" s="19"/>
    </row>
    <row r="2297" spans="1:4" x14ac:dyDescent="0.25">
      <c r="A2297" t="s">
        <v>880</v>
      </c>
      <c r="B2297" t="s">
        <v>977</v>
      </c>
      <c r="C2297" s="19">
        <v>2.3502304147465436</v>
      </c>
      <c r="D2297" s="19"/>
    </row>
    <row r="2298" spans="1:4" x14ac:dyDescent="0.25">
      <c r="A2298" t="s">
        <v>880</v>
      </c>
      <c r="B2298" t="s">
        <v>1029</v>
      </c>
      <c r="C2298" s="19">
        <v>2.3502304147465436</v>
      </c>
      <c r="D2298" s="19"/>
    </row>
    <row r="2299" spans="1:4" x14ac:dyDescent="0.25">
      <c r="A2299" t="s">
        <v>882</v>
      </c>
      <c r="B2299" t="s">
        <v>986</v>
      </c>
      <c r="C2299" s="19">
        <v>2.8452380952380953</v>
      </c>
      <c r="D2299" s="19"/>
    </row>
    <row r="2300" spans="1:4" x14ac:dyDescent="0.25">
      <c r="A2300" t="s">
        <v>882</v>
      </c>
      <c r="B2300" t="s">
        <v>990</v>
      </c>
      <c r="C2300" s="19">
        <v>2.8452380952380953</v>
      </c>
      <c r="D2300" s="19"/>
    </row>
    <row r="2301" spans="1:4" x14ac:dyDescent="0.25">
      <c r="A2301" t="s">
        <v>882</v>
      </c>
      <c r="B2301" t="s">
        <v>989</v>
      </c>
      <c r="C2301" s="19">
        <v>2.8452380952380953</v>
      </c>
      <c r="D2301" s="19"/>
    </row>
    <row r="2302" spans="1:4" x14ac:dyDescent="0.25">
      <c r="A2302" t="s">
        <v>883</v>
      </c>
      <c r="B2302" t="s">
        <v>976</v>
      </c>
      <c r="C2302" s="19">
        <v>1.3333333333333333</v>
      </c>
      <c r="D2302" s="19"/>
    </row>
    <row r="2303" spans="1:4" x14ac:dyDescent="0.25">
      <c r="A2303" t="s">
        <v>883</v>
      </c>
      <c r="B2303" t="s">
        <v>987</v>
      </c>
      <c r="C2303" s="19">
        <v>1.3333333333333333</v>
      </c>
      <c r="D2303" s="19"/>
    </row>
    <row r="2304" spans="1:4" x14ac:dyDescent="0.25">
      <c r="A2304" t="s">
        <v>883</v>
      </c>
      <c r="B2304" t="s">
        <v>978</v>
      </c>
      <c r="C2304" s="19">
        <v>1.3333333333333333</v>
      </c>
      <c r="D2304" s="19"/>
    </row>
    <row r="2305" spans="1:4" x14ac:dyDescent="0.25">
      <c r="A2305" t="s">
        <v>884</v>
      </c>
      <c r="B2305" t="s">
        <v>974</v>
      </c>
      <c r="C2305" s="19">
        <v>2.0787878787878786</v>
      </c>
      <c r="D2305" s="19"/>
    </row>
    <row r="2306" spans="1:4" x14ac:dyDescent="0.25">
      <c r="A2306" t="s">
        <v>884</v>
      </c>
      <c r="B2306" t="s">
        <v>1032</v>
      </c>
      <c r="C2306" s="19">
        <v>2.0787878787878786</v>
      </c>
      <c r="D2306" s="19"/>
    </row>
    <row r="2307" spans="1:4" x14ac:dyDescent="0.25">
      <c r="A2307" t="s">
        <v>884</v>
      </c>
      <c r="B2307" t="s">
        <v>1008</v>
      </c>
      <c r="C2307" s="19">
        <v>2.0787878787878786</v>
      </c>
      <c r="D2307" s="19"/>
    </row>
    <row r="2308" spans="1:4" x14ac:dyDescent="0.25">
      <c r="A2308" t="s">
        <v>885</v>
      </c>
      <c r="B2308" t="s">
        <v>1009</v>
      </c>
      <c r="C2308" s="19">
        <v>0.44235924932975873</v>
      </c>
      <c r="D2308" s="19"/>
    </row>
    <row r="2309" spans="1:4" x14ac:dyDescent="0.25">
      <c r="A2309" t="s">
        <v>885</v>
      </c>
      <c r="B2309" t="s">
        <v>1033</v>
      </c>
      <c r="C2309" s="19">
        <v>0.44235924932975873</v>
      </c>
      <c r="D2309" s="19"/>
    </row>
    <row r="2310" spans="1:4" x14ac:dyDescent="0.25">
      <c r="A2310" t="s">
        <v>885</v>
      </c>
      <c r="B2310" t="s">
        <v>1035</v>
      </c>
      <c r="C2310" s="19">
        <v>0.44235924932975873</v>
      </c>
      <c r="D2310" s="19"/>
    </row>
    <row r="2311" spans="1:4" x14ac:dyDescent="0.25">
      <c r="A2311" t="s">
        <v>886</v>
      </c>
      <c r="B2311" t="s">
        <v>1016</v>
      </c>
      <c r="C2311" s="19">
        <v>0.49392712550607287</v>
      </c>
      <c r="D2311" s="19"/>
    </row>
    <row r="2312" spans="1:4" x14ac:dyDescent="0.25">
      <c r="A2312" t="s">
        <v>886</v>
      </c>
      <c r="B2312" t="s">
        <v>1034</v>
      </c>
      <c r="C2312" s="19">
        <v>0.49392712550607287</v>
      </c>
      <c r="D2312" s="19"/>
    </row>
    <row r="2313" spans="1:4" x14ac:dyDescent="0.25">
      <c r="A2313" t="s">
        <v>887</v>
      </c>
      <c r="B2313" t="s">
        <v>999</v>
      </c>
      <c r="C2313" s="19">
        <v>1.5714285714285714</v>
      </c>
      <c r="D2313" s="19"/>
    </row>
    <row r="2314" spans="1:4" x14ac:dyDescent="0.25">
      <c r="A2314" t="s">
        <v>887</v>
      </c>
      <c r="B2314" t="s">
        <v>1007</v>
      </c>
      <c r="C2314" s="19">
        <v>1.5714285714285714</v>
      </c>
      <c r="D2314" s="19"/>
    </row>
    <row r="2315" spans="1:4" x14ac:dyDescent="0.25">
      <c r="A2315" t="s">
        <v>887</v>
      </c>
      <c r="B2315" t="s">
        <v>997</v>
      </c>
      <c r="C2315" s="19">
        <v>1.5714285714285714</v>
      </c>
      <c r="D2315" s="19"/>
    </row>
    <row r="2316" spans="1:4" x14ac:dyDescent="0.25">
      <c r="A2316" t="s">
        <v>887</v>
      </c>
      <c r="B2316" t="s">
        <v>988</v>
      </c>
      <c r="C2316" s="19">
        <v>1.5714285714285714</v>
      </c>
      <c r="D2316" s="19"/>
    </row>
    <row r="2317" spans="1:4" x14ac:dyDescent="0.25">
      <c r="A2317" t="s">
        <v>889</v>
      </c>
      <c r="B2317" t="s">
        <v>1013</v>
      </c>
      <c r="C2317" s="19">
        <v>2.1702127659574466</v>
      </c>
      <c r="D2317" s="19"/>
    </row>
    <row r="2318" spans="1:4" x14ac:dyDescent="0.25">
      <c r="A2318" t="s">
        <v>889</v>
      </c>
      <c r="B2318" t="s">
        <v>1011</v>
      </c>
      <c r="C2318" s="19">
        <v>2.1702127659574466</v>
      </c>
      <c r="D2318" s="19"/>
    </row>
    <row r="2319" spans="1:4" x14ac:dyDescent="0.25">
      <c r="A2319" t="s">
        <v>889</v>
      </c>
      <c r="B2319" t="s">
        <v>1023</v>
      </c>
      <c r="C2319" s="19">
        <v>2.1702127659574466</v>
      </c>
      <c r="D2319" s="19"/>
    </row>
    <row r="2320" spans="1:4" x14ac:dyDescent="0.25">
      <c r="A2320" t="s">
        <v>889</v>
      </c>
      <c r="B2320" t="s">
        <v>1025</v>
      </c>
      <c r="C2320" s="19">
        <v>2.1702127659574466</v>
      </c>
      <c r="D2320" s="19"/>
    </row>
    <row r="2321" spans="1:4" x14ac:dyDescent="0.25">
      <c r="A2321" t="s">
        <v>890</v>
      </c>
      <c r="B2321" t="s">
        <v>994</v>
      </c>
      <c r="C2321" s="19">
        <v>3.5172413793103448</v>
      </c>
      <c r="D2321" s="19"/>
    </row>
    <row r="2322" spans="1:4" x14ac:dyDescent="0.25">
      <c r="A2322" t="s">
        <v>890</v>
      </c>
      <c r="B2322" t="s">
        <v>1006</v>
      </c>
      <c r="C2322" s="19">
        <v>3.5172413793103448</v>
      </c>
      <c r="D2322" s="19"/>
    </row>
    <row r="2323" spans="1:4" x14ac:dyDescent="0.25">
      <c r="A2323" t="s">
        <v>890</v>
      </c>
      <c r="B2323" t="s">
        <v>1004</v>
      </c>
      <c r="C2323" s="19">
        <v>3.5172413793103448</v>
      </c>
      <c r="D2323" s="19"/>
    </row>
    <row r="2324" spans="1:4" x14ac:dyDescent="0.25">
      <c r="A2324" t="s">
        <v>892</v>
      </c>
      <c r="B2324" t="s">
        <v>1052</v>
      </c>
      <c r="C2324" s="19">
        <v>1.5720524017467248</v>
      </c>
      <c r="D2324" s="19"/>
    </row>
    <row r="2325" spans="1:4" x14ac:dyDescent="0.25">
      <c r="A2325" t="s">
        <v>892</v>
      </c>
      <c r="B2325" t="s">
        <v>975</v>
      </c>
      <c r="C2325" s="19">
        <v>1.5720524017467248</v>
      </c>
      <c r="D2325" s="19"/>
    </row>
    <row r="2326" spans="1:4" x14ac:dyDescent="0.25">
      <c r="A2326" t="s">
        <v>892</v>
      </c>
      <c r="B2326" t="s">
        <v>1018</v>
      </c>
      <c r="C2326" s="19">
        <v>1.5720524017467248</v>
      </c>
      <c r="D2326" s="19"/>
    </row>
    <row r="2327" spans="1:4" x14ac:dyDescent="0.25">
      <c r="A2327" t="s">
        <v>892</v>
      </c>
      <c r="B2327" t="s">
        <v>1051</v>
      </c>
      <c r="C2327" s="19">
        <v>1.5720524017467248</v>
      </c>
      <c r="D2327" s="19"/>
    </row>
    <row r="2328" spans="1:4" x14ac:dyDescent="0.25">
      <c r="A2328" t="s">
        <v>892</v>
      </c>
      <c r="B2328" t="s">
        <v>988</v>
      </c>
      <c r="C2328" s="19">
        <v>1.5720524017467248</v>
      </c>
      <c r="D2328" s="19"/>
    </row>
    <row r="2329" spans="1:4" x14ac:dyDescent="0.25">
      <c r="A2329" t="s">
        <v>893</v>
      </c>
      <c r="B2329" t="s">
        <v>1052</v>
      </c>
      <c r="C2329" s="19">
        <v>2.96</v>
      </c>
      <c r="D2329" s="19"/>
    </row>
    <row r="2330" spans="1:4" x14ac:dyDescent="0.25">
      <c r="A2330" t="s">
        <v>893</v>
      </c>
      <c r="B2330" t="s">
        <v>989</v>
      </c>
      <c r="C2330" s="19">
        <v>2.96</v>
      </c>
      <c r="D2330" s="19"/>
    </row>
    <row r="2331" spans="1:4" x14ac:dyDescent="0.25">
      <c r="A2331" t="s">
        <v>893</v>
      </c>
      <c r="B2331" t="s">
        <v>1018</v>
      </c>
      <c r="C2331" s="19">
        <v>2.96</v>
      </c>
      <c r="D2331" s="19"/>
    </row>
    <row r="2332" spans="1:4" x14ac:dyDescent="0.25">
      <c r="A2332" t="s">
        <v>893</v>
      </c>
      <c r="B2332" t="s">
        <v>1051</v>
      </c>
      <c r="C2332" s="19">
        <v>2.96</v>
      </c>
      <c r="D2332" s="19"/>
    </row>
    <row r="2333" spans="1:4" x14ac:dyDescent="0.25">
      <c r="A2333" t="s">
        <v>896</v>
      </c>
      <c r="B2333" t="s">
        <v>975</v>
      </c>
      <c r="C2333" s="52">
        <v>0.66666666666666663</v>
      </c>
      <c r="D2333" s="19"/>
    </row>
    <row r="2334" spans="1:4" x14ac:dyDescent="0.25">
      <c r="A2334" t="s">
        <v>896</v>
      </c>
      <c r="B2334" t="s">
        <v>981</v>
      </c>
      <c r="C2334" s="52">
        <v>0.66666666666666663</v>
      </c>
      <c r="D2334" s="19"/>
    </row>
    <row r="2335" spans="1:4" x14ac:dyDescent="0.25">
      <c r="A2335" t="s">
        <v>898</v>
      </c>
      <c r="B2335" t="s">
        <v>977</v>
      </c>
      <c r="C2335" s="19">
        <v>1.0972222222222223</v>
      </c>
      <c r="D2335" s="19"/>
    </row>
    <row r="2336" spans="1:4" x14ac:dyDescent="0.25">
      <c r="A2336" t="s">
        <v>898</v>
      </c>
      <c r="B2336" t="s">
        <v>1016</v>
      </c>
      <c r="C2336" s="19">
        <v>1.0972222222222223</v>
      </c>
      <c r="D2336" s="19"/>
    </row>
    <row r="2337" spans="1:4" x14ac:dyDescent="0.25">
      <c r="A2337" t="s">
        <v>898</v>
      </c>
      <c r="B2337" t="s">
        <v>1029</v>
      </c>
      <c r="C2337" s="19">
        <v>1.0972222222222223</v>
      </c>
      <c r="D2337" s="19"/>
    </row>
    <row r="2338" spans="1:4" x14ac:dyDescent="0.25">
      <c r="A2338" t="s">
        <v>900</v>
      </c>
      <c r="B2338" t="s">
        <v>974</v>
      </c>
      <c r="C2338" s="19">
        <v>1.0277777777777777</v>
      </c>
      <c r="D2338" s="19"/>
    </row>
    <row r="2339" spans="1:4" x14ac:dyDescent="0.25">
      <c r="A2339" t="s">
        <v>900</v>
      </c>
      <c r="B2339" t="s">
        <v>978</v>
      </c>
      <c r="C2339" s="19">
        <v>1.0277777777777777</v>
      </c>
      <c r="D2339" s="19"/>
    </row>
    <row r="2340" spans="1:4" x14ac:dyDescent="0.25">
      <c r="A2340" t="s">
        <v>900</v>
      </c>
      <c r="B2340" t="s">
        <v>1008</v>
      </c>
      <c r="C2340" s="19">
        <v>1.0277777777777777</v>
      </c>
      <c r="D2340" s="19"/>
    </row>
    <row r="2341" spans="1:4" x14ac:dyDescent="0.25">
      <c r="A2341" t="s">
        <v>901</v>
      </c>
      <c r="B2341" t="s">
        <v>979</v>
      </c>
      <c r="C2341" s="19">
        <v>1.2361111111111112</v>
      </c>
      <c r="D2341" s="19"/>
    </row>
    <row r="2342" spans="1:4" x14ac:dyDescent="0.25">
      <c r="A2342" t="s">
        <v>901</v>
      </c>
      <c r="B2342" t="s">
        <v>990</v>
      </c>
      <c r="C2342" s="19">
        <v>1.2361111111111112</v>
      </c>
      <c r="D2342" s="19"/>
    </row>
    <row r="2343" spans="1:4" x14ac:dyDescent="0.25">
      <c r="A2343" t="s">
        <v>901</v>
      </c>
      <c r="B2343" t="s">
        <v>987</v>
      </c>
      <c r="C2343" s="19">
        <v>1.2361111111111112</v>
      </c>
      <c r="D2343" s="19"/>
    </row>
    <row r="2344" spans="1:4" x14ac:dyDescent="0.25">
      <c r="A2344" t="s">
        <v>902</v>
      </c>
      <c r="B2344" t="s">
        <v>973</v>
      </c>
      <c r="C2344" s="19">
        <v>1.3229166666666667</v>
      </c>
      <c r="D2344" s="19"/>
    </row>
    <row r="2345" spans="1:4" x14ac:dyDescent="0.25">
      <c r="A2345" t="s">
        <v>902</v>
      </c>
      <c r="B2345" t="s">
        <v>986</v>
      </c>
      <c r="C2345" s="19">
        <v>1.3229166666666667</v>
      </c>
      <c r="D2345" s="19"/>
    </row>
    <row r="2346" spans="1:4" x14ac:dyDescent="0.25">
      <c r="A2346" t="s">
        <v>902</v>
      </c>
      <c r="B2346" t="s">
        <v>976</v>
      </c>
      <c r="C2346" s="19">
        <v>1.3229166666666667</v>
      </c>
      <c r="D2346" s="19"/>
    </row>
    <row r="2347" spans="1:4" x14ac:dyDescent="0.25">
      <c r="A2347" t="s">
        <v>902</v>
      </c>
      <c r="B2347" t="s">
        <v>989</v>
      </c>
      <c r="C2347" s="19">
        <v>1.3229166666666667</v>
      </c>
      <c r="D2347" s="19"/>
    </row>
    <row r="2348" spans="1:4" x14ac:dyDescent="0.25">
      <c r="A2348" t="s">
        <v>903</v>
      </c>
      <c r="B2348" t="s">
        <v>999</v>
      </c>
      <c r="C2348" s="19">
        <v>1.515625</v>
      </c>
      <c r="D2348" s="19"/>
    </row>
    <row r="2349" spans="1:4" x14ac:dyDescent="0.25">
      <c r="A2349" t="s">
        <v>904</v>
      </c>
      <c r="B2349" t="s">
        <v>1013</v>
      </c>
      <c r="C2349" s="19">
        <v>1.0125</v>
      </c>
      <c r="D2349" s="19"/>
    </row>
    <row r="2350" spans="1:4" x14ac:dyDescent="0.25">
      <c r="A2350" t="s">
        <v>904</v>
      </c>
      <c r="B2350" t="s">
        <v>1011</v>
      </c>
      <c r="C2350" s="19">
        <v>1.0125</v>
      </c>
      <c r="D2350" s="19"/>
    </row>
    <row r="2351" spans="1:4" x14ac:dyDescent="0.25">
      <c r="A2351" t="s">
        <v>905</v>
      </c>
      <c r="B2351" t="s">
        <v>973</v>
      </c>
      <c r="C2351" s="19">
        <v>0.69230769230769229</v>
      </c>
      <c r="D2351" s="19"/>
    </row>
    <row r="2352" spans="1:4" x14ac:dyDescent="0.25">
      <c r="A2352" t="s">
        <v>905</v>
      </c>
      <c r="B2352" t="s">
        <v>986</v>
      </c>
      <c r="C2352" s="19">
        <v>0.69230769230769229</v>
      </c>
      <c r="D2352" s="19"/>
    </row>
    <row r="2353" spans="1:4" x14ac:dyDescent="0.25">
      <c r="A2353" t="s">
        <v>905</v>
      </c>
      <c r="B2353" t="s">
        <v>977</v>
      </c>
      <c r="C2353" s="19">
        <v>0.69230769230769229</v>
      </c>
      <c r="D2353" s="19"/>
    </row>
    <row r="2354" spans="1:4" x14ac:dyDescent="0.25">
      <c r="A2354" t="s">
        <v>906</v>
      </c>
      <c r="B2354" t="s">
        <v>974</v>
      </c>
      <c r="C2354" s="19">
        <v>0.70588235294117652</v>
      </c>
      <c r="D2354" s="19"/>
    </row>
    <row r="2355" spans="1:4" x14ac:dyDescent="0.25">
      <c r="A2355" t="s">
        <v>906</v>
      </c>
      <c r="B2355" t="s">
        <v>978</v>
      </c>
      <c r="C2355" s="19">
        <v>0.70588235294117652</v>
      </c>
      <c r="D2355" s="19"/>
    </row>
    <row r="2356" spans="1:4" x14ac:dyDescent="0.25">
      <c r="A2356" t="s">
        <v>906</v>
      </c>
      <c r="B2356" t="s">
        <v>1008</v>
      </c>
      <c r="C2356" s="19">
        <v>0.70588235294117652</v>
      </c>
      <c r="D2356" s="19"/>
    </row>
    <row r="2357" spans="1:4" x14ac:dyDescent="0.25">
      <c r="A2357" t="s">
        <v>907</v>
      </c>
      <c r="B2357" t="s">
        <v>979</v>
      </c>
      <c r="C2357" s="19">
        <v>0.78222222222222226</v>
      </c>
      <c r="D2357" s="19"/>
    </row>
    <row r="2358" spans="1:4" x14ac:dyDescent="0.25">
      <c r="A2358" t="s">
        <v>907</v>
      </c>
      <c r="B2358" t="s">
        <v>987</v>
      </c>
      <c r="C2358" s="19">
        <v>0.78222222222222226</v>
      </c>
      <c r="D2358" s="19"/>
    </row>
    <row r="2359" spans="1:4" x14ac:dyDescent="0.25">
      <c r="A2359" t="s">
        <v>907</v>
      </c>
      <c r="B2359" t="s">
        <v>990</v>
      </c>
      <c r="C2359" s="19">
        <v>0.78222222222222226</v>
      </c>
      <c r="D2359" s="19"/>
    </row>
    <row r="2360" spans="1:4" x14ac:dyDescent="0.25">
      <c r="A2360" t="s">
        <v>908</v>
      </c>
      <c r="B2360" t="s">
        <v>976</v>
      </c>
      <c r="C2360" s="19">
        <v>0.8</v>
      </c>
      <c r="D2360" s="19"/>
    </row>
    <row r="2361" spans="1:4" x14ac:dyDescent="0.25">
      <c r="A2361" t="s">
        <v>908</v>
      </c>
      <c r="B2361" t="s">
        <v>989</v>
      </c>
      <c r="C2361" s="19">
        <v>0.8</v>
      </c>
      <c r="D2361" s="19"/>
    </row>
    <row r="2362" spans="1:4" x14ac:dyDescent="0.25">
      <c r="A2362" t="s">
        <v>909</v>
      </c>
      <c r="B2362" t="s">
        <v>975</v>
      </c>
      <c r="C2362" s="52">
        <v>1.8</v>
      </c>
      <c r="D2362" s="19"/>
    </row>
    <row r="2363" spans="1:4" x14ac:dyDescent="0.25">
      <c r="A2363" t="s">
        <v>909</v>
      </c>
      <c r="B2363" t="s">
        <v>981</v>
      </c>
      <c r="C2363" s="52">
        <v>1.8</v>
      </c>
      <c r="D2363" s="19"/>
    </row>
    <row r="2364" spans="1:4" x14ac:dyDescent="0.25">
      <c r="A2364" t="s">
        <v>911</v>
      </c>
      <c r="B2364" t="s">
        <v>999</v>
      </c>
      <c r="C2364" s="45"/>
      <c r="D2364" s="19"/>
    </row>
    <row r="2365" spans="1:4" x14ac:dyDescent="0.25">
      <c r="A2365" t="s">
        <v>914</v>
      </c>
      <c r="B2365" t="s">
        <v>1013</v>
      </c>
      <c r="C2365" s="19">
        <v>0.81619047619047624</v>
      </c>
      <c r="D2365" s="19"/>
    </row>
    <row r="2366" spans="1:4" x14ac:dyDescent="0.25">
      <c r="A2366" t="s">
        <v>915</v>
      </c>
      <c r="B2366" t="s">
        <v>999</v>
      </c>
      <c r="C2366" s="45"/>
      <c r="D2366" s="19"/>
    </row>
    <row r="2367" spans="1:4" x14ac:dyDescent="0.25">
      <c r="A2367" t="s">
        <v>915</v>
      </c>
      <c r="B2367" t="s">
        <v>1011</v>
      </c>
      <c r="C2367" s="45"/>
      <c r="D2367" s="19"/>
    </row>
    <row r="2368" spans="1:4" x14ac:dyDescent="0.25">
      <c r="A2368" t="s">
        <v>916</v>
      </c>
      <c r="B2368" t="s">
        <v>975</v>
      </c>
      <c r="C2368" s="52">
        <v>0.78749999999999998</v>
      </c>
      <c r="D2368" s="19"/>
    </row>
    <row r="2369" spans="1:4" x14ac:dyDescent="0.25">
      <c r="A2369" t="s">
        <v>916</v>
      </c>
      <c r="B2369" t="s">
        <v>981</v>
      </c>
      <c r="C2369" s="52">
        <v>0.78749999999999998</v>
      </c>
      <c r="D2369" s="19"/>
    </row>
    <row r="2370" spans="1:4" x14ac:dyDescent="0.25">
      <c r="A2370" t="s">
        <v>916</v>
      </c>
      <c r="B2370" t="s">
        <v>990</v>
      </c>
      <c r="C2370" s="52">
        <v>0.78749999999999998</v>
      </c>
      <c r="D2370" s="19"/>
    </row>
    <row r="2371" spans="1:4" x14ac:dyDescent="0.25">
      <c r="A2371" t="s">
        <v>916</v>
      </c>
      <c r="B2371" t="s">
        <v>979</v>
      </c>
      <c r="C2371" s="52">
        <v>0.78749999999999998</v>
      </c>
      <c r="D2371" s="19"/>
    </row>
    <row r="2372" spans="1:4" x14ac:dyDescent="0.25">
      <c r="A2372" t="s">
        <v>917</v>
      </c>
      <c r="B2372" t="s">
        <v>973</v>
      </c>
      <c r="C2372" s="19">
        <v>1.1759999999999999</v>
      </c>
      <c r="D2372" s="19"/>
    </row>
    <row r="2373" spans="1:4" x14ac:dyDescent="0.25">
      <c r="A2373" t="s">
        <v>917</v>
      </c>
      <c r="B2373" t="s">
        <v>977</v>
      </c>
      <c r="C2373" s="19">
        <v>1.1759999999999999</v>
      </c>
      <c r="D2373" s="19"/>
    </row>
    <row r="2374" spans="1:4" x14ac:dyDescent="0.25">
      <c r="A2374" t="s">
        <v>919</v>
      </c>
      <c r="B2374" t="s">
        <v>974</v>
      </c>
      <c r="C2374" s="19">
        <v>1.5428571428571429</v>
      </c>
      <c r="D2374" s="19"/>
    </row>
    <row r="2375" spans="1:4" x14ac:dyDescent="0.25">
      <c r="A2375" t="s">
        <v>919</v>
      </c>
      <c r="B2375" t="s">
        <v>976</v>
      </c>
      <c r="C2375" s="19">
        <v>1.5428571428571429</v>
      </c>
      <c r="D2375" s="19"/>
    </row>
    <row r="2376" spans="1:4" x14ac:dyDescent="0.25">
      <c r="A2376" t="s">
        <v>921</v>
      </c>
      <c r="B2376" t="s">
        <v>987</v>
      </c>
      <c r="C2376" s="19">
        <v>1.0642857142857143</v>
      </c>
      <c r="D2376" s="19"/>
    </row>
    <row r="2377" spans="1:4" x14ac:dyDescent="0.25">
      <c r="A2377" t="s">
        <v>921</v>
      </c>
      <c r="B2377" t="s">
        <v>1008</v>
      </c>
      <c r="C2377" s="19">
        <v>1.0642857142857143</v>
      </c>
      <c r="D2377" s="19"/>
    </row>
    <row r="2378" spans="1:4" x14ac:dyDescent="0.25">
      <c r="A2378" t="s">
        <v>921</v>
      </c>
      <c r="B2378" t="s">
        <v>989</v>
      </c>
      <c r="C2378" s="19">
        <v>1.0642857142857143</v>
      </c>
      <c r="D2378" s="19"/>
    </row>
    <row r="2379" spans="1:4" x14ac:dyDescent="0.25">
      <c r="A2379" t="s">
        <v>923</v>
      </c>
      <c r="B2379" t="s">
        <v>1001</v>
      </c>
      <c r="C2379" s="19">
        <v>1.3714285714285714</v>
      </c>
      <c r="D2379" s="19"/>
    </row>
    <row r="2380" spans="1:4" x14ac:dyDescent="0.25">
      <c r="A2380" t="s">
        <v>924</v>
      </c>
      <c r="B2380" t="s">
        <v>1013</v>
      </c>
      <c r="C2380" s="19">
        <v>0.98984771573604058</v>
      </c>
      <c r="D2380" s="19"/>
    </row>
    <row r="2381" spans="1:4" x14ac:dyDescent="0.25">
      <c r="A2381" t="s">
        <v>924</v>
      </c>
      <c r="B2381" t="s">
        <v>1011</v>
      </c>
      <c r="C2381" s="19">
        <v>0.98984771573604058</v>
      </c>
      <c r="D2381" s="19"/>
    </row>
    <row r="2382" spans="1:4" x14ac:dyDescent="0.25">
      <c r="A2382" t="s">
        <v>924</v>
      </c>
      <c r="B2382" t="s">
        <v>1018</v>
      </c>
      <c r="C2382" s="19">
        <v>0.98984771573604058</v>
      </c>
      <c r="D2382" s="19"/>
    </row>
    <row r="2383" spans="1:4" x14ac:dyDescent="0.25">
      <c r="A2383" t="s">
        <v>925</v>
      </c>
      <c r="B2383" t="s">
        <v>975</v>
      </c>
      <c r="C2383" s="52">
        <v>0.375</v>
      </c>
      <c r="D2383" s="19"/>
    </row>
    <row r="2384" spans="1:4" x14ac:dyDescent="0.25">
      <c r="A2384" t="s">
        <v>925</v>
      </c>
      <c r="B2384" t="s">
        <v>981</v>
      </c>
      <c r="C2384" s="52">
        <v>0.375</v>
      </c>
      <c r="D2384" s="19"/>
    </row>
    <row r="2385" spans="1:4" x14ac:dyDescent="0.25">
      <c r="A2385" t="s">
        <v>925</v>
      </c>
      <c r="B2385" t="s">
        <v>990</v>
      </c>
      <c r="C2385" s="52">
        <v>0.375</v>
      </c>
      <c r="D2385" s="19"/>
    </row>
    <row r="2386" spans="1:4" x14ac:dyDescent="0.25">
      <c r="A2386" t="s">
        <v>927</v>
      </c>
      <c r="B2386" t="s">
        <v>973</v>
      </c>
      <c r="C2386" s="19">
        <v>1.2619047619047619</v>
      </c>
      <c r="D2386" s="19"/>
    </row>
    <row r="2387" spans="1:4" x14ac:dyDescent="0.25">
      <c r="A2387" t="s">
        <v>927</v>
      </c>
      <c r="B2387" t="s">
        <v>977</v>
      </c>
      <c r="C2387" s="19">
        <v>1.2619047619047619</v>
      </c>
      <c r="D2387" s="19"/>
    </row>
    <row r="2388" spans="1:4" x14ac:dyDescent="0.25">
      <c r="A2388" t="s">
        <v>927</v>
      </c>
      <c r="B2388" t="s">
        <v>973</v>
      </c>
      <c r="C2388" s="19">
        <v>1.2619047619047619</v>
      </c>
      <c r="D2388" s="19"/>
    </row>
    <row r="2389" spans="1:4" x14ac:dyDescent="0.25">
      <c r="A2389" t="s">
        <v>927</v>
      </c>
      <c r="B2389" t="s">
        <v>977</v>
      </c>
      <c r="C2389" s="19">
        <v>1.2619047619047619</v>
      </c>
      <c r="D2389" s="19"/>
    </row>
    <row r="2390" spans="1:4" x14ac:dyDescent="0.25">
      <c r="A2390" t="s">
        <v>928</v>
      </c>
      <c r="B2390" t="s">
        <v>973</v>
      </c>
      <c r="C2390" s="19">
        <v>1.3259668508287292</v>
      </c>
      <c r="D2390" s="19"/>
    </row>
    <row r="2391" spans="1:4" x14ac:dyDescent="0.25">
      <c r="A2391" t="s">
        <v>928</v>
      </c>
      <c r="B2391" t="s">
        <v>977</v>
      </c>
      <c r="C2391" s="19">
        <v>1.3259668508287292</v>
      </c>
      <c r="D2391" s="19"/>
    </row>
    <row r="2392" spans="1:4" x14ac:dyDescent="0.25">
      <c r="A2392" t="s">
        <v>928</v>
      </c>
      <c r="B2392" t="s">
        <v>973</v>
      </c>
      <c r="C2392" s="19">
        <v>1.3259668508287292</v>
      </c>
      <c r="D2392" s="19"/>
    </row>
    <row r="2393" spans="1:4" x14ac:dyDescent="0.25">
      <c r="A2393" t="s">
        <v>928</v>
      </c>
      <c r="B2393" t="s">
        <v>977</v>
      </c>
      <c r="C2393" s="19">
        <v>1.3259668508287292</v>
      </c>
      <c r="D2393" s="19"/>
    </row>
    <row r="2394" spans="1:4" x14ac:dyDescent="0.25">
      <c r="A2394" t="s">
        <v>929</v>
      </c>
      <c r="B2394" t="s">
        <v>987</v>
      </c>
      <c r="C2394" s="19">
        <v>1.2294117647058824</v>
      </c>
      <c r="D2394" s="19"/>
    </row>
    <row r="2395" spans="1:4" x14ac:dyDescent="0.25">
      <c r="A2395" t="s">
        <v>929</v>
      </c>
      <c r="B2395" t="s">
        <v>1008</v>
      </c>
      <c r="C2395" s="19">
        <v>1.2294117647058824</v>
      </c>
      <c r="D2395" s="19"/>
    </row>
    <row r="2396" spans="1:4" x14ac:dyDescent="0.25">
      <c r="A2396" t="s">
        <v>929</v>
      </c>
      <c r="B2396" t="s">
        <v>989</v>
      </c>
      <c r="C2396" s="19">
        <v>1.2294117647058824</v>
      </c>
      <c r="D2396" s="19"/>
    </row>
    <row r="2397" spans="1:4" x14ac:dyDescent="0.25">
      <c r="A2397" t="s">
        <v>929</v>
      </c>
      <c r="B2397" t="s">
        <v>987</v>
      </c>
      <c r="C2397" s="19">
        <v>1.2294117647058824</v>
      </c>
      <c r="D2397" s="19"/>
    </row>
    <row r="2398" spans="1:4" x14ac:dyDescent="0.25">
      <c r="A2398" t="s">
        <v>929</v>
      </c>
      <c r="B2398" t="s">
        <v>1008</v>
      </c>
      <c r="C2398" s="19">
        <v>1.2294117647058824</v>
      </c>
      <c r="D2398" s="19"/>
    </row>
    <row r="2399" spans="1:4" x14ac:dyDescent="0.25">
      <c r="A2399" t="s">
        <v>929</v>
      </c>
      <c r="B2399" t="s">
        <v>989</v>
      </c>
      <c r="C2399" s="19">
        <v>1.2294117647058824</v>
      </c>
      <c r="D2399" s="19"/>
    </row>
    <row r="2400" spans="1:4" x14ac:dyDescent="0.25">
      <c r="A2400" t="s">
        <v>930</v>
      </c>
      <c r="B2400" t="s">
        <v>974</v>
      </c>
      <c r="C2400" s="19">
        <v>1.5909803921568628</v>
      </c>
      <c r="D2400" s="19"/>
    </row>
    <row r="2401" spans="1:4" x14ac:dyDescent="0.25">
      <c r="A2401" t="s">
        <v>930</v>
      </c>
      <c r="B2401" t="s">
        <v>976</v>
      </c>
      <c r="C2401" s="19">
        <v>1.5909803921568628</v>
      </c>
      <c r="D2401" s="19"/>
    </row>
    <row r="2402" spans="1:4" x14ac:dyDescent="0.25">
      <c r="A2402" t="s">
        <v>930</v>
      </c>
      <c r="B2402" t="s">
        <v>1029</v>
      </c>
      <c r="C2402" s="19">
        <v>1.5909803921568628</v>
      </c>
      <c r="D2402" s="19"/>
    </row>
    <row r="2403" spans="1:4" x14ac:dyDescent="0.25">
      <c r="A2403" t="s">
        <v>930</v>
      </c>
      <c r="B2403" t="s">
        <v>974</v>
      </c>
      <c r="C2403" s="19">
        <v>1.5909803921568628</v>
      </c>
      <c r="D2403" s="19"/>
    </row>
    <row r="2404" spans="1:4" x14ac:dyDescent="0.25">
      <c r="A2404" t="s">
        <v>930</v>
      </c>
      <c r="B2404" t="s">
        <v>976</v>
      </c>
      <c r="C2404" s="19">
        <v>1.5909803921568628</v>
      </c>
      <c r="D2404" s="19"/>
    </row>
    <row r="2405" spans="1:4" x14ac:dyDescent="0.25">
      <c r="A2405" t="s">
        <v>930</v>
      </c>
      <c r="B2405" t="s">
        <v>1029</v>
      </c>
      <c r="C2405" s="19">
        <v>1.5909803921568628</v>
      </c>
      <c r="D2405" s="19"/>
    </row>
    <row r="2406" spans="1:4" x14ac:dyDescent="0.25">
      <c r="A2406" t="s">
        <v>931</v>
      </c>
      <c r="B2406" t="s">
        <v>979</v>
      </c>
      <c r="C2406" s="19">
        <v>2.093230403800475</v>
      </c>
      <c r="D2406" s="19"/>
    </row>
    <row r="2407" spans="1:4" x14ac:dyDescent="0.25">
      <c r="A2407" t="s">
        <v>931</v>
      </c>
      <c r="B2407" t="s">
        <v>978</v>
      </c>
      <c r="C2407" s="19">
        <v>2.093230403800475</v>
      </c>
      <c r="D2407" s="19"/>
    </row>
    <row r="2408" spans="1:4" x14ac:dyDescent="0.25">
      <c r="A2408" t="s">
        <v>931</v>
      </c>
      <c r="B2408" t="s">
        <v>979</v>
      </c>
      <c r="C2408" s="19">
        <v>2.093230403800475</v>
      </c>
      <c r="D2408" s="19"/>
    </row>
    <row r="2409" spans="1:4" x14ac:dyDescent="0.25">
      <c r="A2409" t="s">
        <v>931</v>
      </c>
      <c r="B2409" t="s">
        <v>978</v>
      </c>
      <c r="C2409" s="19">
        <v>2.093230403800475</v>
      </c>
      <c r="D2409" s="19"/>
    </row>
    <row r="2410" spans="1:4" x14ac:dyDescent="0.25">
      <c r="A2410" t="s">
        <v>933</v>
      </c>
      <c r="B2410" t="s">
        <v>1001</v>
      </c>
      <c r="C2410" s="19">
        <v>1.621875</v>
      </c>
      <c r="D2410" s="19"/>
    </row>
    <row r="2411" spans="1:4" x14ac:dyDescent="0.25">
      <c r="A2411" t="s">
        <v>933</v>
      </c>
      <c r="B2411" t="s">
        <v>1018</v>
      </c>
      <c r="C2411" s="19">
        <v>1.621875</v>
      </c>
      <c r="D2411" s="19"/>
    </row>
    <row r="2412" spans="1:4" x14ac:dyDescent="0.25">
      <c r="A2412" t="s">
        <v>934</v>
      </c>
      <c r="B2412" t="s">
        <v>1013</v>
      </c>
      <c r="C2412" s="19">
        <v>1.1000000000000001</v>
      </c>
      <c r="D2412" s="19"/>
    </row>
    <row r="2413" spans="1:4" x14ac:dyDescent="0.25">
      <c r="A2413" t="s">
        <v>934</v>
      </c>
      <c r="B2413" t="s">
        <v>1011</v>
      </c>
      <c r="C2413" s="19">
        <v>1.1000000000000001</v>
      </c>
      <c r="D2413" s="19"/>
    </row>
    <row r="2414" spans="1:4" x14ac:dyDescent="0.25">
      <c r="A2414" t="s">
        <v>934</v>
      </c>
      <c r="B2414" t="s">
        <v>1018</v>
      </c>
      <c r="C2414" s="19">
        <v>1.1000000000000001</v>
      </c>
      <c r="D2414" s="19"/>
    </row>
    <row r="2415" spans="1:4" x14ac:dyDescent="0.25">
      <c r="A2415" t="s">
        <v>936</v>
      </c>
      <c r="B2415" t="s">
        <v>990</v>
      </c>
      <c r="C2415" s="19">
        <v>0.88666666666666671</v>
      </c>
      <c r="D2415" s="19"/>
    </row>
    <row r="2416" spans="1:4" x14ac:dyDescent="0.25">
      <c r="A2416" t="s">
        <v>936</v>
      </c>
      <c r="B2416" t="s">
        <v>979</v>
      </c>
      <c r="C2416" s="19">
        <v>0.88666666666666671</v>
      </c>
      <c r="D2416" s="19"/>
    </row>
    <row r="2417" spans="1:4" x14ac:dyDescent="0.25">
      <c r="A2417" t="s">
        <v>936</v>
      </c>
      <c r="B2417" t="s">
        <v>981</v>
      </c>
      <c r="C2417" s="19">
        <v>0.88666666666666671</v>
      </c>
      <c r="D2417" s="19"/>
    </row>
    <row r="2418" spans="1:4" x14ac:dyDescent="0.25">
      <c r="A2418" t="s">
        <v>937</v>
      </c>
      <c r="B2418" t="s">
        <v>990</v>
      </c>
      <c r="C2418" s="19">
        <v>1.0545454545454545</v>
      </c>
      <c r="D2418" s="19"/>
    </row>
    <row r="2419" spans="1:4" x14ac:dyDescent="0.25">
      <c r="A2419" t="s">
        <v>937</v>
      </c>
      <c r="B2419" t="s">
        <v>979</v>
      </c>
      <c r="C2419" s="19">
        <v>1.0545454545454545</v>
      </c>
      <c r="D2419" s="19"/>
    </row>
    <row r="2420" spans="1:4" x14ac:dyDescent="0.25">
      <c r="A2420" t="s">
        <v>937</v>
      </c>
      <c r="B2420" t="s">
        <v>981</v>
      </c>
      <c r="C2420" s="19">
        <v>1.0545454545454545</v>
      </c>
      <c r="D2420" s="19"/>
    </row>
    <row r="2421" spans="1:4" x14ac:dyDescent="0.25">
      <c r="A2421" t="s">
        <v>938</v>
      </c>
      <c r="B2421" t="s">
        <v>974</v>
      </c>
      <c r="C2421" s="19">
        <v>1.316916488222698</v>
      </c>
      <c r="D2421" s="19"/>
    </row>
    <row r="2422" spans="1:4" x14ac:dyDescent="0.25">
      <c r="A2422" t="s">
        <v>938</v>
      </c>
      <c r="B2422" t="s">
        <v>976</v>
      </c>
      <c r="C2422" s="19">
        <v>1.316916488222698</v>
      </c>
      <c r="D2422" s="19"/>
    </row>
    <row r="2423" spans="1:4" x14ac:dyDescent="0.25">
      <c r="A2423" t="s">
        <v>938</v>
      </c>
      <c r="B2423" t="s">
        <v>977</v>
      </c>
      <c r="C2423" s="19">
        <v>1.316916488222698</v>
      </c>
      <c r="D2423" s="19"/>
    </row>
    <row r="2424" spans="1:4" x14ac:dyDescent="0.25">
      <c r="A2424" t="s">
        <v>939</v>
      </c>
      <c r="B2424" t="s">
        <v>974</v>
      </c>
      <c r="C2424" s="19">
        <v>0.96709200805910012</v>
      </c>
      <c r="D2424" s="19"/>
    </row>
    <row r="2425" spans="1:4" x14ac:dyDescent="0.25">
      <c r="A2425" t="s">
        <v>939</v>
      </c>
      <c r="B2425" t="s">
        <v>976</v>
      </c>
      <c r="C2425" s="19">
        <v>0.96709200805910012</v>
      </c>
      <c r="D2425" s="19"/>
    </row>
    <row r="2426" spans="1:4" x14ac:dyDescent="0.25">
      <c r="A2426" t="s">
        <v>939</v>
      </c>
      <c r="B2426" t="s">
        <v>977</v>
      </c>
      <c r="C2426" s="19">
        <v>0.96709200805910012</v>
      </c>
      <c r="D2426" s="19"/>
    </row>
    <row r="2427" spans="1:4" x14ac:dyDescent="0.25">
      <c r="A2427" t="s">
        <v>940</v>
      </c>
      <c r="B2427" t="s">
        <v>987</v>
      </c>
      <c r="C2427" s="19">
        <v>0.53166666666666662</v>
      </c>
      <c r="D2427" s="19"/>
    </row>
    <row r="2428" spans="1:4" x14ac:dyDescent="0.25">
      <c r="A2428" t="s">
        <v>940</v>
      </c>
      <c r="B2428" t="s">
        <v>978</v>
      </c>
      <c r="C2428" s="19">
        <v>0.53166666666666662</v>
      </c>
      <c r="D2428" s="19"/>
    </row>
    <row r="2429" spans="1:4" x14ac:dyDescent="0.25">
      <c r="A2429" t="s">
        <v>940</v>
      </c>
      <c r="B2429" t="s">
        <v>989</v>
      </c>
      <c r="C2429" s="19">
        <v>0.53166666666666662</v>
      </c>
      <c r="D2429" s="19"/>
    </row>
    <row r="2430" spans="1:4" x14ac:dyDescent="0.25">
      <c r="A2430" t="s">
        <v>940</v>
      </c>
      <c r="B2430" t="s">
        <v>1029</v>
      </c>
      <c r="C2430" s="19">
        <v>0.53166666666666662</v>
      </c>
      <c r="D2430" s="19"/>
    </row>
    <row r="2431" spans="1:4" x14ac:dyDescent="0.25">
      <c r="A2431" t="s">
        <v>941</v>
      </c>
      <c r="B2431" t="s">
        <v>987</v>
      </c>
      <c r="C2431" s="19">
        <v>0.95361941915908111</v>
      </c>
      <c r="D2431" s="19"/>
    </row>
    <row r="2432" spans="1:4" x14ac:dyDescent="0.25">
      <c r="A2432" t="s">
        <v>941</v>
      </c>
      <c r="B2432" t="s">
        <v>978</v>
      </c>
      <c r="C2432" s="19">
        <v>0.95361941915908111</v>
      </c>
      <c r="D2432" s="19"/>
    </row>
    <row r="2433" spans="1:4" x14ac:dyDescent="0.25">
      <c r="A2433" t="s">
        <v>941</v>
      </c>
      <c r="B2433" t="s">
        <v>989</v>
      </c>
      <c r="C2433" s="19">
        <v>0.95361941915908111</v>
      </c>
      <c r="D2433" s="19"/>
    </row>
    <row r="2434" spans="1:4" x14ac:dyDescent="0.25">
      <c r="A2434" t="s">
        <v>941</v>
      </c>
      <c r="B2434" t="s">
        <v>1029</v>
      </c>
      <c r="C2434" s="19">
        <v>0.95361941915908111</v>
      </c>
      <c r="D2434" s="19"/>
    </row>
    <row r="2435" spans="1:4" x14ac:dyDescent="0.25">
      <c r="A2435" t="s">
        <v>944</v>
      </c>
      <c r="B2435" t="s">
        <v>1001</v>
      </c>
      <c r="C2435" s="19">
        <v>2.2779369627507164</v>
      </c>
      <c r="D2435" s="19"/>
    </row>
    <row r="2436" spans="1:4" x14ac:dyDescent="0.25">
      <c r="A2436" t="s">
        <v>945</v>
      </c>
      <c r="B2436" t="s">
        <v>1001</v>
      </c>
      <c r="C2436" s="19">
        <v>1.437125748502994</v>
      </c>
      <c r="D2436" s="19"/>
    </row>
    <row r="2437" spans="1:4" x14ac:dyDescent="0.25">
      <c r="A2437" t="s">
        <v>946</v>
      </c>
      <c r="B2437" t="s">
        <v>1013</v>
      </c>
      <c r="C2437" s="19">
        <v>1.1875</v>
      </c>
      <c r="D2437" s="19"/>
    </row>
    <row r="2438" spans="1:4" x14ac:dyDescent="0.25">
      <c r="A2438" t="s">
        <v>946</v>
      </c>
      <c r="B2438" t="s">
        <v>1011</v>
      </c>
      <c r="C2438" s="19">
        <v>1.1875</v>
      </c>
      <c r="D2438" s="19"/>
    </row>
    <row r="2439" spans="1:4" x14ac:dyDescent="0.25">
      <c r="A2439" t="s">
        <v>946</v>
      </c>
      <c r="B2439" t="s">
        <v>1018</v>
      </c>
      <c r="C2439" s="19">
        <v>1.1875</v>
      </c>
      <c r="D2439" s="19"/>
    </row>
    <row r="2440" spans="1:4" x14ac:dyDescent="0.25">
      <c r="A2440" t="s">
        <v>947</v>
      </c>
      <c r="B2440" t="s">
        <v>975</v>
      </c>
      <c r="C2440" s="19">
        <v>3.13</v>
      </c>
      <c r="D2440" s="19"/>
    </row>
    <row r="2441" spans="1:4" x14ac:dyDescent="0.25">
      <c r="A2441" t="s">
        <v>947</v>
      </c>
      <c r="B2441" t="s">
        <v>981</v>
      </c>
      <c r="C2441" s="19">
        <v>3.13</v>
      </c>
      <c r="D2441" s="19"/>
    </row>
    <row r="2442" spans="1:4" x14ac:dyDescent="0.25">
      <c r="A2442" t="s">
        <v>948</v>
      </c>
      <c r="B2442" t="s">
        <v>979</v>
      </c>
      <c r="C2442" s="19">
        <v>1.4546874999999999</v>
      </c>
      <c r="D2442" s="19"/>
    </row>
    <row r="2443" spans="1:4" x14ac:dyDescent="0.25">
      <c r="A2443" t="s">
        <v>948</v>
      </c>
      <c r="B2443" t="s">
        <v>977</v>
      </c>
      <c r="C2443" s="19">
        <v>1.4546874999999999</v>
      </c>
      <c r="D2443" s="19"/>
    </row>
    <row r="2444" spans="1:4" x14ac:dyDescent="0.25">
      <c r="A2444" t="s">
        <v>948</v>
      </c>
      <c r="B2444" t="s">
        <v>973</v>
      </c>
      <c r="C2444" s="19">
        <v>1.4546874999999999</v>
      </c>
      <c r="D2444" s="19"/>
    </row>
    <row r="2445" spans="1:4" x14ac:dyDescent="0.25">
      <c r="A2445" t="s">
        <v>950</v>
      </c>
      <c r="B2445" t="s">
        <v>974</v>
      </c>
      <c r="C2445" s="19">
        <v>1.2457031249999999</v>
      </c>
      <c r="D2445" s="19"/>
    </row>
    <row r="2446" spans="1:4" x14ac:dyDescent="0.25">
      <c r="A2446" t="s">
        <v>950</v>
      </c>
      <c r="B2446" t="s">
        <v>976</v>
      </c>
      <c r="C2446" s="19">
        <v>1.2457031249999999</v>
      </c>
      <c r="D2446" s="19"/>
    </row>
    <row r="2447" spans="1:4" x14ac:dyDescent="0.25">
      <c r="A2447" t="s">
        <v>950</v>
      </c>
      <c r="B2447" t="s">
        <v>978</v>
      </c>
      <c r="C2447" s="19">
        <v>1.2457031249999999</v>
      </c>
      <c r="D2447" s="19"/>
    </row>
    <row r="2448" spans="1:4" x14ac:dyDescent="0.25">
      <c r="A2448" t="s">
        <v>950</v>
      </c>
      <c r="B2448" t="s">
        <v>987</v>
      </c>
      <c r="C2448" s="19">
        <v>1.2457031249999999</v>
      </c>
      <c r="D2448" s="19"/>
    </row>
    <row r="2449" spans="1:4" x14ac:dyDescent="0.25">
      <c r="A2449" t="s">
        <v>953</v>
      </c>
      <c r="B2449" t="s">
        <v>1013</v>
      </c>
      <c r="C2449" s="19">
        <v>1.0625</v>
      </c>
      <c r="D2449" s="19"/>
    </row>
    <row r="2450" spans="1:4" x14ac:dyDescent="0.25">
      <c r="A2450" t="s">
        <v>953</v>
      </c>
      <c r="B2450" t="s">
        <v>1011</v>
      </c>
      <c r="C2450" s="19">
        <v>1.0625</v>
      </c>
      <c r="D2450" s="19"/>
    </row>
    <row r="2451" spans="1:4" x14ac:dyDescent="0.25">
      <c r="A2451" t="s">
        <v>953</v>
      </c>
      <c r="B2451" t="s">
        <v>1018</v>
      </c>
      <c r="C2451" s="19">
        <v>1.0625</v>
      </c>
      <c r="D2451" s="19"/>
    </row>
    <row r="2452" spans="1:4" x14ac:dyDescent="0.25">
      <c r="A2452" s="46" t="s">
        <v>954</v>
      </c>
      <c r="B2452" t="s">
        <v>975</v>
      </c>
      <c r="C2452" s="19">
        <v>1.0874999999999999</v>
      </c>
      <c r="D2452" s="19"/>
    </row>
    <row r="2453" spans="1:4" x14ac:dyDescent="0.25">
      <c r="A2453" s="46" t="s">
        <v>954</v>
      </c>
      <c r="B2453" t="s">
        <v>981</v>
      </c>
      <c r="C2453" s="19">
        <v>1.0874999999999999</v>
      </c>
      <c r="D2453" s="19"/>
    </row>
    <row r="2454" spans="1:4" x14ac:dyDescent="0.25">
      <c r="A2454" t="s">
        <v>955</v>
      </c>
      <c r="B2454" t="s">
        <v>973</v>
      </c>
      <c r="C2454" s="19">
        <v>1.3815384615384616</v>
      </c>
      <c r="D2454" s="19"/>
    </row>
    <row r="2455" spans="1:4" x14ac:dyDescent="0.25">
      <c r="A2455" t="s">
        <v>955</v>
      </c>
      <c r="B2455" t="s">
        <v>1029</v>
      </c>
      <c r="C2455" s="19">
        <v>1.3815384615384616</v>
      </c>
      <c r="D2455" s="19"/>
    </row>
    <row r="2456" spans="1:4" x14ac:dyDescent="0.25">
      <c r="A2456" t="s">
        <v>955</v>
      </c>
      <c r="B2456" t="s">
        <v>979</v>
      </c>
      <c r="C2456" s="19">
        <v>1.3815384615384616</v>
      </c>
      <c r="D2456" s="19"/>
    </row>
    <row r="2457" spans="1:4" x14ac:dyDescent="0.25">
      <c r="A2457" s="46" t="s">
        <v>956</v>
      </c>
      <c r="B2457" t="s">
        <v>974</v>
      </c>
      <c r="C2457" s="19">
        <v>1.6746153846153846</v>
      </c>
      <c r="D2457" s="19"/>
    </row>
    <row r="2458" spans="1:4" x14ac:dyDescent="0.25">
      <c r="A2458" s="46" t="s">
        <v>956</v>
      </c>
      <c r="B2458" t="s">
        <v>976</v>
      </c>
      <c r="C2458" s="19">
        <v>1.6746153846153846</v>
      </c>
      <c r="D2458" s="19"/>
    </row>
    <row r="2459" spans="1:4" x14ac:dyDescent="0.25">
      <c r="A2459" s="46" t="s">
        <v>956</v>
      </c>
      <c r="B2459" t="s">
        <v>978</v>
      </c>
      <c r="C2459" s="19">
        <v>1.6746153846153846</v>
      </c>
      <c r="D2459" s="19"/>
    </row>
    <row r="2460" spans="1:4" x14ac:dyDescent="0.25">
      <c r="A2460" s="46" t="s">
        <v>957</v>
      </c>
      <c r="B2460" t="s">
        <v>987</v>
      </c>
      <c r="C2460" s="19">
        <v>0.77894736842105261</v>
      </c>
      <c r="D2460" s="19"/>
    </row>
    <row r="2461" spans="1:4" x14ac:dyDescent="0.25">
      <c r="A2461" s="46" t="s">
        <v>1130</v>
      </c>
      <c r="B2461" t="s">
        <v>1013</v>
      </c>
      <c r="C2461" s="19">
        <v>2.0104000000000002</v>
      </c>
      <c r="D2461" s="19"/>
    </row>
    <row r="2462" spans="1:4" x14ac:dyDescent="0.25">
      <c r="A2462" t="s">
        <v>960</v>
      </c>
      <c r="B2462" t="s">
        <v>975</v>
      </c>
      <c r="C2462" s="19">
        <v>0.83333333333333337</v>
      </c>
      <c r="D2462" s="19"/>
    </row>
    <row r="2463" spans="1:4" x14ac:dyDescent="0.25">
      <c r="A2463" t="s">
        <v>960</v>
      </c>
      <c r="B2463" t="s">
        <v>981</v>
      </c>
      <c r="C2463" s="19">
        <v>0.83333333333333337</v>
      </c>
      <c r="D2463" s="19"/>
    </row>
    <row r="2464" spans="1:4" x14ac:dyDescent="0.25">
      <c r="A2464" s="46" t="s">
        <v>962</v>
      </c>
      <c r="B2464" t="s">
        <v>975</v>
      </c>
      <c r="C2464" s="19">
        <v>1.25</v>
      </c>
      <c r="D2464" s="19"/>
    </row>
    <row r="2465" spans="1:4" x14ac:dyDescent="0.25">
      <c r="A2465" s="46" t="s">
        <v>962</v>
      </c>
      <c r="B2465" t="s">
        <v>981</v>
      </c>
      <c r="C2465" s="19">
        <v>1.25</v>
      </c>
      <c r="D2465" s="19"/>
    </row>
    <row r="2466" spans="1:4" x14ac:dyDescent="0.25">
      <c r="A2466" s="46" t="s">
        <v>963</v>
      </c>
      <c r="B2466" t="s">
        <v>975</v>
      </c>
      <c r="C2466" s="19">
        <v>1.7361111111111112</v>
      </c>
      <c r="D2466" s="19"/>
    </row>
    <row r="2467" spans="1:4" x14ac:dyDescent="0.25">
      <c r="A2467" s="46" t="s">
        <v>963</v>
      </c>
      <c r="B2467" t="s">
        <v>981</v>
      </c>
      <c r="C2467" s="19">
        <v>1.7361111111111112</v>
      </c>
      <c r="D2467" s="19"/>
    </row>
    <row r="2468" spans="1:4" x14ac:dyDescent="0.25">
      <c r="A2468" s="46" t="s">
        <v>1131</v>
      </c>
      <c r="B2468" t="s">
        <v>986</v>
      </c>
      <c r="C2468" s="19">
        <v>1.6611295681063123</v>
      </c>
      <c r="D2468" s="19"/>
    </row>
    <row r="2469" spans="1:4" x14ac:dyDescent="0.25">
      <c r="A2469" s="46" t="s">
        <v>1131</v>
      </c>
      <c r="B2469" t="s">
        <v>977</v>
      </c>
      <c r="C2469" s="19">
        <v>1.6611295681063123</v>
      </c>
      <c r="D2469" s="19"/>
    </row>
    <row r="2470" spans="1:4" x14ac:dyDescent="0.25">
      <c r="A2470" s="46" t="s">
        <v>1132</v>
      </c>
      <c r="B2470" t="s">
        <v>986</v>
      </c>
      <c r="C2470" s="19">
        <v>0</v>
      </c>
      <c r="D2470" s="19"/>
    </row>
    <row r="2471" spans="1:4" x14ac:dyDescent="0.25">
      <c r="A2471" s="46" t="s">
        <v>1132</v>
      </c>
      <c r="B2471" t="s">
        <v>977</v>
      </c>
      <c r="C2471" s="19">
        <v>0</v>
      </c>
      <c r="D2471" s="19"/>
    </row>
    <row r="2472" spans="1:4" x14ac:dyDescent="0.25">
      <c r="A2472" s="46" t="s">
        <v>1134</v>
      </c>
      <c r="B2472" t="s">
        <v>974</v>
      </c>
      <c r="C2472" s="19">
        <v>1.6611295681063123</v>
      </c>
      <c r="D2472" s="19"/>
    </row>
    <row r="2473" spans="1:4" x14ac:dyDescent="0.25">
      <c r="A2473" s="46" t="s">
        <v>1134</v>
      </c>
      <c r="B2473" t="s">
        <v>978</v>
      </c>
      <c r="C2473" s="19">
        <v>1.6611295681063123</v>
      </c>
      <c r="D2473" s="19"/>
    </row>
    <row r="2474" spans="1:4" x14ac:dyDescent="0.25">
      <c r="A2474" s="46" t="s">
        <v>1135</v>
      </c>
      <c r="B2474" t="s">
        <v>974</v>
      </c>
      <c r="C2474" s="19">
        <v>0</v>
      </c>
      <c r="D2474" s="19"/>
    </row>
    <row r="2475" spans="1:4" x14ac:dyDescent="0.25">
      <c r="A2475" s="46" t="s">
        <v>1135</v>
      </c>
      <c r="B2475" t="s">
        <v>978</v>
      </c>
      <c r="C2475" s="19">
        <v>0</v>
      </c>
      <c r="D2475" s="19"/>
    </row>
    <row r="2476" spans="1:4" x14ac:dyDescent="0.25">
      <c r="A2476" s="46" t="s">
        <v>1136</v>
      </c>
      <c r="B2476" t="s">
        <v>976</v>
      </c>
      <c r="C2476" s="19">
        <v>0.52325581395348841</v>
      </c>
      <c r="D2476" s="19"/>
    </row>
    <row r="2477" spans="1:4" x14ac:dyDescent="0.25">
      <c r="A2477" s="46" t="s">
        <v>1136</v>
      </c>
      <c r="B2477" t="s">
        <v>1008</v>
      </c>
      <c r="C2477" s="19">
        <v>0.52325581395348841</v>
      </c>
      <c r="D2477" s="19"/>
    </row>
    <row r="2478" spans="1:4" x14ac:dyDescent="0.25">
      <c r="A2478" s="46" t="s">
        <v>1138</v>
      </c>
      <c r="B2478" t="s">
        <v>973</v>
      </c>
      <c r="C2478" s="19">
        <v>1</v>
      </c>
      <c r="D2478" s="19"/>
    </row>
    <row r="2479" spans="1:4" x14ac:dyDescent="0.25">
      <c r="A2479" s="46" t="s">
        <v>1138</v>
      </c>
      <c r="B2479" t="s">
        <v>987</v>
      </c>
      <c r="C2479" s="19">
        <v>1</v>
      </c>
      <c r="D2479" s="19"/>
    </row>
    <row r="2480" spans="1:4" x14ac:dyDescent="0.25">
      <c r="A2480" s="46" t="s">
        <v>1139</v>
      </c>
      <c r="B2480" t="s">
        <v>975</v>
      </c>
      <c r="C2480" s="19">
        <v>1.1301684532924963</v>
      </c>
      <c r="D2480" s="19"/>
    </row>
    <row r="2481" spans="1:4" x14ac:dyDescent="0.25">
      <c r="A2481" s="46" t="s">
        <v>1139</v>
      </c>
      <c r="B2481" t="s">
        <v>981</v>
      </c>
      <c r="C2481" s="19">
        <v>1.1301684532924963</v>
      </c>
      <c r="D2481" s="19"/>
    </row>
    <row r="2482" spans="1:4" x14ac:dyDescent="0.25">
      <c r="A2482" s="46" t="s">
        <v>1139</v>
      </c>
      <c r="B2482" t="s">
        <v>990</v>
      </c>
      <c r="C2482" s="19">
        <v>1.1301684532924963</v>
      </c>
      <c r="D2482" s="19"/>
    </row>
    <row r="2483" spans="1:4" x14ac:dyDescent="0.25">
      <c r="A2483" s="46" t="s">
        <v>1139</v>
      </c>
      <c r="B2483" t="s">
        <v>1016</v>
      </c>
      <c r="C2483" s="19">
        <v>1.1301684532924963</v>
      </c>
      <c r="D2483" s="19"/>
    </row>
    <row r="2484" spans="1:4" x14ac:dyDescent="0.25">
      <c r="A2484" s="46" t="s">
        <v>1141</v>
      </c>
      <c r="B2484" t="s">
        <v>1013</v>
      </c>
      <c r="C2484" s="19">
        <v>1.0116000000000001</v>
      </c>
      <c r="D2484" s="19"/>
    </row>
    <row r="2485" spans="1:4" x14ac:dyDescent="0.25">
      <c r="A2485" s="46" t="s">
        <v>1141</v>
      </c>
      <c r="B2485" t="s">
        <v>1011</v>
      </c>
      <c r="C2485" s="19">
        <v>1.0116000000000001</v>
      </c>
      <c r="D2485" s="19"/>
    </row>
  </sheetData>
  <sortState xmlns:xlrd2="http://schemas.microsoft.com/office/spreadsheetml/2017/richdata2" ref="L775:L2262">
    <sortCondition ref="L775:L2262"/>
  </sortState>
  <phoneticPr fontId="3" type="noConversion"/>
  <conditionalFormatting sqref="Q5:Q6 Q9">
    <cfRule type="cellIs" dxfId="18" priority="3" operator="lessThanOrEqual">
      <formula>0</formula>
    </cfRule>
  </conditionalFormatting>
  <dataValidations count="3">
    <dataValidation type="list" allowBlank="1" showInputMessage="1" showErrorMessage="1" sqref="L1" xr:uid="{10796B98-2C81-44F2-A4E4-BCB3332BF283}">
      <formula1>INDIRECT("RES_RENDIMIENTO[MAQUILADOR]")</formula1>
    </dataValidation>
    <dataValidation type="list" allowBlank="1" showInputMessage="1" showErrorMessage="1" sqref="Q1" xr:uid="{0F967BF4-2135-43AE-9163-C18BD9E29548}">
      <formula1>INDIRECT("PLANPRODUCCION[ID REGISTRO]")</formula1>
    </dataValidation>
    <dataValidation type="list" allowBlank="1" showInputMessage="1" showErrorMessage="1" sqref="B2:B2485" xr:uid="{BA833C5C-161D-44AC-9D21-514C278ED87B}">
      <formula1>INDIRECT("MAQUILADORES[NOMBRE]")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1850F-F22F-464E-9281-6889FE74301F}">
  <sheetPr codeName="Hoja7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A6D95-0539-4BA4-A0B4-FADF07949E00}">
  <sheetPr codeName="Hoja2"/>
  <dimension ref="A1:D135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40.140625" customWidth="1"/>
    <col min="4" max="4" width="14" bestFit="1" customWidth="1"/>
  </cols>
  <sheetData>
    <row r="1" spans="1:4" x14ac:dyDescent="0.25">
      <c r="A1" t="s">
        <v>1053</v>
      </c>
      <c r="B1" t="s">
        <v>29</v>
      </c>
      <c r="C1" t="s">
        <v>968</v>
      </c>
      <c r="D1" t="s">
        <v>1054</v>
      </c>
    </row>
    <row r="2" spans="1:4" x14ac:dyDescent="0.25">
      <c r="A2" t="s">
        <v>1014</v>
      </c>
      <c r="B2" t="s">
        <v>1055</v>
      </c>
      <c r="C2" t="s">
        <v>602</v>
      </c>
      <c r="D2" s="1"/>
    </row>
    <row r="3" spans="1:4" x14ac:dyDescent="0.25">
      <c r="A3" t="s">
        <v>1051</v>
      </c>
      <c r="B3" t="s">
        <v>1056</v>
      </c>
      <c r="C3" t="s">
        <v>602</v>
      </c>
      <c r="D3" s="1"/>
    </row>
    <row r="4" spans="1:4" x14ac:dyDescent="0.25">
      <c r="A4" t="s">
        <v>1057</v>
      </c>
      <c r="B4" t="s">
        <v>1056</v>
      </c>
      <c r="C4" t="s">
        <v>602</v>
      </c>
      <c r="D4" s="1"/>
    </row>
    <row r="5" spans="1:4" x14ac:dyDescent="0.25">
      <c r="A5" t="s">
        <v>1023</v>
      </c>
      <c r="B5" t="s">
        <v>1058</v>
      </c>
      <c r="C5" t="s">
        <v>602</v>
      </c>
      <c r="D5" s="1"/>
    </row>
    <row r="6" spans="1:4" x14ac:dyDescent="0.25">
      <c r="A6" t="s">
        <v>1059</v>
      </c>
      <c r="B6" t="s">
        <v>1055</v>
      </c>
      <c r="C6" t="s">
        <v>602</v>
      </c>
      <c r="D6" s="1"/>
    </row>
    <row r="7" spans="1:4" x14ac:dyDescent="0.25">
      <c r="A7" t="s">
        <v>1006</v>
      </c>
      <c r="B7" t="s">
        <v>1056</v>
      </c>
      <c r="C7" t="s">
        <v>602</v>
      </c>
      <c r="D7" s="1"/>
    </row>
    <row r="8" spans="1:4" x14ac:dyDescent="0.25">
      <c r="A8" t="s">
        <v>1060</v>
      </c>
      <c r="B8" t="s">
        <v>1056</v>
      </c>
      <c r="C8" t="s">
        <v>602</v>
      </c>
      <c r="D8" s="1"/>
    </row>
    <row r="9" spans="1:4" x14ac:dyDescent="0.25">
      <c r="A9" t="s">
        <v>993</v>
      </c>
      <c r="B9" t="s">
        <v>1061</v>
      </c>
      <c r="C9" t="s">
        <v>602</v>
      </c>
      <c r="D9" s="1"/>
    </row>
    <row r="10" spans="1:4" x14ac:dyDescent="0.25">
      <c r="A10" t="s">
        <v>978</v>
      </c>
      <c r="B10" t="s">
        <v>1058</v>
      </c>
      <c r="C10" t="s">
        <v>602</v>
      </c>
      <c r="D10" s="1"/>
    </row>
    <row r="11" spans="1:4" x14ac:dyDescent="0.25">
      <c r="A11" t="s">
        <v>992</v>
      </c>
      <c r="B11" t="s">
        <v>1058</v>
      </c>
      <c r="C11" t="s">
        <v>602</v>
      </c>
      <c r="D11" s="1"/>
    </row>
    <row r="12" spans="1:4" x14ac:dyDescent="0.25">
      <c r="A12" t="s">
        <v>999</v>
      </c>
      <c r="B12" t="s">
        <v>1056</v>
      </c>
      <c r="C12" t="s">
        <v>602</v>
      </c>
      <c r="D12" s="1"/>
    </row>
    <row r="13" spans="1:4" x14ac:dyDescent="0.25">
      <c r="A13" t="s">
        <v>1011</v>
      </c>
      <c r="B13" t="s">
        <v>1056</v>
      </c>
      <c r="C13" t="s">
        <v>602</v>
      </c>
      <c r="D13" s="1"/>
    </row>
    <row r="14" spans="1:4" x14ac:dyDescent="0.25">
      <c r="A14" t="s">
        <v>1062</v>
      </c>
      <c r="B14" t="s">
        <v>1056</v>
      </c>
      <c r="C14" t="s">
        <v>602</v>
      </c>
      <c r="D14" s="1"/>
    </row>
    <row r="15" spans="1:4" x14ac:dyDescent="0.25">
      <c r="A15" t="s">
        <v>1027</v>
      </c>
      <c r="B15" t="s">
        <v>1056</v>
      </c>
      <c r="C15" t="s">
        <v>602</v>
      </c>
      <c r="D15" s="1"/>
    </row>
    <row r="16" spans="1:4" x14ac:dyDescent="0.25">
      <c r="A16" t="s">
        <v>1008</v>
      </c>
      <c r="B16" t="s">
        <v>1061</v>
      </c>
      <c r="C16" t="s">
        <v>602</v>
      </c>
      <c r="D16" s="1"/>
    </row>
    <row r="17" spans="1:4" x14ac:dyDescent="0.25">
      <c r="A17" t="s">
        <v>1063</v>
      </c>
      <c r="B17" t="s">
        <v>1055</v>
      </c>
      <c r="C17" t="s">
        <v>602</v>
      </c>
      <c r="D17" s="1"/>
    </row>
    <row r="18" spans="1:4" x14ac:dyDescent="0.25">
      <c r="A18" t="s">
        <v>1009</v>
      </c>
      <c r="B18" t="s">
        <v>1058</v>
      </c>
      <c r="C18" t="s">
        <v>602</v>
      </c>
      <c r="D18" s="1"/>
    </row>
    <row r="19" spans="1:4" x14ac:dyDescent="0.25">
      <c r="A19" t="s">
        <v>1026</v>
      </c>
      <c r="B19" t="s">
        <v>1064</v>
      </c>
      <c r="C19" t="s">
        <v>602</v>
      </c>
      <c r="D19" s="1"/>
    </row>
    <row r="20" spans="1:4" x14ac:dyDescent="0.25">
      <c r="A20" t="s">
        <v>1065</v>
      </c>
      <c r="B20" t="s">
        <v>1056</v>
      </c>
      <c r="C20" t="s">
        <v>602</v>
      </c>
      <c r="D20" s="1"/>
    </row>
    <row r="21" spans="1:4" x14ac:dyDescent="0.25">
      <c r="A21" t="s">
        <v>1002</v>
      </c>
      <c r="B21" t="s">
        <v>1056</v>
      </c>
      <c r="C21" t="s">
        <v>602</v>
      </c>
      <c r="D21" s="1"/>
    </row>
    <row r="22" spans="1:4" x14ac:dyDescent="0.25">
      <c r="A22" t="s">
        <v>1031</v>
      </c>
      <c r="B22" t="s">
        <v>1056</v>
      </c>
      <c r="C22" t="s">
        <v>602</v>
      </c>
      <c r="D22" s="1"/>
    </row>
    <row r="23" spans="1:4" x14ac:dyDescent="0.25">
      <c r="A23" t="s">
        <v>1066</v>
      </c>
      <c r="B23" t="s">
        <v>1061</v>
      </c>
      <c r="C23" t="s">
        <v>602</v>
      </c>
      <c r="D23" s="1"/>
    </row>
    <row r="24" spans="1:4" x14ac:dyDescent="0.25">
      <c r="A24" t="s">
        <v>1047</v>
      </c>
      <c r="B24" t="s">
        <v>1058</v>
      </c>
      <c r="C24" t="s">
        <v>602</v>
      </c>
      <c r="D24" s="1"/>
    </row>
    <row r="25" spans="1:4" x14ac:dyDescent="0.25">
      <c r="A25" t="s">
        <v>1012</v>
      </c>
      <c r="B25" t="s">
        <v>1055</v>
      </c>
      <c r="C25" t="s">
        <v>602</v>
      </c>
      <c r="D25" s="1"/>
    </row>
    <row r="26" spans="1:4" x14ac:dyDescent="0.25">
      <c r="A26" t="s">
        <v>1034</v>
      </c>
      <c r="B26" t="s">
        <v>1064</v>
      </c>
      <c r="C26" t="s">
        <v>602</v>
      </c>
      <c r="D26" s="1"/>
    </row>
    <row r="27" spans="1:4" x14ac:dyDescent="0.25">
      <c r="A27" t="s">
        <v>1010</v>
      </c>
      <c r="B27" t="s">
        <v>1058</v>
      </c>
      <c r="C27" t="s">
        <v>602</v>
      </c>
      <c r="D27" s="1"/>
    </row>
    <row r="28" spans="1:4" x14ac:dyDescent="0.25">
      <c r="A28" t="s">
        <v>1067</v>
      </c>
      <c r="B28" t="s">
        <v>1055</v>
      </c>
      <c r="C28" t="s">
        <v>602</v>
      </c>
      <c r="D28" s="1"/>
    </row>
    <row r="29" spans="1:4" x14ac:dyDescent="0.25">
      <c r="A29" t="s">
        <v>1029</v>
      </c>
      <c r="B29" t="s">
        <v>1056</v>
      </c>
      <c r="C29" t="s">
        <v>602</v>
      </c>
      <c r="D29" s="1"/>
    </row>
    <row r="30" spans="1:4" x14ac:dyDescent="0.25">
      <c r="A30" t="s">
        <v>1068</v>
      </c>
      <c r="B30" t="s">
        <v>1058</v>
      </c>
      <c r="C30" t="s">
        <v>602</v>
      </c>
      <c r="D30" s="1"/>
    </row>
    <row r="31" spans="1:4" x14ac:dyDescent="0.25">
      <c r="A31" t="s">
        <v>1069</v>
      </c>
      <c r="B31" t="s">
        <v>1058</v>
      </c>
      <c r="C31" t="s">
        <v>602</v>
      </c>
      <c r="D31" s="1"/>
    </row>
    <row r="32" spans="1:4" x14ac:dyDescent="0.25">
      <c r="A32" t="s">
        <v>1070</v>
      </c>
      <c r="B32" t="s">
        <v>1055</v>
      </c>
      <c r="C32" t="s">
        <v>602</v>
      </c>
      <c r="D32" s="1"/>
    </row>
    <row r="33" spans="1:4" x14ac:dyDescent="0.25">
      <c r="A33" t="s">
        <v>1071</v>
      </c>
      <c r="B33" t="s">
        <v>1056</v>
      </c>
      <c r="C33" t="s">
        <v>602</v>
      </c>
      <c r="D33" s="1"/>
    </row>
    <row r="34" spans="1:4" x14ac:dyDescent="0.25">
      <c r="A34" t="s">
        <v>1036</v>
      </c>
      <c r="B34" t="s">
        <v>1058</v>
      </c>
      <c r="C34" t="s">
        <v>602</v>
      </c>
      <c r="D34" s="1"/>
    </row>
    <row r="35" spans="1:4" x14ac:dyDescent="0.25">
      <c r="A35" t="s">
        <v>979</v>
      </c>
      <c r="B35" t="s">
        <v>1056</v>
      </c>
      <c r="C35" t="s">
        <v>602</v>
      </c>
      <c r="D35" s="1"/>
    </row>
    <row r="36" spans="1:4" x14ac:dyDescent="0.25">
      <c r="A36" t="s">
        <v>987</v>
      </c>
      <c r="B36" t="s">
        <v>1064</v>
      </c>
      <c r="C36" t="s">
        <v>602</v>
      </c>
      <c r="D36" s="1"/>
    </row>
    <row r="37" spans="1:4" x14ac:dyDescent="0.25">
      <c r="A37" t="s">
        <v>1072</v>
      </c>
      <c r="B37" t="s">
        <v>1058</v>
      </c>
      <c r="C37" t="s">
        <v>602</v>
      </c>
      <c r="D37" s="1"/>
    </row>
    <row r="38" spans="1:4" x14ac:dyDescent="0.25">
      <c r="A38" t="s">
        <v>1073</v>
      </c>
      <c r="B38" t="s">
        <v>1056</v>
      </c>
      <c r="C38" t="s">
        <v>602</v>
      </c>
      <c r="D38" s="1"/>
    </row>
    <row r="39" spans="1:4" x14ac:dyDescent="0.25">
      <c r="A39" t="s">
        <v>1074</v>
      </c>
      <c r="B39" t="s">
        <v>1064</v>
      </c>
      <c r="C39" t="s">
        <v>602</v>
      </c>
      <c r="D39" s="1"/>
    </row>
    <row r="40" spans="1:4" x14ac:dyDescent="0.25">
      <c r="A40" t="s">
        <v>998</v>
      </c>
      <c r="B40" t="s">
        <v>1055</v>
      </c>
      <c r="C40" t="s">
        <v>602</v>
      </c>
      <c r="D40" s="1"/>
    </row>
    <row r="41" spans="1:4" x14ac:dyDescent="0.25">
      <c r="A41" t="s">
        <v>1016</v>
      </c>
      <c r="B41" t="s">
        <v>1056</v>
      </c>
      <c r="C41" t="s">
        <v>602</v>
      </c>
      <c r="D41" s="1"/>
    </row>
    <row r="42" spans="1:4" x14ac:dyDescent="0.25">
      <c r="A42" t="s">
        <v>1075</v>
      </c>
      <c r="D42" s="1"/>
    </row>
    <row r="43" spans="1:4" x14ac:dyDescent="0.25">
      <c r="A43" t="s">
        <v>1005</v>
      </c>
      <c r="D43" s="1"/>
    </row>
    <row r="44" spans="1:4" x14ac:dyDescent="0.25">
      <c r="A44" t="s">
        <v>1076</v>
      </c>
      <c r="D44" s="1"/>
    </row>
    <row r="45" spans="1:4" x14ac:dyDescent="0.25">
      <c r="A45" t="s">
        <v>1077</v>
      </c>
      <c r="D45" s="1"/>
    </row>
    <row r="46" spans="1:4" x14ac:dyDescent="0.25">
      <c r="A46" t="s">
        <v>1038</v>
      </c>
      <c r="D46" s="1"/>
    </row>
    <row r="47" spans="1:4" x14ac:dyDescent="0.25">
      <c r="A47" t="s">
        <v>994</v>
      </c>
      <c r="D47" s="1"/>
    </row>
    <row r="48" spans="1:4" x14ac:dyDescent="0.25">
      <c r="A48" t="s">
        <v>1078</v>
      </c>
      <c r="D48" s="1"/>
    </row>
    <row r="49" spans="1:4" x14ac:dyDescent="0.25">
      <c r="A49" t="s">
        <v>1049</v>
      </c>
      <c r="D49" s="1"/>
    </row>
    <row r="50" spans="1:4" x14ac:dyDescent="0.25">
      <c r="A50" t="s">
        <v>1020</v>
      </c>
      <c r="D50" s="1"/>
    </row>
    <row r="51" spans="1:4" x14ac:dyDescent="0.25">
      <c r="A51" t="s">
        <v>1079</v>
      </c>
      <c r="D51" s="1"/>
    </row>
    <row r="52" spans="1:4" x14ac:dyDescent="0.25">
      <c r="A52" t="s">
        <v>1080</v>
      </c>
      <c r="D52" s="1"/>
    </row>
    <row r="53" spans="1:4" x14ac:dyDescent="0.25">
      <c r="A53" t="s">
        <v>1081</v>
      </c>
      <c r="D53" s="1"/>
    </row>
    <row r="54" spans="1:4" x14ac:dyDescent="0.25">
      <c r="A54" t="s">
        <v>1019</v>
      </c>
      <c r="D54" s="1"/>
    </row>
    <row r="55" spans="1:4" x14ac:dyDescent="0.25">
      <c r="A55" t="s">
        <v>1024</v>
      </c>
      <c r="D55" s="1"/>
    </row>
    <row r="56" spans="1:4" x14ac:dyDescent="0.25">
      <c r="A56" t="s">
        <v>1082</v>
      </c>
      <c r="D56" s="1"/>
    </row>
    <row r="57" spans="1:4" x14ac:dyDescent="0.25">
      <c r="A57" t="s">
        <v>1007</v>
      </c>
      <c r="D57" s="1"/>
    </row>
    <row r="58" spans="1:4" x14ac:dyDescent="0.25">
      <c r="A58" t="s">
        <v>1037</v>
      </c>
      <c r="B58" t="s">
        <v>1056</v>
      </c>
      <c r="C58" t="s">
        <v>606</v>
      </c>
      <c r="D58" s="1"/>
    </row>
    <row r="59" spans="1:4" x14ac:dyDescent="0.25">
      <c r="A59" t="s">
        <v>985</v>
      </c>
      <c r="D59" s="1"/>
    </row>
    <row r="60" spans="1:4" x14ac:dyDescent="0.25">
      <c r="A60" t="s">
        <v>1021</v>
      </c>
      <c r="D60" s="1"/>
    </row>
    <row r="61" spans="1:4" x14ac:dyDescent="0.25">
      <c r="A61" t="s">
        <v>980</v>
      </c>
      <c r="B61" t="s">
        <v>1056</v>
      </c>
      <c r="C61" t="s">
        <v>606</v>
      </c>
      <c r="D61" s="1"/>
    </row>
    <row r="62" spans="1:4" x14ac:dyDescent="0.25">
      <c r="A62" t="s">
        <v>1046</v>
      </c>
      <c r="C62" t="s">
        <v>606</v>
      </c>
      <c r="D62" s="1"/>
    </row>
    <row r="63" spans="1:4" x14ac:dyDescent="0.25">
      <c r="A63" t="s">
        <v>1083</v>
      </c>
      <c r="D63" s="1"/>
    </row>
    <row r="64" spans="1:4" x14ac:dyDescent="0.25">
      <c r="A64" t="s">
        <v>1084</v>
      </c>
      <c r="D64" s="1"/>
    </row>
    <row r="65" spans="1:4" x14ac:dyDescent="0.25">
      <c r="A65" t="s">
        <v>1085</v>
      </c>
      <c r="D65" s="1"/>
    </row>
    <row r="66" spans="1:4" x14ac:dyDescent="0.25">
      <c r="A66" t="s">
        <v>1086</v>
      </c>
      <c r="D66" s="1"/>
    </row>
    <row r="67" spans="1:4" x14ac:dyDescent="0.25">
      <c r="A67" t="s">
        <v>1040</v>
      </c>
      <c r="C67" t="s">
        <v>606</v>
      </c>
      <c r="D67" s="1"/>
    </row>
    <row r="68" spans="1:4" x14ac:dyDescent="0.25">
      <c r="A68" t="s">
        <v>989</v>
      </c>
      <c r="D68" s="1"/>
    </row>
    <row r="69" spans="1:4" x14ac:dyDescent="0.25">
      <c r="A69" t="s">
        <v>1087</v>
      </c>
      <c r="D69" s="1"/>
    </row>
    <row r="70" spans="1:4" x14ac:dyDescent="0.25">
      <c r="A70" t="s">
        <v>1043</v>
      </c>
      <c r="D70" s="1"/>
    </row>
    <row r="71" spans="1:4" x14ac:dyDescent="0.25">
      <c r="A71" t="s">
        <v>1088</v>
      </c>
      <c r="D71" s="1"/>
    </row>
    <row r="72" spans="1:4" x14ac:dyDescent="0.25">
      <c r="A72" t="s">
        <v>1045</v>
      </c>
      <c r="D72" s="1"/>
    </row>
    <row r="73" spans="1:4" x14ac:dyDescent="0.25">
      <c r="A73" t="s">
        <v>1089</v>
      </c>
      <c r="D73" s="1"/>
    </row>
    <row r="74" spans="1:4" x14ac:dyDescent="0.25">
      <c r="A74" t="s">
        <v>1050</v>
      </c>
      <c r="D74" s="1"/>
    </row>
    <row r="75" spans="1:4" x14ac:dyDescent="0.25">
      <c r="A75" t="s">
        <v>983</v>
      </c>
      <c r="D75" s="1"/>
    </row>
    <row r="76" spans="1:4" x14ac:dyDescent="0.25">
      <c r="A76" t="s">
        <v>1090</v>
      </c>
      <c r="D76" s="1"/>
    </row>
    <row r="77" spans="1:4" x14ac:dyDescent="0.25">
      <c r="A77" t="s">
        <v>1039</v>
      </c>
      <c r="C77" t="s">
        <v>606</v>
      </c>
      <c r="D77" s="1"/>
    </row>
    <row r="78" spans="1:4" x14ac:dyDescent="0.25">
      <c r="A78" t="s">
        <v>1091</v>
      </c>
      <c r="D78" s="1"/>
    </row>
    <row r="79" spans="1:4" x14ac:dyDescent="0.25">
      <c r="A79" t="s">
        <v>1044</v>
      </c>
      <c r="D79" s="1"/>
    </row>
    <row r="80" spans="1:4" x14ac:dyDescent="0.25">
      <c r="A80" t="s">
        <v>1044</v>
      </c>
      <c r="C80" t="s">
        <v>606</v>
      </c>
      <c r="D80" s="1"/>
    </row>
    <row r="81" spans="1:4" x14ac:dyDescent="0.25">
      <c r="A81" t="s">
        <v>1092</v>
      </c>
      <c r="D81" s="1"/>
    </row>
    <row r="82" spans="1:4" x14ac:dyDescent="0.25">
      <c r="A82" t="s">
        <v>1093</v>
      </c>
      <c r="D82" s="1"/>
    </row>
    <row r="83" spans="1:4" x14ac:dyDescent="0.25">
      <c r="A83" t="s">
        <v>1094</v>
      </c>
      <c r="D83" s="1"/>
    </row>
    <row r="84" spans="1:4" x14ac:dyDescent="0.25">
      <c r="A84" t="s">
        <v>1095</v>
      </c>
      <c r="D84" s="1"/>
    </row>
    <row r="85" spans="1:4" x14ac:dyDescent="0.25">
      <c r="A85" t="s">
        <v>1033</v>
      </c>
      <c r="D85" s="1"/>
    </row>
    <row r="86" spans="1:4" x14ac:dyDescent="0.25">
      <c r="A86" t="s">
        <v>1096</v>
      </c>
      <c r="D86" s="1"/>
    </row>
    <row r="87" spans="1:4" x14ac:dyDescent="0.25">
      <c r="A87" t="s">
        <v>1022</v>
      </c>
      <c r="D87" s="1"/>
    </row>
    <row r="88" spans="1:4" x14ac:dyDescent="0.25">
      <c r="A88" t="s">
        <v>1030</v>
      </c>
      <c r="D88" s="1"/>
    </row>
    <row r="89" spans="1:4" x14ac:dyDescent="0.25">
      <c r="A89" t="s">
        <v>1097</v>
      </c>
      <c r="D89" s="1"/>
    </row>
    <row r="90" spans="1:4" x14ac:dyDescent="0.25">
      <c r="A90" t="s">
        <v>1035</v>
      </c>
      <c r="D90" s="1"/>
    </row>
    <row r="91" spans="1:4" x14ac:dyDescent="0.25">
      <c r="A91" t="s">
        <v>1035</v>
      </c>
      <c r="D91" s="1"/>
    </row>
    <row r="92" spans="1:4" x14ac:dyDescent="0.25">
      <c r="A92" t="s">
        <v>1001</v>
      </c>
      <c r="D92" s="1"/>
    </row>
    <row r="93" spans="1:4" x14ac:dyDescent="0.25">
      <c r="A93" t="s">
        <v>1098</v>
      </c>
      <c r="D93" s="1"/>
    </row>
    <row r="94" spans="1:4" x14ac:dyDescent="0.25">
      <c r="A94" t="s">
        <v>1099</v>
      </c>
      <c r="D94" s="1"/>
    </row>
    <row r="95" spans="1:4" x14ac:dyDescent="0.25">
      <c r="A95" t="s">
        <v>1100</v>
      </c>
      <c r="D95" s="1"/>
    </row>
    <row r="96" spans="1:4" x14ac:dyDescent="0.25">
      <c r="A96" t="s">
        <v>1101</v>
      </c>
      <c r="D96" s="1"/>
    </row>
    <row r="97" spans="1:4" x14ac:dyDescent="0.25">
      <c r="A97" t="s">
        <v>995</v>
      </c>
      <c r="D97" s="1"/>
    </row>
    <row r="98" spans="1:4" x14ac:dyDescent="0.25">
      <c r="A98" t="s">
        <v>1025</v>
      </c>
      <c r="D98" s="1"/>
    </row>
    <row r="99" spans="1:4" x14ac:dyDescent="0.25">
      <c r="A99" t="s">
        <v>981</v>
      </c>
      <c r="D99" s="1"/>
    </row>
    <row r="100" spans="1:4" x14ac:dyDescent="0.25">
      <c r="A100" t="s">
        <v>990</v>
      </c>
      <c r="D100" s="1"/>
    </row>
    <row r="101" spans="1:4" x14ac:dyDescent="0.25">
      <c r="A101" t="s">
        <v>1102</v>
      </c>
      <c r="D101" s="1"/>
    </row>
    <row r="102" spans="1:4" x14ac:dyDescent="0.25">
      <c r="A102" t="s">
        <v>975</v>
      </c>
      <c r="D102" s="1"/>
    </row>
    <row r="103" spans="1:4" x14ac:dyDescent="0.25">
      <c r="A103" t="s">
        <v>1028</v>
      </c>
      <c r="D103" s="1"/>
    </row>
    <row r="104" spans="1:4" x14ac:dyDescent="0.25">
      <c r="A104" t="s">
        <v>1032</v>
      </c>
      <c r="D104" s="1"/>
    </row>
    <row r="105" spans="1:4" x14ac:dyDescent="0.25">
      <c r="A105" t="s">
        <v>1013</v>
      </c>
      <c r="D105" s="1"/>
    </row>
    <row r="106" spans="1:4" x14ac:dyDescent="0.25">
      <c r="A106" t="s">
        <v>1103</v>
      </c>
      <c r="D106" s="1"/>
    </row>
    <row r="107" spans="1:4" x14ac:dyDescent="0.25">
      <c r="A107" t="s">
        <v>974</v>
      </c>
      <c r="D107" s="1"/>
    </row>
    <row r="108" spans="1:4" x14ac:dyDescent="0.25">
      <c r="A108" t="s">
        <v>1104</v>
      </c>
      <c r="D108" s="1"/>
    </row>
    <row r="109" spans="1:4" x14ac:dyDescent="0.25">
      <c r="A109" t="s">
        <v>1105</v>
      </c>
      <c r="D109" s="1"/>
    </row>
    <row r="110" spans="1:4" x14ac:dyDescent="0.25">
      <c r="A110" t="s">
        <v>1042</v>
      </c>
      <c r="D110" s="1"/>
    </row>
    <row r="111" spans="1:4" x14ac:dyDescent="0.25">
      <c r="A111" t="s">
        <v>988</v>
      </c>
      <c r="D111" s="1"/>
    </row>
    <row r="112" spans="1:4" x14ac:dyDescent="0.25">
      <c r="A112" t="s">
        <v>1106</v>
      </c>
      <c r="D112" s="1"/>
    </row>
    <row r="113" spans="1:4" x14ac:dyDescent="0.25">
      <c r="A113" t="s">
        <v>1107</v>
      </c>
      <c r="D113" s="1"/>
    </row>
    <row r="114" spans="1:4" x14ac:dyDescent="0.25">
      <c r="A114" t="s">
        <v>1108</v>
      </c>
      <c r="D114" s="1"/>
    </row>
    <row r="115" spans="1:4" x14ac:dyDescent="0.25">
      <c r="A115" t="s">
        <v>976</v>
      </c>
      <c r="D115" s="1"/>
    </row>
    <row r="116" spans="1:4" x14ac:dyDescent="0.25">
      <c r="A116" t="s">
        <v>1018</v>
      </c>
      <c r="D116" s="1"/>
    </row>
    <row r="117" spans="1:4" x14ac:dyDescent="0.25">
      <c r="A117" t="s">
        <v>1109</v>
      </c>
      <c r="D117" s="1"/>
    </row>
    <row r="118" spans="1:4" x14ac:dyDescent="0.25">
      <c r="A118" t="s">
        <v>1110</v>
      </c>
      <c r="D118" s="1"/>
    </row>
    <row r="119" spans="1:4" x14ac:dyDescent="0.25">
      <c r="A119" t="s">
        <v>986</v>
      </c>
      <c r="D119" s="1"/>
    </row>
    <row r="120" spans="1:4" x14ac:dyDescent="0.25">
      <c r="A120" t="s">
        <v>1003</v>
      </c>
      <c r="C120" t="s">
        <v>606</v>
      </c>
      <c r="D120" s="1"/>
    </row>
    <row r="121" spans="1:4" x14ac:dyDescent="0.25">
      <c r="A121" t="s">
        <v>1052</v>
      </c>
      <c r="D121" s="1"/>
    </row>
    <row r="122" spans="1:4" x14ac:dyDescent="0.25">
      <c r="A122" t="s">
        <v>1111</v>
      </c>
      <c r="D122" s="1"/>
    </row>
    <row r="123" spans="1:4" x14ac:dyDescent="0.25">
      <c r="A123" t="s">
        <v>1112</v>
      </c>
      <c r="D123" s="1"/>
    </row>
    <row r="124" spans="1:4" x14ac:dyDescent="0.25">
      <c r="A124" t="s">
        <v>1048</v>
      </c>
      <c r="D124" s="1"/>
    </row>
    <row r="125" spans="1:4" x14ac:dyDescent="0.25">
      <c r="A125" t="s">
        <v>996</v>
      </c>
      <c r="D125" s="1"/>
    </row>
    <row r="126" spans="1:4" x14ac:dyDescent="0.25">
      <c r="A126" t="s">
        <v>977</v>
      </c>
      <c r="D126" s="1"/>
    </row>
    <row r="127" spans="1:4" x14ac:dyDescent="0.25">
      <c r="A127" t="s">
        <v>1015</v>
      </c>
      <c r="B127" t="s">
        <v>1055</v>
      </c>
      <c r="C127" t="s">
        <v>606</v>
      </c>
      <c r="D127" s="1"/>
    </row>
    <row r="128" spans="1:4" x14ac:dyDescent="0.25">
      <c r="A128" t="s">
        <v>1113</v>
      </c>
      <c r="D128" s="1"/>
    </row>
    <row r="129" spans="1:4" x14ac:dyDescent="0.25">
      <c r="A129" t="s">
        <v>997</v>
      </c>
      <c r="D129" s="1"/>
    </row>
    <row r="130" spans="1:4" x14ac:dyDescent="0.25">
      <c r="A130" t="s">
        <v>1000</v>
      </c>
      <c r="D130" s="1"/>
    </row>
    <row r="131" spans="1:4" x14ac:dyDescent="0.25">
      <c r="A131" t="s">
        <v>1041</v>
      </c>
      <c r="D131" s="1"/>
    </row>
    <row r="132" spans="1:4" x14ac:dyDescent="0.25">
      <c r="A132" t="s">
        <v>1017</v>
      </c>
      <c r="B132" t="s">
        <v>1055</v>
      </c>
      <c r="C132" t="s">
        <v>606</v>
      </c>
      <c r="D132" s="1"/>
    </row>
    <row r="133" spans="1:4" x14ac:dyDescent="0.25">
      <c r="A133" t="s">
        <v>1004</v>
      </c>
      <c r="D133" s="1"/>
    </row>
    <row r="134" spans="1:4" x14ac:dyDescent="0.25">
      <c r="A134" t="s">
        <v>973</v>
      </c>
      <c r="D134" s="1"/>
    </row>
    <row r="135" spans="1:4" x14ac:dyDescent="0.25">
      <c r="A135" t="s">
        <v>1114</v>
      </c>
      <c r="D135" s="1"/>
    </row>
  </sheetData>
  <dataValidations count="3">
    <dataValidation type="list" allowBlank="1" showInputMessage="1" showErrorMessage="1" sqref="B2:B135" xr:uid="{3617A51D-9FF5-4F8B-AEB7-F79BAF718763}">
      <formula1>INDIRECT("TURNOS[HORARIO]")</formula1>
    </dataValidation>
    <dataValidation type="list" showInputMessage="1" showErrorMessage="1" sqref="D2:D135" xr:uid="{258598AA-0402-4521-A22B-9F324D6A1697}">
      <formula1>INDIRECT("FEC_2025[FECHAS]")</formula1>
    </dataValidation>
    <dataValidation type="list" allowBlank="1" showInputMessage="1" showErrorMessage="1" sqref="C2:C135" xr:uid="{55082E90-5FD0-4709-8A0A-C8599C223B12}">
      <formula1>"SI,NO"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92902-9E5C-4DCD-A0B8-0C02A0961EEC}">
  <sheetPr codeName="Hoja3"/>
  <dimension ref="A1:E5"/>
  <sheetViews>
    <sheetView topLeftCell="B1" workbookViewId="0">
      <selection activeCell="B5" sqref="B5"/>
    </sheetView>
  </sheetViews>
  <sheetFormatPr baseColWidth="10" defaultColWidth="11.42578125" defaultRowHeight="15" x14ac:dyDescent="0.25"/>
  <cols>
    <col min="1" max="1" width="26.85546875" hidden="1" customWidth="1"/>
    <col min="2" max="2" width="15.85546875" bestFit="1" customWidth="1"/>
    <col min="3" max="4" width="12.85546875" bestFit="1" customWidth="1"/>
  </cols>
  <sheetData>
    <row r="1" spans="1:5" x14ac:dyDescent="0.25">
      <c r="A1" t="s">
        <v>1115</v>
      </c>
      <c r="B1" t="s">
        <v>1116</v>
      </c>
      <c r="C1" t="s">
        <v>1117</v>
      </c>
      <c r="D1" t="s">
        <v>1118</v>
      </c>
      <c r="E1" t="s">
        <v>1119</v>
      </c>
    </row>
    <row r="2" spans="1:5" x14ac:dyDescent="0.25">
      <c r="A2" t="str">
        <f>IF(PAGOSEMANAL[[#This Row],[FECHA INICIO]]="","",UPPER(_xlfn.CONCAT("SEMANA DEL ",DAY(PAGOSEMANAL[[#This Row],[FECHA INICIO]]),IF(MONTH(PAGOSEMANAL[[#This Row],[FECHA INICIO]])=MONTH(PAGOSEMANAL[[#This Row],[FECHA FIN]]),_xlfn.CONCAT(" AL ",DAY(PAGOSEMANAL[[#This Row],[FECHA FIN]])," DE ",TEXT(PAGOSEMANAL[[#This Row],[FECHA FIN]],"MMMM")),_xlfn.CONCAT(" DE ",TEXT(PAGOSEMANAL[[#This Row],[FECHA INICIO]],"MMMM")," AL ",DAY(PAGOSEMANAL[[#This Row],[FECHA FIN]])," DE ",TEXT(PAGOSEMANAL[[#This Row],[FECHA FIN]],"MMMM"))))))</f>
        <v>SEMANA DEL 1 AL 7 DE FEBRERO</v>
      </c>
      <c r="B2" s="1">
        <v>45689</v>
      </c>
      <c r="C2" s="1">
        <v>45695</v>
      </c>
      <c r="D2" s="4">
        <v>40300</v>
      </c>
      <c r="E2" s="4">
        <v>15000</v>
      </c>
    </row>
    <row r="3" spans="1:5" x14ac:dyDescent="0.25">
      <c r="A3" t="str">
        <f>IF(PAGOSEMANAL[[#This Row],[FECHA INICIO]]="","",UPPER(_xlfn.CONCAT("SEMANA DEL ",DAY(PAGOSEMANAL[[#This Row],[FECHA INICIO]]),IF(MONTH(PAGOSEMANAL[[#This Row],[FECHA INICIO]])=MONTH(PAGOSEMANAL[[#This Row],[FECHA FIN]]),_xlfn.CONCAT(" AL ",DAY(PAGOSEMANAL[[#This Row],[FECHA FIN]])," DE ",TEXT(PAGOSEMANAL[[#This Row],[FECHA FIN]],"MMMM")),_xlfn.CONCAT(" DE ",TEXT(PAGOSEMANAL[[#This Row],[FECHA INICIO]],"MMMM")," AL ",DAY(PAGOSEMANAL[[#This Row],[FECHA FIN]])," DE ",TEXT(PAGOSEMANAL[[#This Row],[FECHA FIN]],"MMMM"))))))</f>
        <v>SEMANA DEL 8 AL 14 DE FEBRERO</v>
      </c>
      <c r="B3" s="1">
        <v>45696</v>
      </c>
      <c r="C3" s="1">
        <v>45702</v>
      </c>
      <c r="D3" s="4">
        <v>45670</v>
      </c>
      <c r="E3" s="4">
        <v>5890</v>
      </c>
    </row>
    <row r="4" spans="1:5" x14ac:dyDescent="0.25">
      <c r="A4" t="str">
        <f>IF(PAGOSEMANAL[[#This Row],[FECHA INICIO]]="","",UPPER(_xlfn.CONCAT("SEMANA DEL ",DAY(PAGOSEMANAL[[#This Row],[FECHA INICIO]]),IF(MONTH(PAGOSEMANAL[[#This Row],[FECHA INICIO]])=MONTH(PAGOSEMANAL[[#This Row],[FECHA FIN]]),_xlfn.CONCAT(" AL ",DAY(PAGOSEMANAL[[#This Row],[FECHA FIN]])," DE ",TEXT(PAGOSEMANAL[[#This Row],[FECHA FIN]],"MMMM")),_xlfn.CONCAT(" DE ",TEXT(PAGOSEMANAL[[#This Row],[FECHA INICIO]],"MMMM")," AL ",DAY(PAGOSEMANAL[[#This Row],[FECHA FIN]])," DE ",TEXT(PAGOSEMANAL[[#This Row],[FECHA FIN]],"MMMM"))))))</f>
        <v>SEMANA DEL 15 AL 21 DE FEBRERO</v>
      </c>
      <c r="B4" s="1">
        <v>45703</v>
      </c>
      <c r="C4" s="1">
        <v>45709</v>
      </c>
      <c r="D4" s="4">
        <v>50345</v>
      </c>
      <c r="E4" s="4">
        <v>10300</v>
      </c>
    </row>
    <row r="5" spans="1:5" x14ac:dyDescent="0.25">
      <c r="A5" t="str">
        <f>IF(PAGOSEMANAL[[#This Row],[FECHA INICIO]]="","",UPPER(_xlfn.CONCAT("SEMANA DEL ",DAY(PAGOSEMANAL[[#This Row],[FECHA INICIO]]),IF(MONTH(PAGOSEMANAL[[#This Row],[FECHA INICIO]])=MONTH(PAGOSEMANAL[[#This Row],[FECHA FIN]]),_xlfn.CONCAT(" AL ",DAY(PAGOSEMANAL[[#This Row],[FECHA FIN]])," DE ",TEXT(PAGOSEMANAL[[#This Row],[FECHA FIN]],"MMMM")),_xlfn.CONCAT(" DE ",TEXT(PAGOSEMANAL[[#This Row],[FECHA INICIO]],"MMMM")," AL ",DAY(PAGOSEMANAL[[#This Row],[FECHA FIN]])," DE ",TEXT(PAGOSEMANAL[[#This Row],[FECHA FIN]],"MMMM"))))))</f>
        <v>SEMANA DEL 22 DE FEBRERO AL 22 DE ENERO</v>
      </c>
      <c r="B5" s="1">
        <v>45710</v>
      </c>
      <c r="C5" s="1">
        <v>45679</v>
      </c>
      <c r="D5" s="4">
        <v>48940</v>
      </c>
      <c r="E5" s="4">
        <v>6340</v>
      </c>
    </row>
  </sheetData>
  <dataValidations count="1">
    <dataValidation type="list" allowBlank="1" showInputMessage="1" showErrorMessage="1" sqref="B2:C5" xr:uid="{7C528446-7314-4CA7-AD67-8C3FE7622859}">
      <formula1>INDIRECT("FEC_2025[FECHAS]")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925CC-6A0F-44F0-8AD4-C0345B3100B1}">
  <sheetPr codeName="Hoja4"/>
  <dimension ref="A1:K366"/>
  <sheetViews>
    <sheetView workbookViewId="0">
      <selection activeCell="K8" sqref="K8"/>
    </sheetView>
  </sheetViews>
  <sheetFormatPr baseColWidth="10" defaultColWidth="11.42578125" defaultRowHeight="15" x14ac:dyDescent="0.25"/>
  <cols>
    <col min="2" max="2" width="4.7109375" customWidth="1"/>
    <col min="3" max="3" width="12" bestFit="1" customWidth="1"/>
    <col min="4" max="4" width="8.85546875" customWidth="1"/>
    <col min="5" max="5" width="6.140625" customWidth="1"/>
    <col min="6" max="6" width="11.28515625" customWidth="1"/>
    <col min="7" max="7" width="9.140625" customWidth="1"/>
    <col min="8" max="8" width="18" customWidth="1"/>
    <col min="9" max="9" width="20" customWidth="1"/>
    <col min="10" max="10" width="4.7109375" customWidth="1"/>
    <col min="11" max="11" width="22.140625" customWidth="1"/>
    <col min="12" max="12" width="4.7109375" customWidth="1"/>
  </cols>
  <sheetData>
    <row r="1" spans="1:11" x14ac:dyDescent="0.25">
      <c r="A1" t="s">
        <v>1120</v>
      </c>
      <c r="C1" t="s">
        <v>29</v>
      </c>
      <c r="D1" t="s">
        <v>1121</v>
      </c>
      <c r="E1" t="s">
        <v>1122</v>
      </c>
      <c r="F1" t="s">
        <v>1123</v>
      </c>
      <c r="G1" t="s">
        <v>1124</v>
      </c>
      <c r="H1" t="s">
        <v>1125</v>
      </c>
      <c r="I1" t="s">
        <v>1126</v>
      </c>
      <c r="K1" t="s">
        <v>1127</v>
      </c>
    </row>
    <row r="2" spans="1:11" x14ac:dyDescent="0.25">
      <c r="A2" s="1">
        <v>45658</v>
      </c>
      <c r="C2" t="s">
        <v>54</v>
      </c>
      <c r="D2" s="2">
        <v>0.25</v>
      </c>
      <c r="E2" s="2">
        <v>0.66666666666666663</v>
      </c>
      <c r="F2" s="2" t="s">
        <v>1056</v>
      </c>
      <c r="G2" s="3">
        <f>HOUR(E2)-HOUR(D2)</f>
        <v>10</v>
      </c>
      <c r="H2" s="4">
        <v>620</v>
      </c>
      <c r="I2" s="4">
        <f>H2/G2</f>
        <v>62</v>
      </c>
      <c r="K2" t="s">
        <v>57</v>
      </c>
    </row>
    <row r="3" spans="1:11" x14ac:dyDescent="0.25">
      <c r="A3" s="1">
        <v>45659</v>
      </c>
      <c r="C3" t="s">
        <v>67</v>
      </c>
      <c r="D3" s="2">
        <v>0.33333333333333331</v>
      </c>
      <c r="E3" s="2">
        <v>0.75</v>
      </c>
      <c r="F3" s="2" t="s">
        <v>1061</v>
      </c>
      <c r="G3" s="3">
        <f t="shared" ref="G3:G5" si="0">HOUR(E3)-HOUR(D3)</f>
        <v>10</v>
      </c>
      <c r="H3" s="4">
        <v>620</v>
      </c>
      <c r="I3" s="4">
        <f t="shared" ref="I3:I6" si="1">H3/G3</f>
        <v>62</v>
      </c>
      <c r="K3" t="s">
        <v>83</v>
      </c>
    </row>
    <row r="4" spans="1:11" x14ac:dyDescent="0.25">
      <c r="A4" s="1">
        <v>45660</v>
      </c>
      <c r="C4" t="s">
        <v>110</v>
      </c>
      <c r="D4" s="2">
        <v>0.54166666666666663</v>
      </c>
      <c r="E4" s="2">
        <v>0.875</v>
      </c>
      <c r="F4" s="2" t="s">
        <v>1064</v>
      </c>
      <c r="G4" s="3">
        <f t="shared" si="0"/>
        <v>8</v>
      </c>
      <c r="H4" s="4">
        <v>620</v>
      </c>
      <c r="I4" s="4">
        <f t="shared" si="1"/>
        <v>77.5</v>
      </c>
      <c r="K4" t="s">
        <v>283</v>
      </c>
    </row>
    <row r="5" spans="1:11" x14ac:dyDescent="0.25">
      <c r="A5" s="1">
        <v>45661</v>
      </c>
      <c r="C5" t="s">
        <v>72</v>
      </c>
      <c r="D5" s="2">
        <v>0.66666666666666663</v>
      </c>
      <c r="E5" s="2">
        <v>0.875</v>
      </c>
      <c r="F5" s="2" t="s">
        <v>1055</v>
      </c>
      <c r="G5" s="3">
        <f t="shared" si="0"/>
        <v>5</v>
      </c>
      <c r="H5" s="4">
        <v>310</v>
      </c>
      <c r="I5" s="4">
        <f t="shared" si="1"/>
        <v>62</v>
      </c>
      <c r="K5" t="s">
        <v>545</v>
      </c>
    </row>
    <row r="6" spans="1:11" x14ac:dyDescent="0.25">
      <c r="A6" s="1">
        <v>45662</v>
      </c>
      <c r="C6" t="s">
        <v>75</v>
      </c>
      <c r="D6" s="2">
        <v>0.875</v>
      </c>
      <c r="E6" s="2">
        <v>0.25</v>
      </c>
      <c r="F6" s="2" t="s">
        <v>1058</v>
      </c>
      <c r="G6" s="3">
        <f>HOUR(E6)+(24-HOUR(D6))</f>
        <v>9</v>
      </c>
      <c r="H6" s="4">
        <v>750</v>
      </c>
      <c r="I6" s="4">
        <f t="shared" si="1"/>
        <v>83.333333333333329</v>
      </c>
      <c r="K6" t="s">
        <v>65</v>
      </c>
    </row>
    <row r="7" spans="1:11" x14ac:dyDescent="0.25">
      <c r="A7" s="1">
        <v>45663</v>
      </c>
      <c r="K7" t="s">
        <v>1217</v>
      </c>
    </row>
    <row r="8" spans="1:11" x14ac:dyDescent="0.25">
      <c r="A8" s="1">
        <v>45664</v>
      </c>
    </row>
    <row r="9" spans="1:11" x14ac:dyDescent="0.25">
      <c r="A9" s="1">
        <v>45665</v>
      </c>
    </row>
    <row r="10" spans="1:11" x14ac:dyDescent="0.25">
      <c r="A10" s="1">
        <v>45666</v>
      </c>
    </row>
    <row r="11" spans="1:11" x14ac:dyDescent="0.25">
      <c r="A11" s="1">
        <v>45667</v>
      </c>
    </row>
    <row r="12" spans="1:11" x14ac:dyDescent="0.25">
      <c r="A12" s="1">
        <v>45668</v>
      </c>
    </row>
    <row r="13" spans="1:11" x14ac:dyDescent="0.25">
      <c r="A13" s="1">
        <v>45669</v>
      </c>
    </row>
    <row r="14" spans="1:11" x14ac:dyDescent="0.25">
      <c r="A14" s="1">
        <v>45670</v>
      </c>
    </row>
    <row r="15" spans="1:11" x14ac:dyDescent="0.25">
      <c r="A15" s="1">
        <v>45671</v>
      </c>
    </row>
    <row r="16" spans="1:11" x14ac:dyDescent="0.25">
      <c r="A16" s="1">
        <v>45672</v>
      </c>
    </row>
    <row r="17" spans="1:1" x14ac:dyDescent="0.25">
      <c r="A17" s="1">
        <v>45673</v>
      </c>
    </row>
    <row r="18" spans="1:1" x14ac:dyDescent="0.25">
      <c r="A18" s="1">
        <v>45674</v>
      </c>
    </row>
    <row r="19" spans="1:1" x14ac:dyDescent="0.25">
      <c r="A19" s="1">
        <v>45675</v>
      </c>
    </row>
    <row r="20" spans="1:1" x14ac:dyDescent="0.25">
      <c r="A20" s="1">
        <v>45676</v>
      </c>
    </row>
    <row r="21" spans="1:1" x14ac:dyDescent="0.25">
      <c r="A21" s="1">
        <v>45677</v>
      </c>
    </row>
    <row r="22" spans="1:1" x14ac:dyDescent="0.25">
      <c r="A22" s="1">
        <v>45678</v>
      </c>
    </row>
    <row r="23" spans="1:1" x14ac:dyDescent="0.25">
      <c r="A23" s="1">
        <v>45679</v>
      </c>
    </row>
    <row r="24" spans="1:1" x14ac:dyDescent="0.25">
      <c r="A24" s="1">
        <v>45680</v>
      </c>
    </row>
    <row r="25" spans="1:1" x14ac:dyDescent="0.25">
      <c r="A25" s="1">
        <v>45681</v>
      </c>
    </row>
    <row r="26" spans="1:1" x14ac:dyDescent="0.25">
      <c r="A26" s="1">
        <v>45682</v>
      </c>
    </row>
    <row r="27" spans="1:1" x14ac:dyDescent="0.25">
      <c r="A27" s="1">
        <v>45683</v>
      </c>
    </row>
    <row r="28" spans="1:1" x14ac:dyDescent="0.25">
      <c r="A28" s="1">
        <v>45684</v>
      </c>
    </row>
    <row r="29" spans="1:1" x14ac:dyDescent="0.25">
      <c r="A29" s="1">
        <v>45685</v>
      </c>
    </row>
    <row r="30" spans="1:1" x14ac:dyDescent="0.25">
      <c r="A30" s="1">
        <v>45686</v>
      </c>
    </row>
    <row r="31" spans="1:1" x14ac:dyDescent="0.25">
      <c r="A31" s="1">
        <v>45687</v>
      </c>
    </row>
    <row r="32" spans="1:1" x14ac:dyDescent="0.25">
      <c r="A32" s="1">
        <v>45688</v>
      </c>
    </row>
    <row r="33" spans="1:1" x14ac:dyDescent="0.25">
      <c r="A33" s="1">
        <v>45689</v>
      </c>
    </row>
    <row r="34" spans="1:1" x14ac:dyDescent="0.25">
      <c r="A34" s="1">
        <v>45690</v>
      </c>
    </row>
    <row r="35" spans="1:1" x14ac:dyDescent="0.25">
      <c r="A35" s="1">
        <v>45691</v>
      </c>
    </row>
    <row r="36" spans="1:1" x14ac:dyDescent="0.25">
      <c r="A36" s="1">
        <v>45692</v>
      </c>
    </row>
    <row r="37" spans="1:1" x14ac:dyDescent="0.25">
      <c r="A37" s="1">
        <v>45693</v>
      </c>
    </row>
    <row r="38" spans="1:1" x14ac:dyDescent="0.25">
      <c r="A38" s="1">
        <v>45694</v>
      </c>
    </row>
    <row r="39" spans="1:1" x14ac:dyDescent="0.25">
      <c r="A39" s="1">
        <v>45695</v>
      </c>
    </row>
    <row r="40" spans="1:1" x14ac:dyDescent="0.25">
      <c r="A40" s="1">
        <v>45696</v>
      </c>
    </row>
    <row r="41" spans="1:1" x14ac:dyDescent="0.25">
      <c r="A41" s="1">
        <v>45697</v>
      </c>
    </row>
    <row r="42" spans="1:1" x14ac:dyDescent="0.25">
      <c r="A42" s="1">
        <v>45698</v>
      </c>
    </row>
    <row r="43" spans="1:1" x14ac:dyDescent="0.25">
      <c r="A43" s="1">
        <v>45699</v>
      </c>
    </row>
    <row r="44" spans="1:1" x14ac:dyDescent="0.25">
      <c r="A44" s="1">
        <v>45700</v>
      </c>
    </row>
    <row r="45" spans="1:1" x14ac:dyDescent="0.25">
      <c r="A45" s="1">
        <v>45701</v>
      </c>
    </row>
    <row r="46" spans="1:1" x14ac:dyDescent="0.25">
      <c r="A46" s="1">
        <v>45702</v>
      </c>
    </row>
    <row r="47" spans="1:1" x14ac:dyDescent="0.25">
      <c r="A47" s="1">
        <v>45703</v>
      </c>
    </row>
    <row r="48" spans="1:1" x14ac:dyDescent="0.25">
      <c r="A48" s="1">
        <v>45704</v>
      </c>
    </row>
    <row r="49" spans="1:1" x14ac:dyDescent="0.25">
      <c r="A49" s="1">
        <v>45705</v>
      </c>
    </row>
    <row r="50" spans="1:1" x14ac:dyDescent="0.25">
      <c r="A50" s="1">
        <v>45706</v>
      </c>
    </row>
    <row r="51" spans="1:1" x14ac:dyDescent="0.25">
      <c r="A51" s="1">
        <v>45707</v>
      </c>
    </row>
    <row r="52" spans="1:1" x14ac:dyDescent="0.25">
      <c r="A52" s="1">
        <v>45708</v>
      </c>
    </row>
    <row r="53" spans="1:1" x14ac:dyDescent="0.25">
      <c r="A53" s="1">
        <v>45709</v>
      </c>
    </row>
    <row r="54" spans="1:1" x14ac:dyDescent="0.25">
      <c r="A54" s="1">
        <v>45710</v>
      </c>
    </row>
    <row r="55" spans="1:1" x14ac:dyDescent="0.25">
      <c r="A55" s="1">
        <v>45711</v>
      </c>
    </row>
    <row r="56" spans="1:1" x14ac:dyDescent="0.25">
      <c r="A56" s="1">
        <v>45712</v>
      </c>
    </row>
    <row r="57" spans="1:1" x14ac:dyDescent="0.25">
      <c r="A57" s="1">
        <v>45713</v>
      </c>
    </row>
    <row r="58" spans="1:1" x14ac:dyDescent="0.25">
      <c r="A58" s="1">
        <v>45714</v>
      </c>
    </row>
    <row r="59" spans="1:1" x14ac:dyDescent="0.25">
      <c r="A59" s="1">
        <v>45715</v>
      </c>
    </row>
    <row r="60" spans="1:1" x14ac:dyDescent="0.25">
      <c r="A60" s="1">
        <v>45716</v>
      </c>
    </row>
    <row r="61" spans="1:1" x14ac:dyDescent="0.25">
      <c r="A61" s="1">
        <v>45717</v>
      </c>
    </row>
    <row r="62" spans="1:1" x14ac:dyDescent="0.25">
      <c r="A62" s="1">
        <v>45718</v>
      </c>
    </row>
    <row r="63" spans="1:1" x14ac:dyDescent="0.25">
      <c r="A63" s="1">
        <v>45719</v>
      </c>
    </row>
    <row r="64" spans="1:1" x14ac:dyDescent="0.25">
      <c r="A64" s="1">
        <v>45720</v>
      </c>
    </row>
    <row r="65" spans="1:1" x14ac:dyDescent="0.25">
      <c r="A65" s="1">
        <v>45721</v>
      </c>
    </row>
    <row r="66" spans="1:1" x14ac:dyDescent="0.25">
      <c r="A66" s="1">
        <v>45722</v>
      </c>
    </row>
    <row r="67" spans="1:1" x14ac:dyDescent="0.25">
      <c r="A67" s="1">
        <v>45723</v>
      </c>
    </row>
    <row r="68" spans="1:1" x14ac:dyDescent="0.25">
      <c r="A68" s="1">
        <v>45724</v>
      </c>
    </row>
    <row r="69" spans="1:1" x14ac:dyDescent="0.25">
      <c r="A69" s="1">
        <v>45725</v>
      </c>
    </row>
    <row r="70" spans="1:1" x14ac:dyDescent="0.25">
      <c r="A70" s="1">
        <v>45726</v>
      </c>
    </row>
    <row r="71" spans="1:1" x14ac:dyDescent="0.25">
      <c r="A71" s="1">
        <v>45727</v>
      </c>
    </row>
    <row r="72" spans="1:1" x14ac:dyDescent="0.25">
      <c r="A72" s="1">
        <v>45728</v>
      </c>
    </row>
    <row r="73" spans="1:1" x14ac:dyDescent="0.25">
      <c r="A73" s="1">
        <v>45729</v>
      </c>
    </row>
    <row r="74" spans="1:1" x14ac:dyDescent="0.25">
      <c r="A74" s="1">
        <v>45730</v>
      </c>
    </row>
    <row r="75" spans="1:1" x14ac:dyDescent="0.25">
      <c r="A75" s="1">
        <v>45731</v>
      </c>
    </row>
    <row r="76" spans="1:1" x14ac:dyDescent="0.25">
      <c r="A76" s="1">
        <v>45732</v>
      </c>
    </row>
    <row r="77" spans="1:1" x14ac:dyDescent="0.25">
      <c r="A77" s="1">
        <v>45733</v>
      </c>
    </row>
    <row r="78" spans="1:1" x14ac:dyDescent="0.25">
      <c r="A78" s="1">
        <v>45734</v>
      </c>
    </row>
    <row r="79" spans="1:1" x14ac:dyDescent="0.25">
      <c r="A79" s="1">
        <v>45735</v>
      </c>
    </row>
    <row r="80" spans="1:1" x14ac:dyDescent="0.25">
      <c r="A80" s="1">
        <v>45736</v>
      </c>
    </row>
    <row r="81" spans="1:1" x14ac:dyDescent="0.25">
      <c r="A81" s="1">
        <v>45737</v>
      </c>
    </row>
    <row r="82" spans="1:1" x14ac:dyDescent="0.25">
      <c r="A82" s="1">
        <v>45738</v>
      </c>
    </row>
    <row r="83" spans="1:1" x14ac:dyDescent="0.25">
      <c r="A83" s="1">
        <v>45739</v>
      </c>
    </row>
    <row r="84" spans="1:1" x14ac:dyDescent="0.25">
      <c r="A84" s="1">
        <v>45740</v>
      </c>
    </row>
    <row r="85" spans="1:1" x14ac:dyDescent="0.25">
      <c r="A85" s="1">
        <v>45741</v>
      </c>
    </row>
    <row r="86" spans="1:1" x14ac:dyDescent="0.25">
      <c r="A86" s="1">
        <v>45742</v>
      </c>
    </row>
    <row r="87" spans="1:1" x14ac:dyDescent="0.25">
      <c r="A87" s="1">
        <v>45743</v>
      </c>
    </row>
    <row r="88" spans="1:1" x14ac:dyDescent="0.25">
      <c r="A88" s="1">
        <v>45744</v>
      </c>
    </row>
    <row r="89" spans="1:1" x14ac:dyDescent="0.25">
      <c r="A89" s="1">
        <v>45745</v>
      </c>
    </row>
    <row r="90" spans="1:1" x14ac:dyDescent="0.25">
      <c r="A90" s="1">
        <v>45746</v>
      </c>
    </row>
    <row r="91" spans="1:1" x14ac:dyDescent="0.25">
      <c r="A91" s="1">
        <v>45747</v>
      </c>
    </row>
    <row r="92" spans="1:1" x14ac:dyDescent="0.25">
      <c r="A92" s="1">
        <v>45748</v>
      </c>
    </row>
    <row r="93" spans="1:1" x14ac:dyDescent="0.25">
      <c r="A93" s="1">
        <v>45749</v>
      </c>
    </row>
    <row r="94" spans="1:1" x14ac:dyDescent="0.25">
      <c r="A94" s="1">
        <v>45750</v>
      </c>
    </row>
    <row r="95" spans="1:1" x14ac:dyDescent="0.25">
      <c r="A95" s="1">
        <v>45751</v>
      </c>
    </row>
    <row r="96" spans="1:1" x14ac:dyDescent="0.25">
      <c r="A96" s="1">
        <v>45752</v>
      </c>
    </row>
    <row r="97" spans="1:1" x14ac:dyDescent="0.25">
      <c r="A97" s="1">
        <v>45753</v>
      </c>
    </row>
    <row r="98" spans="1:1" x14ac:dyDescent="0.25">
      <c r="A98" s="1">
        <v>45754</v>
      </c>
    </row>
    <row r="99" spans="1:1" x14ac:dyDescent="0.25">
      <c r="A99" s="1">
        <v>45755</v>
      </c>
    </row>
    <row r="100" spans="1:1" x14ac:dyDescent="0.25">
      <c r="A100" s="1">
        <v>45756</v>
      </c>
    </row>
    <row r="101" spans="1:1" x14ac:dyDescent="0.25">
      <c r="A101" s="1">
        <v>45757</v>
      </c>
    </row>
    <row r="102" spans="1:1" x14ac:dyDescent="0.25">
      <c r="A102" s="1">
        <v>45758</v>
      </c>
    </row>
    <row r="103" spans="1:1" x14ac:dyDescent="0.25">
      <c r="A103" s="1">
        <v>45759</v>
      </c>
    </row>
    <row r="104" spans="1:1" x14ac:dyDescent="0.25">
      <c r="A104" s="1">
        <v>45760</v>
      </c>
    </row>
    <row r="105" spans="1:1" x14ac:dyDescent="0.25">
      <c r="A105" s="1">
        <v>45761</v>
      </c>
    </row>
    <row r="106" spans="1:1" x14ac:dyDescent="0.25">
      <c r="A106" s="1">
        <v>45762</v>
      </c>
    </row>
    <row r="107" spans="1:1" x14ac:dyDescent="0.25">
      <c r="A107" s="1">
        <v>45763</v>
      </c>
    </row>
    <row r="108" spans="1:1" x14ac:dyDescent="0.25">
      <c r="A108" s="1">
        <v>45764</v>
      </c>
    </row>
    <row r="109" spans="1:1" x14ac:dyDescent="0.25">
      <c r="A109" s="1">
        <v>45765</v>
      </c>
    </row>
    <row r="110" spans="1:1" x14ac:dyDescent="0.25">
      <c r="A110" s="1">
        <v>45766</v>
      </c>
    </row>
    <row r="111" spans="1:1" x14ac:dyDescent="0.25">
      <c r="A111" s="1">
        <v>45767</v>
      </c>
    </row>
    <row r="112" spans="1:1" x14ac:dyDescent="0.25">
      <c r="A112" s="1">
        <v>45768</v>
      </c>
    </row>
    <row r="113" spans="1:1" x14ac:dyDescent="0.25">
      <c r="A113" s="1">
        <v>45769</v>
      </c>
    </row>
    <row r="114" spans="1:1" x14ac:dyDescent="0.25">
      <c r="A114" s="1">
        <v>45770</v>
      </c>
    </row>
    <row r="115" spans="1:1" x14ac:dyDescent="0.25">
      <c r="A115" s="1">
        <v>45771</v>
      </c>
    </row>
    <row r="116" spans="1:1" x14ac:dyDescent="0.25">
      <c r="A116" s="1">
        <v>45772</v>
      </c>
    </row>
    <row r="117" spans="1:1" x14ac:dyDescent="0.25">
      <c r="A117" s="1">
        <v>45773</v>
      </c>
    </row>
    <row r="118" spans="1:1" x14ac:dyDescent="0.25">
      <c r="A118" s="1">
        <v>45774</v>
      </c>
    </row>
    <row r="119" spans="1:1" x14ac:dyDescent="0.25">
      <c r="A119" s="1">
        <v>45775</v>
      </c>
    </row>
    <row r="120" spans="1:1" x14ac:dyDescent="0.25">
      <c r="A120" s="1">
        <v>45776</v>
      </c>
    </row>
    <row r="121" spans="1:1" x14ac:dyDescent="0.25">
      <c r="A121" s="1">
        <v>45777</v>
      </c>
    </row>
    <row r="122" spans="1:1" x14ac:dyDescent="0.25">
      <c r="A122" s="1">
        <v>45778</v>
      </c>
    </row>
    <row r="123" spans="1:1" x14ac:dyDescent="0.25">
      <c r="A123" s="1">
        <v>45779</v>
      </c>
    </row>
    <row r="124" spans="1:1" x14ac:dyDescent="0.25">
      <c r="A124" s="1">
        <v>45780</v>
      </c>
    </row>
    <row r="125" spans="1:1" x14ac:dyDescent="0.25">
      <c r="A125" s="1">
        <v>45781</v>
      </c>
    </row>
    <row r="126" spans="1:1" x14ac:dyDescent="0.25">
      <c r="A126" s="1">
        <v>45782</v>
      </c>
    </row>
    <row r="127" spans="1:1" x14ac:dyDescent="0.25">
      <c r="A127" s="1">
        <v>45783</v>
      </c>
    </row>
    <row r="128" spans="1:1" x14ac:dyDescent="0.25">
      <c r="A128" s="1">
        <v>45784</v>
      </c>
    </row>
    <row r="129" spans="1:1" x14ac:dyDescent="0.25">
      <c r="A129" s="1">
        <v>45785</v>
      </c>
    </row>
    <row r="130" spans="1:1" x14ac:dyDescent="0.25">
      <c r="A130" s="1">
        <v>45786</v>
      </c>
    </row>
    <row r="131" spans="1:1" x14ac:dyDescent="0.25">
      <c r="A131" s="1">
        <v>45787</v>
      </c>
    </row>
    <row r="132" spans="1:1" x14ac:dyDescent="0.25">
      <c r="A132" s="1">
        <v>45788</v>
      </c>
    </row>
    <row r="133" spans="1:1" x14ac:dyDescent="0.25">
      <c r="A133" s="1">
        <v>45789</v>
      </c>
    </row>
    <row r="134" spans="1:1" x14ac:dyDescent="0.25">
      <c r="A134" s="1">
        <v>45790</v>
      </c>
    </row>
    <row r="135" spans="1:1" x14ac:dyDescent="0.25">
      <c r="A135" s="1">
        <v>45791</v>
      </c>
    </row>
    <row r="136" spans="1:1" x14ac:dyDescent="0.25">
      <c r="A136" s="1">
        <v>45792</v>
      </c>
    </row>
    <row r="137" spans="1:1" x14ac:dyDescent="0.25">
      <c r="A137" s="1">
        <v>45793</v>
      </c>
    </row>
    <row r="138" spans="1:1" x14ac:dyDescent="0.25">
      <c r="A138" s="1">
        <v>45794</v>
      </c>
    </row>
    <row r="139" spans="1:1" x14ac:dyDescent="0.25">
      <c r="A139" s="1">
        <v>45795</v>
      </c>
    </row>
    <row r="140" spans="1:1" x14ac:dyDescent="0.25">
      <c r="A140" s="1">
        <v>45796</v>
      </c>
    </row>
    <row r="141" spans="1:1" x14ac:dyDescent="0.25">
      <c r="A141" s="1">
        <v>45797</v>
      </c>
    </row>
    <row r="142" spans="1:1" x14ac:dyDescent="0.25">
      <c r="A142" s="1">
        <v>45798</v>
      </c>
    </row>
    <row r="143" spans="1:1" x14ac:dyDescent="0.25">
      <c r="A143" s="1">
        <v>45799</v>
      </c>
    </row>
    <row r="144" spans="1:1" x14ac:dyDescent="0.25">
      <c r="A144" s="1">
        <v>45800</v>
      </c>
    </row>
    <row r="145" spans="1:1" x14ac:dyDescent="0.25">
      <c r="A145" s="1">
        <v>45801</v>
      </c>
    </row>
    <row r="146" spans="1:1" x14ac:dyDescent="0.25">
      <c r="A146" s="1">
        <v>45802</v>
      </c>
    </row>
    <row r="147" spans="1:1" x14ac:dyDescent="0.25">
      <c r="A147" s="1">
        <v>45803</v>
      </c>
    </row>
    <row r="148" spans="1:1" x14ac:dyDescent="0.25">
      <c r="A148" s="1">
        <v>45804</v>
      </c>
    </row>
    <row r="149" spans="1:1" x14ac:dyDescent="0.25">
      <c r="A149" s="1">
        <v>45805</v>
      </c>
    </row>
    <row r="150" spans="1:1" x14ac:dyDescent="0.25">
      <c r="A150" s="1">
        <v>45806</v>
      </c>
    </row>
    <row r="151" spans="1:1" x14ac:dyDescent="0.25">
      <c r="A151" s="1">
        <v>45807</v>
      </c>
    </row>
    <row r="152" spans="1:1" x14ac:dyDescent="0.25">
      <c r="A152" s="1">
        <v>45808</v>
      </c>
    </row>
    <row r="153" spans="1:1" x14ac:dyDescent="0.25">
      <c r="A153" s="1">
        <v>45809</v>
      </c>
    </row>
    <row r="154" spans="1:1" x14ac:dyDescent="0.25">
      <c r="A154" s="1">
        <v>45810</v>
      </c>
    </row>
    <row r="155" spans="1:1" x14ac:dyDescent="0.25">
      <c r="A155" s="1">
        <v>45811</v>
      </c>
    </row>
    <row r="156" spans="1:1" x14ac:dyDescent="0.25">
      <c r="A156" s="1">
        <v>45812</v>
      </c>
    </row>
    <row r="157" spans="1:1" x14ac:dyDescent="0.25">
      <c r="A157" s="1">
        <v>45813</v>
      </c>
    </row>
    <row r="158" spans="1:1" x14ac:dyDescent="0.25">
      <c r="A158" s="1">
        <v>45814</v>
      </c>
    </row>
    <row r="159" spans="1:1" x14ac:dyDescent="0.25">
      <c r="A159" s="1">
        <v>45815</v>
      </c>
    </row>
    <row r="160" spans="1:1" x14ac:dyDescent="0.25">
      <c r="A160" s="1">
        <v>45816</v>
      </c>
    </row>
    <row r="161" spans="1:1" x14ac:dyDescent="0.25">
      <c r="A161" s="1">
        <v>45817</v>
      </c>
    </row>
    <row r="162" spans="1:1" x14ac:dyDescent="0.25">
      <c r="A162" s="1">
        <v>45818</v>
      </c>
    </row>
    <row r="163" spans="1:1" x14ac:dyDescent="0.25">
      <c r="A163" s="1">
        <v>45819</v>
      </c>
    </row>
    <row r="164" spans="1:1" x14ac:dyDescent="0.25">
      <c r="A164" s="1">
        <v>45820</v>
      </c>
    </row>
    <row r="165" spans="1:1" x14ac:dyDescent="0.25">
      <c r="A165" s="1">
        <v>45821</v>
      </c>
    </row>
    <row r="166" spans="1:1" x14ac:dyDescent="0.25">
      <c r="A166" s="1">
        <v>45822</v>
      </c>
    </row>
    <row r="167" spans="1:1" x14ac:dyDescent="0.25">
      <c r="A167" s="1">
        <v>45823</v>
      </c>
    </row>
    <row r="168" spans="1:1" x14ac:dyDescent="0.25">
      <c r="A168" s="1">
        <v>45824</v>
      </c>
    </row>
    <row r="169" spans="1:1" x14ac:dyDescent="0.25">
      <c r="A169" s="1">
        <v>45825</v>
      </c>
    </row>
    <row r="170" spans="1:1" x14ac:dyDescent="0.25">
      <c r="A170" s="1">
        <v>45826</v>
      </c>
    </row>
    <row r="171" spans="1:1" x14ac:dyDescent="0.25">
      <c r="A171" s="1">
        <v>45827</v>
      </c>
    </row>
    <row r="172" spans="1:1" x14ac:dyDescent="0.25">
      <c r="A172" s="1">
        <v>45828</v>
      </c>
    </row>
    <row r="173" spans="1:1" x14ac:dyDescent="0.25">
      <c r="A173" s="1">
        <v>45829</v>
      </c>
    </row>
    <row r="174" spans="1:1" x14ac:dyDescent="0.25">
      <c r="A174" s="1">
        <v>45830</v>
      </c>
    </row>
    <row r="175" spans="1:1" x14ac:dyDescent="0.25">
      <c r="A175" s="1">
        <v>45831</v>
      </c>
    </row>
    <row r="176" spans="1:1" x14ac:dyDescent="0.25">
      <c r="A176" s="1">
        <v>45832</v>
      </c>
    </row>
    <row r="177" spans="1:1" x14ac:dyDescent="0.25">
      <c r="A177" s="1">
        <v>45833</v>
      </c>
    </row>
    <row r="178" spans="1:1" x14ac:dyDescent="0.25">
      <c r="A178" s="1">
        <v>45834</v>
      </c>
    </row>
    <row r="179" spans="1:1" x14ac:dyDescent="0.25">
      <c r="A179" s="1">
        <v>45835</v>
      </c>
    </row>
    <row r="180" spans="1:1" x14ac:dyDescent="0.25">
      <c r="A180" s="1">
        <v>45836</v>
      </c>
    </row>
    <row r="181" spans="1:1" x14ac:dyDescent="0.25">
      <c r="A181" s="1">
        <v>45837</v>
      </c>
    </row>
    <row r="182" spans="1:1" x14ac:dyDescent="0.25">
      <c r="A182" s="1">
        <v>45838</v>
      </c>
    </row>
    <row r="183" spans="1:1" x14ac:dyDescent="0.25">
      <c r="A183" s="1">
        <v>45839</v>
      </c>
    </row>
    <row r="184" spans="1:1" x14ac:dyDescent="0.25">
      <c r="A184" s="1">
        <v>45840</v>
      </c>
    </row>
    <row r="185" spans="1:1" x14ac:dyDescent="0.25">
      <c r="A185" s="1">
        <v>45841</v>
      </c>
    </row>
    <row r="186" spans="1:1" x14ac:dyDescent="0.25">
      <c r="A186" s="1">
        <v>45842</v>
      </c>
    </row>
    <row r="187" spans="1:1" x14ac:dyDescent="0.25">
      <c r="A187" s="1">
        <v>45843</v>
      </c>
    </row>
    <row r="188" spans="1:1" x14ac:dyDescent="0.25">
      <c r="A188" s="1">
        <v>45844</v>
      </c>
    </row>
    <row r="189" spans="1:1" x14ac:dyDescent="0.25">
      <c r="A189" s="1">
        <v>45845</v>
      </c>
    </row>
    <row r="190" spans="1:1" x14ac:dyDescent="0.25">
      <c r="A190" s="1">
        <v>45846</v>
      </c>
    </row>
    <row r="191" spans="1:1" x14ac:dyDescent="0.25">
      <c r="A191" s="1">
        <v>45847</v>
      </c>
    </row>
    <row r="192" spans="1:1" x14ac:dyDescent="0.25">
      <c r="A192" s="1">
        <v>45848</v>
      </c>
    </row>
    <row r="193" spans="1:1" x14ac:dyDescent="0.25">
      <c r="A193" s="1">
        <v>45849</v>
      </c>
    </row>
    <row r="194" spans="1:1" x14ac:dyDescent="0.25">
      <c r="A194" s="1">
        <v>45850</v>
      </c>
    </row>
    <row r="195" spans="1:1" x14ac:dyDescent="0.25">
      <c r="A195" s="1">
        <v>45851</v>
      </c>
    </row>
    <row r="196" spans="1:1" x14ac:dyDescent="0.25">
      <c r="A196" s="1">
        <v>45852</v>
      </c>
    </row>
    <row r="197" spans="1:1" x14ac:dyDescent="0.25">
      <c r="A197" s="1">
        <v>45853</v>
      </c>
    </row>
    <row r="198" spans="1:1" x14ac:dyDescent="0.25">
      <c r="A198" s="1">
        <v>45854</v>
      </c>
    </row>
    <row r="199" spans="1:1" x14ac:dyDescent="0.25">
      <c r="A199" s="1">
        <v>45855</v>
      </c>
    </row>
    <row r="200" spans="1:1" x14ac:dyDescent="0.25">
      <c r="A200" s="1">
        <v>45856</v>
      </c>
    </row>
    <row r="201" spans="1:1" x14ac:dyDescent="0.25">
      <c r="A201" s="1">
        <v>45857</v>
      </c>
    </row>
    <row r="202" spans="1:1" x14ac:dyDescent="0.25">
      <c r="A202" s="1">
        <v>45858</v>
      </c>
    </row>
    <row r="203" spans="1:1" x14ac:dyDescent="0.25">
      <c r="A203" s="1">
        <v>45859</v>
      </c>
    </row>
    <row r="204" spans="1:1" x14ac:dyDescent="0.25">
      <c r="A204" s="1">
        <v>45860</v>
      </c>
    </row>
    <row r="205" spans="1:1" x14ac:dyDescent="0.25">
      <c r="A205" s="1">
        <v>45861</v>
      </c>
    </row>
    <row r="206" spans="1:1" x14ac:dyDescent="0.25">
      <c r="A206" s="1">
        <v>45862</v>
      </c>
    </row>
    <row r="207" spans="1:1" x14ac:dyDescent="0.25">
      <c r="A207" s="1">
        <v>45863</v>
      </c>
    </row>
    <row r="208" spans="1:1" x14ac:dyDescent="0.25">
      <c r="A208" s="1">
        <v>45864</v>
      </c>
    </row>
    <row r="209" spans="1:1" x14ac:dyDescent="0.25">
      <c r="A209" s="1">
        <v>45865</v>
      </c>
    </row>
    <row r="210" spans="1:1" x14ac:dyDescent="0.25">
      <c r="A210" s="1">
        <v>45866</v>
      </c>
    </row>
    <row r="211" spans="1:1" x14ac:dyDescent="0.25">
      <c r="A211" s="1">
        <v>45867</v>
      </c>
    </row>
    <row r="212" spans="1:1" x14ac:dyDescent="0.25">
      <c r="A212" s="1">
        <v>45868</v>
      </c>
    </row>
    <row r="213" spans="1:1" x14ac:dyDescent="0.25">
      <c r="A213" s="1">
        <v>45869</v>
      </c>
    </row>
    <row r="214" spans="1:1" x14ac:dyDescent="0.25">
      <c r="A214" s="1">
        <v>45870</v>
      </c>
    </row>
    <row r="215" spans="1:1" x14ac:dyDescent="0.25">
      <c r="A215" s="1">
        <v>45871</v>
      </c>
    </row>
    <row r="216" spans="1:1" x14ac:dyDescent="0.25">
      <c r="A216" s="1">
        <v>45872</v>
      </c>
    </row>
    <row r="217" spans="1:1" x14ac:dyDescent="0.25">
      <c r="A217" s="1">
        <v>45873</v>
      </c>
    </row>
    <row r="218" spans="1:1" x14ac:dyDescent="0.25">
      <c r="A218" s="1">
        <v>45874</v>
      </c>
    </row>
    <row r="219" spans="1:1" x14ac:dyDescent="0.25">
      <c r="A219" s="1">
        <v>45875</v>
      </c>
    </row>
    <row r="220" spans="1:1" x14ac:dyDescent="0.25">
      <c r="A220" s="1">
        <v>45876</v>
      </c>
    </row>
    <row r="221" spans="1:1" x14ac:dyDescent="0.25">
      <c r="A221" s="1">
        <v>45877</v>
      </c>
    </row>
    <row r="222" spans="1:1" x14ac:dyDescent="0.25">
      <c r="A222" s="1">
        <v>45878</v>
      </c>
    </row>
    <row r="223" spans="1:1" x14ac:dyDescent="0.25">
      <c r="A223" s="1">
        <v>45879</v>
      </c>
    </row>
    <row r="224" spans="1:1" x14ac:dyDescent="0.25">
      <c r="A224" s="1">
        <v>45880</v>
      </c>
    </row>
    <row r="225" spans="1:1" x14ac:dyDescent="0.25">
      <c r="A225" s="1">
        <v>45881</v>
      </c>
    </row>
    <row r="226" spans="1:1" x14ac:dyDescent="0.25">
      <c r="A226" s="1">
        <v>45882</v>
      </c>
    </row>
    <row r="227" spans="1:1" x14ac:dyDescent="0.25">
      <c r="A227" s="1">
        <v>45883</v>
      </c>
    </row>
    <row r="228" spans="1:1" x14ac:dyDescent="0.25">
      <c r="A228" s="1">
        <v>45884</v>
      </c>
    </row>
    <row r="229" spans="1:1" x14ac:dyDescent="0.25">
      <c r="A229" s="1">
        <v>45885</v>
      </c>
    </row>
    <row r="230" spans="1:1" x14ac:dyDescent="0.25">
      <c r="A230" s="1">
        <v>45886</v>
      </c>
    </row>
    <row r="231" spans="1:1" x14ac:dyDescent="0.25">
      <c r="A231" s="1">
        <v>45887</v>
      </c>
    </row>
    <row r="232" spans="1:1" x14ac:dyDescent="0.25">
      <c r="A232" s="1">
        <v>45888</v>
      </c>
    </row>
    <row r="233" spans="1:1" x14ac:dyDescent="0.25">
      <c r="A233" s="1">
        <v>45889</v>
      </c>
    </row>
    <row r="234" spans="1:1" x14ac:dyDescent="0.25">
      <c r="A234" s="1">
        <v>45890</v>
      </c>
    </row>
    <row r="235" spans="1:1" x14ac:dyDescent="0.25">
      <c r="A235" s="1">
        <v>45891</v>
      </c>
    </row>
    <row r="236" spans="1:1" x14ac:dyDescent="0.25">
      <c r="A236" s="1">
        <v>45892</v>
      </c>
    </row>
    <row r="237" spans="1:1" x14ac:dyDescent="0.25">
      <c r="A237" s="1">
        <v>45893</v>
      </c>
    </row>
    <row r="238" spans="1:1" x14ac:dyDescent="0.25">
      <c r="A238" s="1">
        <v>45894</v>
      </c>
    </row>
    <row r="239" spans="1:1" x14ac:dyDescent="0.25">
      <c r="A239" s="1">
        <v>45895</v>
      </c>
    </row>
    <row r="240" spans="1:1" x14ac:dyDescent="0.25">
      <c r="A240" s="1">
        <v>45896</v>
      </c>
    </row>
    <row r="241" spans="1:1" x14ac:dyDescent="0.25">
      <c r="A241" s="1">
        <v>45897</v>
      </c>
    </row>
    <row r="242" spans="1:1" x14ac:dyDescent="0.25">
      <c r="A242" s="1">
        <v>45898</v>
      </c>
    </row>
    <row r="243" spans="1:1" x14ac:dyDescent="0.25">
      <c r="A243" s="1">
        <v>45899</v>
      </c>
    </row>
    <row r="244" spans="1:1" x14ac:dyDescent="0.25">
      <c r="A244" s="1">
        <v>45900</v>
      </c>
    </row>
    <row r="245" spans="1:1" x14ac:dyDescent="0.25">
      <c r="A245" s="1">
        <v>45901</v>
      </c>
    </row>
    <row r="246" spans="1:1" x14ac:dyDescent="0.25">
      <c r="A246" s="1">
        <v>45902</v>
      </c>
    </row>
    <row r="247" spans="1:1" x14ac:dyDescent="0.25">
      <c r="A247" s="1">
        <v>45903</v>
      </c>
    </row>
    <row r="248" spans="1:1" x14ac:dyDescent="0.25">
      <c r="A248" s="1">
        <v>45904</v>
      </c>
    </row>
    <row r="249" spans="1:1" x14ac:dyDescent="0.25">
      <c r="A249" s="1">
        <v>45905</v>
      </c>
    </row>
    <row r="250" spans="1:1" x14ac:dyDescent="0.25">
      <c r="A250" s="1">
        <v>45906</v>
      </c>
    </row>
    <row r="251" spans="1:1" x14ac:dyDescent="0.25">
      <c r="A251" s="1">
        <v>45907</v>
      </c>
    </row>
    <row r="252" spans="1:1" x14ac:dyDescent="0.25">
      <c r="A252" s="1">
        <v>45908</v>
      </c>
    </row>
    <row r="253" spans="1:1" x14ac:dyDescent="0.25">
      <c r="A253" s="1">
        <v>45909</v>
      </c>
    </row>
    <row r="254" spans="1:1" x14ac:dyDescent="0.25">
      <c r="A254" s="1">
        <v>45910</v>
      </c>
    </row>
    <row r="255" spans="1:1" x14ac:dyDescent="0.25">
      <c r="A255" s="1">
        <v>45911</v>
      </c>
    </row>
    <row r="256" spans="1:1" x14ac:dyDescent="0.25">
      <c r="A256" s="1">
        <v>45912</v>
      </c>
    </row>
    <row r="257" spans="1:1" x14ac:dyDescent="0.25">
      <c r="A257" s="1">
        <v>45913</v>
      </c>
    </row>
    <row r="258" spans="1:1" x14ac:dyDescent="0.25">
      <c r="A258" s="1">
        <v>45914</v>
      </c>
    </row>
    <row r="259" spans="1:1" x14ac:dyDescent="0.25">
      <c r="A259" s="1">
        <v>45915</v>
      </c>
    </row>
    <row r="260" spans="1:1" x14ac:dyDescent="0.25">
      <c r="A260" s="1">
        <v>45916</v>
      </c>
    </row>
    <row r="261" spans="1:1" x14ac:dyDescent="0.25">
      <c r="A261" s="1">
        <v>45917</v>
      </c>
    </row>
    <row r="262" spans="1:1" x14ac:dyDescent="0.25">
      <c r="A262" s="1">
        <v>45918</v>
      </c>
    </row>
    <row r="263" spans="1:1" x14ac:dyDescent="0.25">
      <c r="A263" s="1">
        <v>45919</v>
      </c>
    </row>
    <row r="264" spans="1:1" x14ac:dyDescent="0.25">
      <c r="A264" s="1">
        <v>45920</v>
      </c>
    </row>
    <row r="265" spans="1:1" x14ac:dyDescent="0.25">
      <c r="A265" s="1">
        <v>45921</v>
      </c>
    </row>
    <row r="266" spans="1:1" x14ac:dyDescent="0.25">
      <c r="A266" s="1">
        <v>45922</v>
      </c>
    </row>
    <row r="267" spans="1:1" x14ac:dyDescent="0.25">
      <c r="A267" s="1">
        <v>45923</v>
      </c>
    </row>
    <row r="268" spans="1:1" x14ac:dyDescent="0.25">
      <c r="A268" s="1">
        <v>45924</v>
      </c>
    </row>
    <row r="269" spans="1:1" x14ac:dyDescent="0.25">
      <c r="A269" s="1">
        <v>45925</v>
      </c>
    </row>
    <row r="270" spans="1:1" x14ac:dyDescent="0.25">
      <c r="A270" s="1">
        <v>45926</v>
      </c>
    </row>
    <row r="271" spans="1:1" x14ac:dyDescent="0.25">
      <c r="A271" s="1">
        <v>45927</v>
      </c>
    </row>
    <row r="272" spans="1:1" x14ac:dyDescent="0.25">
      <c r="A272" s="1">
        <v>45928</v>
      </c>
    </row>
    <row r="273" spans="1:1" x14ac:dyDescent="0.25">
      <c r="A273" s="1">
        <v>45929</v>
      </c>
    </row>
    <row r="274" spans="1:1" x14ac:dyDescent="0.25">
      <c r="A274" s="1">
        <v>45930</v>
      </c>
    </row>
    <row r="275" spans="1:1" x14ac:dyDescent="0.25">
      <c r="A275" s="1">
        <v>45931</v>
      </c>
    </row>
    <row r="276" spans="1:1" x14ac:dyDescent="0.25">
      <c r="A276" s="1">
        <v>45932</v>
      </c>
    </row>
    <row r="277" spans="1:1" x14ac:dyDescent="0.25">
      <c r="A277" s="1">
        <v>45933</v>
      </c>
    </row>
    <row r="278" spans="1:1" x14ac:dyDescent="0.25">
      <c r="A278" s="1">
        <v>45934</v>
      </c>
    </row>
    <row r="279" spans="1:1" x14ac:dyDescent="0.25">
      <c r="A279" s="1">
        <v>45935</v>
      </c>
    </row>
    <row r="280" spans="1:1" x14ac:dyDescent="0.25">
      <c r="A280" s="1">
        <v>45936</v>
      </c>
    </row>
    <row r="281" spans="1:1" x14ac:dyDescent="0.25">
      <c r="A281" s="1">
        <v>45937</v>
      </c>
    </row>
    <row r="282" spans="1:1" x14ac:dyDescent="0.25">
      <c r="A282" s="1">
        <v>45938</v>
      </c>
    </row>
    <row r="283" spans="1:1" x14ac:dyDescent="0.25">
      <c r="A283" s="1">
        <v>45939</v>
      </c>
    </row>
    <row r="284" spans="1:1" x14ac:dyDescent="0.25">
      <c r="A284" s="1">
        <v>45940</v>
      </c>
    </row>
    <row r="285" spans="1:1" x14ac:dyDescent="0.25">
      <c r="A285" s="1">
        <v>45941</v>
      </c>
    </row>
    <row r="286" spans="1:1" x14ac:dyDescent="0.25">
      <c r="A286" s="1">
        <v>45942</v>
      </c>
    </row>
    <row r="287" spans="1:1" x14ac:dyDescent="0.25">
      <c r="A287" s="1">
        <v>45943</v>
      </c>
    </row>
    <row r="288" spans="1:1" x14ac:dyDescent="0.25">
      <c r="A288" s="1">
        <v>45944</v>
      </c>
    </row>
    <row r="289" spans="1:1" x14ac:dyDescent="0.25">
      <c r="A289" s="1">
        <v>45945</v>
      </c>
    </row>
    <row r="290" spans="1:1" x14ac:dyDescent="0.25">
      <c r="A290" s="1">
        <v>45946</v>
      </c>
    </row>
    <row r="291" spans="1:1" x14ac:dyDescent="0.25">
      <c r="A291" s="1">
        <v>45947</v>
      </c>
    </row>
    <row r="292" spans="1:1" x14ac:dyDescent="0.25">
      <c r="A292" s="1">
        <v>45948</v>
      </c>
    </row>
    <row r="293" spans="1:1" x14ac:dyDescent="0.25">
      <c r="A293" s="1">
        <v>45949</v>
      </c>
    </row>
    <row r="294" spans="1:1" x14ac:dyDescent="0.25">
      <c r="A294" s="1">
        <v>45950</v>
      </c>
    </row>
    <row r="295" spans="1:1" x14ac:dyDescent="0.25">
      <c r="A295" s="1">
        <v>45951</v>
      </c>
    </row>
    <row r="296" spans="1:1" x14ac:dyDescent="0.25">
      <c r="A296" s="1">
        <v>45952</v>
      </c>
    </row>
    <row r="297" spans="1:1" x14ac:dyDescent="0.25">
      <c r="A297" s="1">
        <v>45953</v>
      </c>
    </row>
    <row r="298" spans="1:1" x14ac:dyDescent="0.25">
      <c r="A298" s="1">
        <v>45954</v>
      </c>
    </row>
    <row r="299" spans="1:1" x14ac:dyDescent="0.25">
      <c r="A299" s="1">
        <v>45955</v>
      </c>
    </row>
    <row r="300" spans="1:1" x14ac:dyDescent="0.25">
      <c r="A300" s="1">
        <v>45956</v>
      </c>
    </row>
    <row r="301" spans="1:1" x14ac:dyDescent="0.25">
      <c r="A301" s="1">
        <v>45957</v>
      </c>
    </row>
    <row r="302" spans="1:1" x14ac:dyDescent="0.25">
      <c r="A302" s="1">
        <v>45958</v>
      </c>
    </row>
    <row r="303" spans="1:1" x14ac:dyDescent="0.25">
      <c r="A303" s="1">
        <v>45959</v>
      </c>
    </row>
    <row r="304" spans="1:1" x14ac:dyDescent="0.25">
      <c r="A304" s="1">
        <v>45960</v>
      </c>
    </row>
    <row r="305" spans="1:1" x14ac:dyDescent="0.25">
      <c r="A305" s="1">
        <v>45961</v>
      </c>
    </row>
    <row r="306" spans="1:1" x14ac:dyDescent="0.25">
      <c r="A306" s="1">
        <v>45962</v>
      </c>
    </row>
    <row r="307" spans="1:1" x14ac:dyDescent="0.25">
      <c r="A307" s="1">
        <v>45963</v>
      </c>
    </row>
    <row r="308" spans="1:1" x14ac:dyDescent="0.25">
      <c r="A308" s="1">
        <v>45964</v>
      </c>
    </row>
    <row r="309" spans="1:1" x14ac:dyDescent="0.25">
      <c r="A309" s="1">
        <v>45965</v>
      </c>
    </row>
    <row r="310" spans="1:1" x14ac:dyDescent="0.25">
      <c r="A310" s="1">
        <v>45966</v>
      </c>
    </row>
    <row r="311" spans="1:1" x14ac:dyDescent="0.25">
      <c r="A311" s="1">
        <v>45967</v>
      </c>
    </row>
    <row r="312" spans="1:1" x14ac:dyDescent="0.25">
      <c r="A312" s="1">
        <v>45968</v>
      </c>
    </row>
    <row r="313" spans="1:1" x14ac:dyDescent="0.25">
      <c r="A313" s="1">
        <v>45969</v>
      </c>
    </row>
    <row r="314" spans="1:1" x14ac:dyDescent="0.25">
      <c r="A314" s="1">
        <v>45970</v>
      </c>
    </row>
    <row r="315" spans="1:1" x14ac:dyDescent="0.25">
      <c r="A315" s="1">
        <v>45971</v>
      </c>
    </row>
    <row r="316" spans="1:1" x14ac:dyDescent="0.25">
      <c r="A316" s="1">
        <v>45972</v>
      </c>
    </row>
    <row r="317" spans="1:1" x14ac:dyDescent="0.25">
      <c r="A317" s="1">
        <v>45973</v>
      </c>
    </row>
    <row r="318" spans="1:1" x14ac:dyDescent="0.25">
      <c r="A318" s="1">
        <v>45974</v>
      </c>
    </row>
    <row r="319" spans="1:1" x14ac:dyDescent="0.25">
      <c r="A319" s="1">
        <v>45975</v>
      </c>
    </row>
    <row r="320" spans="1:1" x14ac:dyDescent="0.25">
      <c r="A320" s="1">
        <v>45976</v>
      </c>
    </row>
    <row r="321" spans="1:1" x14ac:dyDescent="0.25">
      <c r="A321" s="1">
        <v>45977</v>
      </c>
    </row>
    <row r="322" spans="1:1" x14ac:dyDescent="0.25">
      <c r="A322" s="1">
        <v>45978</v>
      </c>
    </row>
    <row r="323" spans="1:1" x14ac:dyDescent="0.25">
      <c r="A323" s="1">
        <v>45979</v>
      </c>
    </row>
    <row r="324" spans="1:1" x14ac:dyDescent="0.25">
      <c r="A324" s="1">
        <v>45980</v>
      </c>
    </row>
    <row r="325" spans="1:1" x14ac:dyDescent="0.25">
      <c r="A325" s="1">
        <v>45981</v>
      </c>
    </row>
    <row r="326" spans="1:1" x14ac:dyDescent="0.25">
      <c r="A326" s="1">
        <v>45982</v>
      </c>
    </row>
    <row r="327" spans="1:1" x14ac:dyDescent="0.25">
      <c r="A327" s="1">
        <v>45983</v>
      </c>
    </row>
    <row r="328" spans="1:1" x14ac:dyDescent="0.25">
      <c r="A328" s="1">
        <v>45984</v>
      </c>
    </row>
    <row r="329" spans="1:1" x14ac:dyDescent="0.25">
      <c r="A329" s="1">
        <v>45985</v>
      </c>
    </row>
    <row r="330" spans="1:1" x14ac:dyDescent="0.25">
      <c r="A330" s="1">
        <v>45986</v>
      </c>
    </row>
    <row r="331" spans="1:1" x14ac:dyDescent="0.25">
      <c r="A331" s="1">
        <v>45987</v>
      </c>
    </row>
    <row r="332" spans="1:1" x14ac:dyDescent="0.25">
      <c r="A332" s="1">
        <v>45988</v>
      </c>
    </row>
    <row r="333" spans="1:1" x14ac:dyDescent="0.25">
      <c r="A333" s="1">
        <v>45989</v>
      </c>
    </row>
    <row r="334" spans="1:1" x14ac:dyDescent="0.25">
      <c r="A334" s="1">
        <v>45990</v>
      </c>
    </row>
    <row r="335" spans="1:1" x14ac:dyDescent="0.25">
      <c r="A335" s="1">
        <v>45991</v>
      </c>
    </row>
    <row r="336" spans="1:1" x14ac:dyDescent="0.25">
      <c r="A336" s="1">
        <v>45992</v>
      </c>
    </row>
    <row r="337" spans="1:1" x14ac:dyDescent="0.25">
      <c r="A337" s="1">
        <v>45993</v>
      </c>
    </row>
    <row r="338" spans="1:1" x14ac:dyDescent="0.25">
      <c r="A338" s="1">
        <v>45994</v>
      </c>
    </row>
    <row r="339" spans="1:1" x14ac:dyDescent="0.25">
      <c r="A339" s="1">
        <v>45995</v>
      </c>
    </row>
    <row r="340" spans="1:1" x14ac:dyDescent="0.25">
      <c r="A340" s="1">
        <v>45996</v>
      </c>
    </row>
    <row r="341" spans="1:1" x14ac:dyDescent="0.25">
      <c r="A341" s="1">
        <v>45997</v>
      </c>
    </row>
    <row r="342" spans="1:1" x14ac:dyDescent="0.25">
      <c r="A342" s="1">
        <v>45998</v>
      </c>
    </row>
    <row r="343" spans="1:1" x14ac:dyDescent="0.25">
      <c r="A343" s="1">
        <v>45999</v>
      </c>
    </row>
    <row r="344" spans="1:1" x14ac:dyDescent="0.25">
      <c r="A344" s="1">
        <v>46000</v>
      </c>
    </row>
    <row r="345" spans="1:1" x14ac:dyDescent="0.25">
      <c r="A345" s="1">
        <v>46001</v>
      </c>
    </row>
    <row r="346" spans="1:1" x14ac:dyDescent="0.25">
      <c r="A346" s="1">
        <v>46002</v>
      </c>
    </row>
    <row r="347" spans="1:1" x14ac:dyDescent="0.25">
      <c r="A347" s="1">
        <v>46003</v>
      </c>
    </row>
    <row r="348" spans="1:1" x14ac:dyDescent="0.25">
      <c r="A348" s="1">
        <v>46004</v>
      </c>
    </row>
    <row r="349" spans="1:1" x14ac:dyDescent="0.25">
      <c r="A349" s="1">
        <v>46005</v>
      </c>
    </row>
    <row r="350" spans="1:1" x14ac:dyDescent="0.25">
      <c r="A350" s="1">
        <v>46006</v>
      </c>
    </row>
    <row r="351" spans="1:1" x14ac:dyDescent="0.25">
      <c r="A351" s="1">
        <v>46007</v>
      </c>
    </row>
    <row r="352" spans="1:1" x14ac:dyDescent="0.25">
      <c r="A352" s="1">
        <v>46008</v>
      </c>
    </row>
    <row r="353" spans="1:1" x14ac:dyDescent="0.25">
      <c r="A353" s="1">
        <v>46009</v>
      </c>
    </row>
    <row r="354" spans="1:1" x14ac:dyDescent="0.25">
      <c r="A354" s="1">
        <v>46010</v>
      </c>
    </row>
    <row r="355" spans="1:1" x14ac:dyDescent="0.25">
      <c r="A355" s="1">
        <v>46011</v>
      </c>
    </row>
    <row r="356" spans="1:1" x14ac:dyDescent="0.25">
      <c r="A356" s="1">
        <v>46012</v>
      </c>
    </row>
    <row r="357" spans="1:1" x14ac:dyDescent="0.25">
      <c r="A357" s="1">
        <v>46013</v>
      </c>
    </row>
    <row r="358" spans="1:1" x14ac:dyDescent="0.25">
      <c r="A358" s="1">
        <v>46014</v>
      </c>
    </row>
    <row r="359" spans="1:1" x14ac:dyDescent="0.25">
      <c r="A359" s="1">
        <v>46015</v>
      </c>
    </row>
    <row r="360" spans="1:1" x14ac:dyDescent="0.25">
      <c r="A360" s="1">
        <v>46016</v>
      </c>
    </row>
    <row r="361" spans="1:1" x14ac:dyDescent="0.25">
      <c r="A361" s="1">
        <v>46017</v>
      </c>
    </row>
    <row r="362" spans="1:1" x14ac:dyDescent="0.25">
      <c r="A362" s="1">
        <v>46018</v>
      </c>
    </row>
    <row r="363" spans="1:1" x14ac:dyDescent="0.25">
      <c r="A363" s="1">
        <v>46019</v>
      </c>
    </row>
    <row r="364" spans="1:1" x14ac:dyDescent="0.25">
      <c r="A364" s="1">
        <v>46020</v>
      </c>
    </row>
    <row r="365" spans="1:1" x14ac:dyDescent="0.25">
      <c r="A365" s="1">
        <v>46021</v>
      </c>
    </row>
    <row r="366" spans="1:1" x14ac:dyDescent="0.25">
      <c r="A366" s="1">
        <v>46022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CB820D9FF626A41A8F8C73C4161CE3F" ma:contentTypeVersion="3" ma:contentTypeDescription="Crear nuevo documento." ma:contentTypeScope="" ma:versionID="2b3e970a731d7f77f23a4fd1d2d5814a">
  <xsd:schema xmlns:xsd="http://www.w3.org/2001/XMLSchema" xmlns:xs="http://www.w3.org/2001/XMLSchema" xmlns:p="http://schemas.microsoft.com/office/2006/metadata/properties" xmlns:ns2="e8713d13-a060-458c-97a9-d14930f46a0e" targetNamespace="http://schemas.microsoft.com/office/2006/metadata/properties" ma:root="true" ma:fieldsID="82968ff23587ece925a0849e35c23edf" ns2:_="">
    <xsd:import namespace="e8713d13-a060-458c-97a9-d14930f46a0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13d13-a060-458c-97a9-d14930f46a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7A53E51-9F66-462F-9541-E807A7421E8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FDB27AA-82E0-4AF4-B4ED-C6FD6F4556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13d13-a060-458c-97a9-d14930f46a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2380F62-2238-42DE-9877-26AA278BF1E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CODIGO_PYTHO</vt:lpstr>
      <vt:lpstr>RESUMEN SEMANAL</vt:lpstr>
      <vt:lpstr>PRODUCCION</vt:lpstr>
      <vt:lpstr>RENDIMIENTO</vt:lpstr>
      <vt:lpstr>RESUMEN DIARIO</vt:lpstr>
      <vt:lpstr>PERSONAL</vt:lpstr>
      <vt:lpstr>PAGADO</vt:lpstr>
      <vt:lpstr>CATALOGOS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 Vinicio Altamirano Flores</dc:creator>
  <cp:keywords/>
  <dc:description/>
  <cp:lastModifiedBy>MARCO V ALTAMIRANO F</cp:lastModifiedBy>
  <cp:revision/>
  <dcterms:created xsi:type="dcterms:W3CDTF">2025-02-17T17:09:08Z</dcterms:created>
  <dcterms:modified xsi:type="dcterms:W3CDTF">2025-04-11T22:20:17Z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0x0101007CB820D9FF626A41A8F8C73C4161CE3F</vt:lpwstr>
  </property>
</Properties>
</file>